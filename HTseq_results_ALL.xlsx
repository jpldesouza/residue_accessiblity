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bs4171/Desktop/Howard Stone/Pedro_sequence_dependent_GitHub/residue_accessiblity/"/>
    </mc:Choice>
  </mc:AlternateContent>
  <xr:revisionPtr revIDLastSave="0" documentId="8_{1A683E04-5857-534F-A7DC-28FA01024F12}" xr6:coauthVersionLast="47" xr6:coauthVersionMax="47" xr10:uidLastSave="{00000000-0000-0000-0000-000000000000}"/>
  <bookViews>
    <workbookView xWindow="1840" yWindow="760" windowWidth="26960" windowHeight="15840" activeTab="6" xr2:uid="{00000000-000D-0000-FFFF-FFFF00000000}"/>
  </bookViews>
  <sheets>
    <sheet name="R8" sheetId="1" r:id="rId1"/>
    <sheet name="R12" sheetId="2" r:id="rId2"/>
    <sheet name="R18" sheetId="3" r:id="rId3"/>
    <sheet name="R14" sheetId="4" r:id="rId4"/>
    <sheet name="R24" sheetId="5" r:id="rId5"/>
    <sheet name="R48" sheetId="6" r:id="rId6"/>
    <sheet name="R9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7" l="1"/>
  <c r="I5" i="7"/>
  <c r="I4" i="7"/>
  <c r="I3" i="7"/>
  <c r="I2" i="7"/>
  <c r="G2" i="7"/>
  <c r="G3" i="7"/>
  <c r="G4" i="7"/>
  <c r="G5" i="7"/>
  <c r="R241" i="5"/>
  <c r="S241" i="5"/>
  <c r="R242" i="5"/>
  <c r="S242" i="5"/>
  <c r="R243" i="5"/>
  <c r="S243" i="5"/>
  <c r="R244" i="5"/>
  <c r="S244" i="5"/>
  <c r="R245" i="5"/>
  <c r="S245" i="5"/>
  <c r="R246" i="5"/>
  <c r="S246" i="5"/>
  <c r="R247" i="5"/>
  <c r="S247" i="5"/>
  <c r="R248" i="5"/>
  <c r="S248" i="5"/>
  <c r="R249" i="5"/>
  <c r="S249" i="5"/>
  <c r="R250" i="5"/>
  <c r="S250" i="5"/>
  <c r="R251" i="5"/>
  <c r="S251" i="5"/>
  <c r="R252" i="5"/>
  <c r="S252" i="5"/>
  <c r="R253" i="5"/>
  <c r="S253" i="5"/>
  <c r="R254" i="5"/>
  <c r="S254" i="5"/>
  <c r="R255" i="5"/>
  <c r="S255" i="5"/>
  <c r="R256" i="5"/>
  <c r="S256" i="5"/>
  <c r="R257" i="5"/>
  <c r="S257" i="5"/>
  <c r="R258" i="5"/>
  <c r="S258" i="5"/>
  <c r="R259" i="5"/>
  <c r="S259" i="5"/>
  <c r="R260" i="5"/>
  <c r="S260" i="5"/>
  <c r="R261" i="5"/>
  <c r="S261" i="5"/>
  <c r="R262" i="5"/>
  <c r="S262" i="5"/>
  <c r="R263" i="5"/>
  <c r="S263" i="5"/>
  <c r="R264" i="5"/>
  <c r="S264" i="5"/>
  <c r="R265" i="5"/>
  <c r="S265" i="5"/>
  <c r="R266" i="5"/>
  <c r="S266" i="5"/>
  <c r="R267" i="5"/>
  <c r="S267" i="5"/>
  <c r="R268" i="5"/>
  <c r="S268" i="5"/>
  <c r="R269" i="5"/>
  <c r="S269" i="5"/>
  <c r="R270" i="5"/>
  <c r="S270" i="5"/>
  <c r="R271" i="5"/>
  <c r="S271" i="5"/>
  <c r="R272" i="5"/>
  <c r="S272" i="5"/>
  <c r="R273" i="5"/>
  <c r="S273" i="5"/>
  <c r="R274" i="5"/>
  <c r="S274" i="5"/>
  <c r="R275" i="5"/>
  <c r="S275" i="5"/>
  <c r="R276" i="5"/>
  <c r="S276" i="5"/>
  <c r="R277" i="5"/>
  <c r="S277" i="5"/>
  <c r="R278" i="5"/>
  <c r="S278" i="5"/>
  <c r="R279" i="5"/>
  <c r="S279" i="5"/>
  <c r="R280" i="5"/>
  <c r="S280" i="5"/>
  <c r="R281" i="5"/>
  <c r="S281" i="5"/>
  <c r="R282" i="5"/>
  <c r="S282" i="5"/>
  <c r="R283" i="5"/>
  <c r="S283" i="5"/>
  <c r="R284" i="5"/>
  <c r="S284" i="5"/>
  <c r="R285" i="5"/>
  <c r="S285" i="5"/>
  <c r="R286" i="5"/>
  <c r="S286" i="5"/>
  <c r="R287" i="5"/>
  <c r="S287" i="5"/>
  <c r="R288" i="5"/>
  <c r="S288" i="5"/>
  <c r="R289" i="5"/>
  <c r="S289" i="5"/>
  <c r="R290" i="5"/>
  <c r="S290" i="5"/>
  <c r="R291" i="5"/>
  <c r="S291" i="5"/>
  <c r="R292" i="5"/>
  <c r="S292" i="5"/>
  <c r="R293" i="5"/>
  <c r="S293" i="5"/>
  <c r="R294" i="5"/>
  <c r="S294" i="5"/>
  <c r="R295" i="5"/>
  <c r="S295" i="5"/>
  <c r="R296" i="5"/>
  <c r="S296" i="5"/>
  <c r="R297" i="5"/>
  <c r="S297" i="5"/>
  <c r="R298" i="5"/>
  <c r="S298" i="5"/>
  <c r="R299" i="5"/>
  <c r="S299" i="5"/>
  <c r="R300" i="5"/>
  <c r="S300" i="5"/>
  <c r="R301" i="5"/>
  <c r="S301" i="5"/>
  <c r="R302" i="5"/>
  <c r="S302" i="5"/>
  <c r="R303" i="5"/>
  <c r="S303" i="5"/>
  <c r="R304" i="5"/>
  <c r="S304" i="5"/>
  <c r="R305" i="5"/>
  <c r="S305" i="5"/>
  <c r="R306" i="5"/>
  <c r="S306" i="5"/>
  <c r="R307" i="5"/>
  <c r="S307" i="5"/>
  <c r="R308" i="5"/>
  <c r="S308" i="5"/>
  <c r="R309" i="5"/>
  <c r="S309" i="5"/>
  <c r="R310" i="5"/>
  <c r="S310" i="5"/>
  <c r="R311" i="5"/>
  <c r="S311" i="5"/>
  <c r="R312" i="5"/>
  <c r="S312" i="5"/>
  <c r="R313" i="5"/>
  <c r="S313" i="5"/>
  <c r="R314" i="5"/>
  <c r="S314" i="5"/>
  <c r="R315" i="5"/>
  <c r="S315" i="5"/>
  <c r="R316" i="5"/>
  <c r="S316" i="5"/>
  <c r="R317" i="5"/>
  <c r="S317" i="5"/>
  <c r="R318" i="5"/>
  <c r="S318" i="5"/>
  <c r="R319" i="5"/>
  <c r="S319" i="5"/>
  <c r="R320" i="5"/>
  <c r="S320" i="5"/>
  <c r="R321" i="5"/>
  <c r="S321" i="5"/>
  <c r="R322" i="5"/>
  <c r="S322" i="5"/>
  <c r="R323" i="5"/>
  <c r="S323" i="5"/>
  <c r="R324" i="5"/>
  <c r="S324" i="5"/>
  <c r="R325" i="5"/>
  <c r="S325" i="5"/>
  <c r="R326" i="5"/>
  <c r="S326" i="5"/>
  <c r="R327" i="5"/>
  <c r="S327" i="5"/>
  <c r="R328" i="5"/>
  <c r="S328" i="5"/>
  <c r="R329" i="5"/>
  <c r="S329" i="5"/>
  <c r="R330" i="5"/>
  <c r="S330" i="5"/>
  <c r="R331" i="5"/>
  <c r="S331" i="5"/>
  <c r="R332" i="5"/>
  <c r="S332" i="5"/>
  <c r="R333" i="5"/>
  <c r="S333" i="5"/>
  <c r="R334" i="5"/>
  <c r="S334" i="5"/>
  <c r="R335" i="5"/>
  <c r="S335" i="5"/>
  <c r="R336" i="5"/>
  <c r="S336" i="5"/>
  <c r="R337" i="5"/>
  <c r="S337" i="5"/>
  <c r="R338" i="5"/>
  <c r="S338" i="5"/>
  <c r="R339" i="5"/>
  <c r="S339" i="5"/>
  <c r="R340" i="5"/>
  <c r="S340" i="5"/>
  <c r="S240" i="5"/>
  <c r="R240" i="5"/>
  <c r="S239" i="5"/>
  <c r="R239" i="5"/>
  <c r="S238" i="5"/>
  <c r="R238" i="5"/>
  <c r="S237" i="5"/>
  <c r="R237" i="5"/>
  <c r="S236" i="5"/>
  <c r="R236" i="5"/>
  <c r="S235" i="5"/>
  <c r="R235" i="5"/>
  <c r="S234" i="5"/>
  <c r="R234" i="5"/>
  <c r="S233" i="5"/>
  <c r="R233" i="5"/>
  <c r="S232" i="5"/>
  <c r="R232" i="5"/>
  <c r="S231" i="5"/>
  <c r="R231" i="5"/>
  <c r="S230" i="5"/>
  <c r="R230" i="5"/>
  <c r="S229" i="5"/>
  <c r="R229" i="5"/>
  <c r="S228" i="5"/>
  <c r="R228" i="5"/>
  <c r="S227" i="5"/>
  <c r="R227" i="5"/>
  <c r="S226" i="5"/>
  <c r="R226" i="5"/>
  <c r="S225" i="5"/>
  <c r="R225" i="5"/>
  <c r="S224" i="5"/>
  <c r="R224" i="5"/>
  <c r="S223" i="5"/>
  <c r="R223" i="5"/>
  <c r="S222" i="5"/>
  <c r="R222" i="5"/>
  <c r="S221" i="5"/>
  <c r="R221" i="5"/>
  <c r="S220" i="5"/>
  <c r="R220" i="5"/>
  <c r="S219" i="5"/>
  <c r="R219" i="5"/>
  <c r="S218" i="5"/>
  <c r="R218" i="5"/>
  <c r="S217" i="5"/>
  <c r="R217" i="5"/>
  <c r="S216" i="5"/>
  <c r="R216" i="5"/>
  <c r="S215" i="5"/>
  <c r="R215" i="5"/>
  <c r="S214" i="5"/>
  <c r="R214" i="5"/>
  <c r="S213" i="5"/>
  <c r="R213" i="5"/>
  <c r="S212" i="5"/>
  <c r="R212" i="5"/>
  <c r="S211" i="5"/>
  <c r="R211" i="5"/>
  <c r="S210" i="5"/>
  <c r="R210" i="5"/>
  <c r="S209" i="5"/>
  <c r="R209" i="5"/>
  <c r="S208" i="5"/>
  <c r="R208" i="5"/>
  <c r="S207" i="5"/>
  <c r="R207" i="5"/>
  <c r="S206" i="5"/>
  <c r="R206" i="5"/>
  <c r="S205" i="5"/>
  <c r="R205" i="5"/>
  <c r="S204" i="5"/>
  <c r="R204" i="5"/>
  <c r="S203" i="5"/>
  <c r="R203" i="5"/>
  <c r="S202" i="5"/>
  <c r="R202" i="5"/>
  <c r="S201" i="5"/>
  <c r="R201" i="5"/>
  <c r="S200" i="5"/>
  <c r="R200" i="5"/>
  <c r="S199" i="5"/>
  <c r="R199" i="5"/>
  <c r="S198" i="5"/>
  <c r="R198" i="5"/>
  <c r="S197" i="5"/>
  <c r="R197" i="5"/>
  <c r="S196" i="5"/>
  <c r="R196" i="5"/>
  <c r="S195" i="5"/>
  <c r="R195" i="5"/>
  <c r="S194" i="5"/>
  <c r="R194" i="5"/>
  <c r="S193" i="5"/>
  <c r="R193" i="5"/>
  <c r="S192" i="5"/>
  <c r="R192" i="5"/>
  <c r="S191" i="5"/>
  <c r="R191" i="5"/>
  <c r="S190" i="5"/>
  <c r="R190" i="5"/>
  <c r="S189" i="5"/>
  <c r="R189" i="5"/>
  <c r="S188" i="5"/>
  <c r="R188" i="5"/>
  <c r="S187" i="5"/>
  <c r="R187" i="5"/>
  <c r="S186" i="5"/>
  <c r="R186" i="5"/>
  <c r="S185" i="5"/>
  <c r="R185" i="5"/>
  <c r="S184" i="5"/>
  <c r="R184" i="5"/>
  <c r="S183" i="5"/>
  <c r="R183" i="5"/>
  <c r="S182" i="5"/>
  <c r="R182" i="5"/>
  <c r="S181" i="5"/>
  <c r="R181" i="5"/>
  <c r="S180" i="5"/>
  <c r="R180" i="5"/>
  <c r="S179" i="5"/>
  <c r="R179" i="5"/>
  <c r="S178" i="5"/>
  <c r="R178" i="5"/>
  <c r="S177" i="5"/>
  <c r="R177" i="5"/>
  <c r="S176" i="5"/>
  <c r="R176" i="5"/>
  <c r="S175" i="5"/>
  <c r="R175" i="5"/>
  <c r="S174" i="5"/>
  <c r="R174" i="5"/>
  <c r="S173" i="5"/>
  <c r="R173" i="5"/>
  <c r="S172" i="5"/>
  <c r="R172" i="5"/>
  <c r="S171" i="5"/>
  <c r="R171" i="5"/>
  <c r="S170" i="5"/>
  <c r="R170" i="5"/>
  <c r="S169" i="5"/>
  <c r="R169" i="5"/>
  <c r="S168" i="5"/>
  <c r="R168" i="5"/>
  <c r="S167" i="5"/>
  <c r="R167" i="5"/>
  <c r="S166" i="5"/>
  <c r="R166" i="5"/>
  <c r="S165" i="5"/>
  <c r="R165" i="5"/>
  <c r="S164" i="5"/>
  <c r="R164" i="5"/>
  <c r="S163" i="5"/>
  <c r="R163" i="5"/>
  <c r="S162" i="5"/>
  <c r="R162" i="5"/>
  <c r="S161" i="5"/>
  <c r="R161" i="5"/>
  <c r="S160" i="5"/>
  <c r="R160" i="5"/>
  <c r="S159" i="5"/>
  <c r="R159" i="5"/>
  <c r="S158" i="5"/>
  <c r="R158" i="5"/>
  <c r="S157" i="5"/>
  <c r="R157" i="5"/>
  <c r="S156" i="5"/>
  <c r="R156" i="5"/>
  <c r="S155" i="5"/>
  <c r="R155" i="5"/>
  <c r="S154" i="5"/>
  <c r="R154" i="5"/>
  <c r="S153" i="5"/>
  <c r="R153" i="5"/>
  <c r="S152" i="5"/>
  <c r="R152" i="5"/>
  <c r="S151" i="5"/>
  <c r="R151" i="5"/>
  <c r="S150" i="5"/>
  <c r="R150" i="5"/>
  <c r="S149" i="5"/>
  <c r="R149" i="5"/>
  <c r="S148" i="5"/>
  <c r="R148" i="5"/>
  <c r="S147" i="5"/>
  <c r="R147" i="5"/>
  <c r="S146" i="5"/>
  <c r="R146" i="5"/>
  <c r="S145" i="5"/>
  <c r="R145" i="5"/>
  <c r="S144" i="5"/>
  <c r="R144" i="5"/>
  <c r="S143" i="5"/>
  <c r="R143" i="5"/>
  <c r="S142" i="5"/>
  <c r="R142" i="5"/>
  <c r="S141" i="5"/>
  <c r="R141" i="5"/>
  <c r="S140" i="5"/>
  <c r="R140" i="5"/>
  <c r="S139" i="5"/>
  <c r="R139" i="5"/>
  <c r="S138" i="5"/>
  <c r="R138" i="5"/>
  <c r="S137" i="5"/>
  <c r="R137" i="5"/>
  <c r="S136" i="5"/>
  <c r="R136" i="5"/>
  <c r="S135" i="5"/>
  <c r="R135" i="5"/>
  <c r="S134" i="5"/>
  <c r="R134" i="5"/>
  <c r="S133" i="5"/>
  <c r="R133" i="5"/>
  <c r="S132" i="5"/>
  <c r="R132" i="5"/>
  <c r="S131" i="5"/>
  <c r="R131" i="5"/>
  <c r="S130" i="5"/>
  <c r="R130" i="5"/>
  <c r="S129" i="5"/>
  <c r="R129" i="5"/>
  <c r="S128" i="5"/>
  <c r="R128" i="5"/>
  <c r="S127" i="5"/>
  <c r="R127" i="5"/>
  <c r="S126" i="5"/>
  <c r="R126" i="5"/>
  <c r="S125" i="5"/>
  <c r="R125" i="5"/>
  <c r="S124" i="5"/>
  <c r="R124" i="5"/>
  <c r="S123" i="5"/>
  <c r="R123" i="5"/>
  <c r="S122" i="5"/>
  <c r="R122" i="5"/>
  <c r="S121" i="5"/>
  <c r="R121" i="5"/>
  <c r="S120" i="5"/>
  <c r="R120" i="5"/>
  <c r="S119" i="5"/>
  <c r="R119" i="5"/>
  <c r="S118" i="5"/>
  <c r="R118" i="5"/>
  <c r="S117" i="5"/>
  <c r="R117" i="5"/>
  <c r="S116" i="5"/>
  <c r="R116" i="5"/>
  <c r="S115" i="5"/>
  <c r="R115" i="5"/>
  <c r="S114" i="5"/>
  <c r="R114" i="5"/>
  <c r="S113" i="5"/>
  <c r="R113" i="5"/>
  <c r="S112" i="5"/>
  <c r="R112" i="5"/>
  <c r="S111" i="5"/>
  <c r="R111" i="5"/>
  <c r="S110" i="5"/>
  <c r="R110" i="5"/>
  <c r="S109" i="5"/>
  <c r="R109" i="5"/>
  <c r="S108" i="5"/>
  <c r="R108" i="5"/>
  <c r="S107" i="5"/>
  <c r="R107" i="5"/>
  <c r="S106" i="5"/>
  <c r="R106" i="5"/>
  <c r="S105" i="5"/>
  <c r="R105" i="5"/>
  <c r="S104" i="5"/>
  <c r="R104" i="5"/>
  <c r="S103" i="5"/>
  <c r="R103" i="5"/>
  <c r="S102" i="5"/>
  <c r="R102" i="5"/>
  <c r="S101" i="5"/>
  <c r="R101" i="5"/>
  <c r="S100" i="5"/>
  <c r="R100" i="5"/>
  <c r="S99" i="5"/>
  <c r="R99" i="5"/>
  <c r="S98" i="5"/>
  <c r="R98" i="5"/>
  <c r="S97" i="5"/>
  <c r="R97" i="5"/>
  <c r="S96" i="5"/>
  <c r="R96" i="5"/>
  <c r="S95" i="5"/>
  <c r="R95" i="5"/>
  <c r="S94" i="5"/>
  <c r="R94" i="5"/>
  <c r="S93" i="5"/>
  <c r="R93" i="5"/>
  <c r="S92" i="5"/>
  <c r="R92" i="5"/>
  <c r="S91" i="5"/>
  <c r="R91" i="5"/>
  <c r="S90" i="5"/>
  <c r="R90" i="5"/>
  <c r="S89" i="5"/>
  <c r="R89" i="5"/>
  <c r="S88" i="5"/>
  <c r="R88" i="5"/>
  <c r="S87" i="5"/>
  <c r="R87" i="5"/>
  <c r="S86" i="5"/>
  <c r="R86" i="5"/>
  <c r="S85" i="5"/>
  <c r="R85" i="5"/>
  <c r="S84" i="5"/>
  <c r="R84" i="5"/>
  <c r="S83" i="5"/>
  <c r="R83" i="5"/>
  <c r="S82" i="5"/>
  <c r="R82" i="5"/>
  <c r="S81" i="5"/>
  <c r="R81" i="5"/>
  <c r="S80" i="5"/>
  <c r="R80" i="5"/>
  <c r="S79" i="5"/>
  <c r="R79" i="5"/>
  <c r="S78" i="5"/>
  <c r="R78" i="5"/>
  <c r="S77" i="5"/>
  <c r="R77" i="5"/>
  <c r="S76" i="5"/>
  <c r="R76" i="5"/>
  <c r="S75" i="5"/>
  <c r="R75" i="5"/>
  <c r="S74" i="5"/>
  <c r="R74" i="5"/>
  <c r="S73" i="5"/>
  <c r="R73" i="5"/>
  <c r="S72" i="5"/>
  <c r="R72" i="5"/>
  <c r="S71" i="5"/>
  <c r="R71" i="5"/>
  <c r="S70" i="5"/>
  <c r="R70" i="5"/>
  <c r="S69" i="5"/>
  <c r="R69" i="5"/>
  <c r="S68" i="5"/>
  <c r="R68" i="5"/>
  <c r="S67" i="5"/>
  <c r="R67" i="5"/>
  <c r="S66" i="5"/>
  <c r="R66" i="5"/>
  <c r="S65" i="5"/>
  <c r="R65" i="5"/>
  <c r="S64" i="5"/>
  <c r="R64" i="5"/>
  <c r="S63" i="5"/>
  <c r="R63" i="5"/>
  <c r="S62" i="5"/>
  <c r="R62" i="5"/>
  <c r="S61" i="5"/>
  <c r="R61" i="5"/>
  <c r="S60" i="5"/>
  <c r="R60" i="5"/>
  <c r="S59" i="5"/>
  <c r="R59" i="5"/>
  <c r="S58" i="5"/>
  <c r="R58" i="5"/>
  <c r="S57" i="5"/>
  <c r="R57" i="5"/>
  <c r="S56" i="5"/>
  <c r="R56" i="5"/>
  <c r="S55" i="5"/>
  <c r="R55" i="5"/>
  <c r="S54" i="5"/>
  <c r="R54" i="5"/>
  <c r="S53" i="5"/>
  <c r="R53" i="5"/>
  <c r="S52" i="5"/>
  <c r="R52" i="5"/>
  <c r="S51" i="5"/>
  <c r="R51" i="5"/>
  <c r="S50" i="5"/>
  <c r="R50" i="5"/>
  <c r="S49" i="5"/>
  <c r="R49" i="5"/>
  <c r="S48" i="5"/>
  <c r="R48" i="5"/>
  <c r="S47" i="5"/>
  <c r="R47" i="5"/>
  <c r="S46" i="5"/>
  <c r="R46" i="5"/>
  <c r="S45" i="5"/>
  <c r="R45" i="5"/>
  <c r="S44" i="5"/>
  <c r="R44" i="5"/>
  <c r="S43" i="5"/>
  <c r="R43" i="5"/>
  <c r="S42" i="5"/>
  <c r="R42" i="5"/>
  <c r="S41" i="5"/>
  <c r="R41" i="5"/>
  <c r="S40" i="5"/>
  <c r="R40" i="5"/>
  <c r="S39" i="5"/>
  <c r="R39" i="5"/>
  <c r="S38" i="5"/>
  <c r="R38" i="5"/>
  <c r="S37" i="5"/>
  <c r="R37" i="5"/>
  <c r="S36" i="5"/>
  <c r="R36" i="5"/>
  <c r="S35" i="5"/>
  <c r="R35" i="5"/>
  <c r="S34" i="5"/>
  <c r="R34" i="5"/>
  <c r="S33" i="5"/>
  <c r="R33" i="5"/>
  <c r="S32" i="5"/>
  <c r="R32" i="5"/>
  <c r="S31" i="5"/>
  <c r="R31" i="5"/>
  <c r="S30" i="5"/>
  <c r="R30" i="5"/>
  <c r="S29" i="5"/>
  <c r="R29" i="5"/>
  <c r="S28" i="5"/>
  <c r="R28" i="5"/>
  <c r="S27" i="5"/>
  <c r="R27" i="5"/>
  <c r="S26" i="5"/>
  <c r="R26" i="5"/>
  <c r="S25" i="5"/>
  <c r="R25" i="5"/>
  <c r="S24" i="5"/>
  <c r="R24" i="5"/>
  <c r="S23" i="5"/>
  <c r="R23" i="5"/>
  <c r="S22" i="5"/>
  <c r="R22" i="5"/>
  <c r="S21" i="5"/>
  <c r="R21" i="5"/>
  <c r="S20" i="5"/>
  <c r="R20" i="5"/>
  <c r="S19" i="5"/>
  <c r="R19" i="5"/>
  <c r="S18" i="5"/>
  <c r="R18" i="5"/>
  <c r="S17" i="5"/>
  <c r="R17" i="5"/>
  <c r="S16" i="5"/>
  <c r="R16" i="5"/>
  <c r="S15" i="5"/>
  <c r="R15" i="5"/>
  <c r="S14" i="5"/>
  <c r="R14" i="5"/>
  <c r="S13" i="5"/>
  <c r="R13" i="5"/>
  <c r="S12" i="5"/>
  <c r="R12" i="5"/>
  <c r="S11" i="5"/>
  <c r="R11" i="5"/>
  <c r="S10" i="5"/>
  <c r="R10" i="5"/>
  <c r="S9" i="5"/>
  <c r="R9" i="5"/>
  <c r="S8" i="5"/>
  <c r="R8" i="5"/>
  <c r="S7" i="5"/>
  <c r="R7" i="5"/>
  <c r="S6" i="5"/>
  <c r="R6" i="5"/>
  <c r="S5" i="5"/>
  <c r="R5" i="5"/>
  <c r="S4" i="5"/>
  <c r="R4" i="5"/>
  <c r="S3" i="5"/>
  <c r="R3" i="5"/>
  <c r="S2" i="5"/>
  <c r="R2" i="5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S264" i="4"/>
  <c r="R264" i="4"/>
  <c r="S263" i="4"/>
  <c r="R263" i="4"/>
  <c r="S262" i="4"/>
  <c r="R262" i="4"/>
  <c r="S261" i="4"/>
  <c r="R261" i="4"/>
  <c r="S260" i="4"/>
  <c r="R260" i="4"/>
  <c r="S259" i="4"/>
  <c r="R259" i="4"/>
  <c r="S258" i="4"/>
  <c r="R258" i="4"/>
  <c r="S257" i="4"/>
  <c r="R257" i="4"/>
  <c r="S256" i="4"/>
  <c r="R256" i="4"/>
  <c r="S255" i="4"/>
  <c r="R255" i="4"/>
  <c r="S254" i="4"/>
  <c r="R254" i="4"/>
  <c r="S253" i="4"/>
  <c r="R253" i="4"/>
  <c r="S252" i="4"/>
  <c r="R252" i="4"/>
  <c r="S251" i="4"/>
  <c r="R251" i="4"/>
  <c r="S250" i="4"/>
  <c r="R250" i="4"/>
  <c r="S249" i="4"/>
  <c r="R249" i="4"/>
  <c r="S248" i="4"/>
  <c r="R248" i="4"/>
  <c r="S247" i="4"/>
  <c r="R247" i="4"/>
  <c r="S246" i="4"/>
  <c r="R246" i="4"/>
  <c r="S245" i="4"/>
  <c r="R245" i="4"/>
  <c r="S244" i="4"/>
  <c r="R244" i="4"/>
  <c r="S243" i="4"/>
  <c r="R243" i="4"/>
  <c r="S242" i="4"/>
  <c r="R242" i="4"/>
  <c r="S241" i="4"/>
  <c r="R241" i="4"/>
  <c r="S240" i="4"/>
  <c r="R240" i="4"/>
  <c r="S239" i="4"/>
  <c r="R239" i="4"/>
  <c r="S238" i="4"/>
  <c r="R238" i="4"/>
  <c r="S237" i="4"/>
  <c r="R237" i="4"/>
  <c r="S236" i="4"/>
  <c r="R236" i="4"/>
  <c r="S235" i="4"/>
  <c r="R235" i="4"/>
  <c r="S234" i="4"/>
  <c r="R234" i="4"/>
  <c r="S233" i="4"/>
  <c r="R233" i="4"/>
  <c r="S232" i="4"/>
  <c r="R232" i="4"/>
  <c r="S231" i="4"/>
  <c r="R231" i="4"/>
  <c r="S230" i="4"/>
  <c r="R230" i="4"/>
  <c r="S229" i="4"/>
  <c r="R229" i="4"/>
  <c r="S228" i="4"/>
  <c r="R228" i="4"/>
  <c r="S227" i="4"/>
  <c r="R227" i="4"/>
  <c r="S226" i="4"/>
  <c r="R226" i="4"/>
  <c r="S225" i="4"/>
  <c r="R225" i="4"/>
  <c r="S224" i="4"/>
  <c r="R224" i="4"/>
  <c r="S223" i="4"/>
  <c r="R223" i="4"/>
  <c r="S222" i="4"/>
  <c r="R222" i="4"/>
  <c r="S221" i="4"/>
  <c r="R221" i="4"/>
  <c r="S220" i="4"/>
  <c r="R220" i="4"/>
  <c r="S219" i="4"/>
  <c r="R219" i="4"/>
  <c r="S218" i="4"/>
  <c r="R218" i="4"/>
  <c r="S217" i="4"/>
  <c r="R217" i="4"/>
  <c r="S216" i="4"/>
  <c r="R216" i="4"/>
  <c r="S215" i="4"/>
  <c r="R215" i="4"/>
  <c r="S214" i="4"/>
  <c r="R214" i="4"/>
  <c r="S213" i="4"/>
  <c r="R213" i="4"/>
  <c r="S212" i="4"/>
  <c r="R212" i="4"/>
  <c r="S211" i="4"/>
  <c r="R211" i="4"/>
  <c r="S210" i="4"/>
  <c r="R210" i="4"/>
  <c r="S209" i="4"/>
  <c r="R209" i="4"/>
  <c r="S208" i="4"/>
  <c r="R208" i="4"/>
  <c r="S207" i="4"/>
  <c r="R207" i="4"/>
  <c r="S206" i="4"/>
  <c r="R206" i="4"/>
  <c r="S205" i="4"/>
  <c r="R205" i="4"/>
  <c r="S204" i="4"/>
  <c r="R204" i="4"/>
  <c r="S203" i="4"/>
  <c r="R203" i="4"/>
  <c r="S202" i="4"/>
  <c r="R202" i="4"/>
  <c r="S201" i="4"/>
  <c r="R201" i="4"/>
  <c r="S200" i="4"/>
  <c r="R200" i="4"/>
  <c r="S199" i="4"/>
  <c r="R199" i="4"/>
  <c r="S198" i="4"/>
  <c r="R198" i="4"/>
  <c r="S197" i="4"/>
  <c r="R197" i="4"/>
  <c r="S195" i="4"/>
  <c r="R195" i="4"/>
  <c r="S194" i="4"/>
  <c r="R194" i="4"/>
  <c r="S193" i="4"/>
  <c r="R193" i="4"/>
  <c r="S192" i="4"/>
  <c r="R192" i="4"/>
  <c r="S191" i="4"/>
  <c r="R191" i="4"/>
  <c r="S190" i="4"/>
  <c r="R190" i="4"/>
  <c r="S189" i="4"/>
  <c r="R189" i="4"/>
  <c r="S188" i="4"/>
  <c r="R188" i="4"/>
  <c r="S187" i="4"/>
  <c r="R187" i="4"/>
  <c r="S186" i="4"/>
  <c r="R186" i="4"/>
  <c r="S185" i="4"/>
  <c r="R185" i="4"/>
  <c r="S184" i="4"/>
  <c r="R184" i="4"/>
  <c r="S183" i="4"/>
  <c r="R183" i="4"/>
  <c r="S182" i="4"/>
  <c r="R182" i="4"/>
  <c r="S181" i="4"/>
  <c r="R181" i="4"/>
  <c r="S180" i="4"/>
  <c r="R180" i="4"/>
  <c r="S179" i="4"/>
  <c r="R179" i="4"/>
  <c r="S178" i="4"/>
  <c r="R178" i="4"/>
  <c r="S177" i="4"/>
  <c r="R177" i="4"/>
  <c r="S176" i="4"/>
  <c r="R176" i="4"/>
  <c r="S175" i="4"/>
  <c r="R175" i="4"/>
  <c r="S174" i="4"/>
  <c r="R174" i="4"/>
  <c r="S173" i="4"/>
  <c r="R173" i="4"/>
  <c r="S172" i="4"/>
  <c r="R172" i="4"/>
  <c r="S171" i="4"/>
  <c r="R171" i="4"/>
  <c r="S170" i="4"/>
  <c r="R170" i="4"/>
  <c r="S169" i="4"/>
  <c r="R169" i="4"/>
  <c r="S168" i="4"/>
  <c r="R168" i="4"/>
  <c r="S167" i="4"/>
  <c r="R167" i="4"/>
  <c r="S166" i="4"/>
  <c r="R166" i="4"/>
  <c r="S165" i="4"/>
  <c r="R165" i="4"/>
  <c r="S164" i="4"/>
  <c r="R164" i="4"/>
  <c r="S163" i="4"/>
  <c r="R163" i="4"/>
  <c r="S162" i="4"/>
  <c r="R162" i="4"/>
  <c r="S161" i="4"/>
  <c r="R161" i="4"/>
  <c r="S160" i="4"/>
  <c r="R160" i="4"/>
  <c r="S159" i="4"/>
  <c r="R159" i="4"/>
  <c r="S158" i="4"/>
  <c r="R158" i="4"/>
  <c r="S157" i="4"/>
  <c r="R157" i="4"/>
  <c r="S156" i="4"/>
  <c r="R156" i="4"/>
  <c r="S155" i="4"/>
  <c r="R155" i="4"/>
  <c r="S154" i="4"/>
  <c r="R154" i="4"/>
  <c r="S153" i="4"/>
  <c r="R153" i="4"/>
  <c r="S152" i="4"/>
  <c r="R152" i="4"/>
  <c r="S151" i="4"/>
  <c r="R151" i="4"/>
  <c r="S150" i="4"/>
  <c r="R150" i="4"/>
  <c r="S149" i="4"/>
  <c r="R149" i="4"/>
  <c r="S148" i="4"/>
  <c r="R148" i="4"/>
  <c r="S147" i="4"/>
  <c r="R147" i="4"/>
  <c r="S146" i="4"/>
  <c r="R146" i="4"/>
  <c r="S145" i="4"/>
  <c r="R145" i="4"/>
  <c r="S144" i="4"/>
  <c r="R144" i="4"/>
  <c r="S143" i="4"/>
  <c r="R143" i="4"/>
  <c r="S142" i="4"/>
  <c r="R142" i="4"/>
  <c r="S141" i="4"/>
  <c r="R141" i="4"/>
  <c r="S140" i="4"/>
  <c r="R140" i="4"/>
  <c r="S139" i="4"/>
  <c r="R139" i="4"/>
  <c r="S138" i="4"/>
  <c r="R138" i="4"/>
  <c r="S137" i="4"/>
  <c r="R137" i="4"/>
  <c r="S136" i="4"/>
  <c r="R136" i="4"/>
  <c r="S135" i="4"/>
  <c r="R135" i="4"/>
  <c r="S134" i="4"/>
  <c r="R134" i="4"/>
  <c r="S133" i="4"/>
  <c r="R133" i="4"/>
  <c r="S132" i="4"/>
  <c r="R132" i="4"/>
  <c r="S131" i="4"/>
  <c r="R131" i="4"/>
  <c r="S130" i="4"/>
  <c r="R130" i="4"/>
  <c r="S129" i="4"/>
  <c r="R129" i="4"/>
  <c r="S128" i="4"/>
  <c r="R128" i="4"/>
  <c r="S127" i="4"/>
  <c r="R127" i="4"/>
  <c r="S126" i="4"/>
  <c r="R126" i="4"/>
  <c r="S125" i="4"/>
  <c r="R125" i="4"/>
  <c r="S124" i="4"/>
  <c r="R124" i="4"/>
  <c r="S123" i="4"/>
  <c r="R123" i="4"/>
  <c r="S122" i="4"/>
  <c r="R122" i="4"/>
  <c r="S121" i="4"/>
  <c r="R121" i="4"/>
  <c r="S120" i="4"/>
  <c r="R120" i="4"/>
  <c r="S119" i="4"/>
  <c r="R119" i="4"/>
  <c r="S118" i="4"/>
  <c r="R118" i="4"/>
  <c r="S117" i="4"/>
  <c r="R117" i="4"/>
  <c r="S116" i="4"/>
  <c r="R116" i="4"/>
  <c r="S115" i="4"/>
  <c r="R115" i="4"/>
  <c r="S114" i="4"/>
  <c r="R114" i="4"/>
  <c r="S113" i="4"/>
  <c r="R113" i="4"/>
  <c r="S112" i="4"/>
  <c r="R112" i="4"/>
  <c r="S111" i="4"/>
  <c r="R111" i="4"/>
  <c r="S110" i="4"/>
  <c r="R110" i="4"/>
  <c r="S109" i="4"/>
  <c r="R109" i="4"/>
  <c r="S108" i="4"/>
  <c r="R108" i="4"/>
  <c r="S107" i="4"/>
  <c r="R107" i="4"/>
  <c r="S106" i="4"/>
  <c r="R106" i="4"/>
  <c r="S105" i="4"/>
  <c r="R105" i="4"/>
  <c r="S104" i="4"/>
  <c r="R104" i="4"/>
  <c r="S103" i="4"/>
  <c r="R103" i="4"/>
  <c r="S102" i="4"/>
  <c r="R102" i="4"/>
  <c r="S101" i="4"/>
  <c r="R101" i="4"/>
  <c r="S100" i="4"/>
  <c r="R100" i="4"/>
  <c r="S99" i="4"/>
  <c r="R99" i="4"/>
  <c r="S98" i="4"/>
  <c r="R98" i="4"/>
  <c r="S97" i="4"/>
  <c r="R97" i="4"/>
  <c r="S96" i="4"/>
  <c r="R96" i="4"/>
  <c r="S95" i="4"/>
  <c r="R95" i="4"/>
  <c r="S94" i="4"/>
  <c r="R94" i="4"/>
  <c r="S93" i="4"/>
  <c r="R93" i="4"/>
  <c r="S92" i="4"/>
  <c r="R92" i="4"/>
  <c r="S91" i="4"/>
  <c r="R91" i="4"/>
  <c r="S90" i="4"/>
  <c r="R90" i="4"/>
  <c r="S89" i="4"/>
  <c r="R89" i="4"/>
  <c r="S88" i="4"/>
  <c r="R88" i="4"/>
  <c r="S87" i="4"/>
  <c r="R87" i="4"/>
  <c r="S86" i="4"/>
  <c r="R86" i="4"/>
  <c r="S85" i="4"/>
  <c r="R85" i="4"/>
  <c r="S84" i="4"/>
  <c r="R84" i="4"/>
  <c r="S83" i="4"/>
  <c r="R83" i="4"/>
  <c r="S82" i="4"/>
  <c r="R82" i="4"/>
  <c r="S81" i="4"/>
  <c r="R81" i="4"/>
  <c r="S80" i="4"/>
  <c r="R80" i="4"/>
  <c r="S79" i="4"/>
  <c r="R79" i="4"/>
  <c r="S78" i="4"/>
  <c r="R78" i="4"/>
  <c r="S77" i="4"/>
  <c r="R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S62" i="4"/>
  <c r="R62" i="4"/>
  <c r="S61" i="4"/>
  <c r="R61" i="4"/>
  <c r="S60" i="4"/>
  <c r="R60" i="4"/>
  <c r="S59" i="4"/>
  <c r="R59" i="4"/>
  <c r="S58" i="4"/>
  <c r="R58" i="4"/>
  <c r="S57" i="4"/>
  <c r="R57" i="4"/>
  <c r="S56" i="4"/>
  <c r="R56" i="4"/>
  <c r="S55" i="4"/>
  <c r="R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S46" i="4"/>
  <c r="R46" i="4"/>
  <c r="S45" i="4"/>
  <c r="R45" i="4"/>
  <c r="S44" i="4"/>
  <c r="R44" i="4"/>
  <c r="S43" i="4"/>
  <c r="R43" i="4"/>
  <c r="S42" i="4"/>
  <c r="R42" i="4"/>
  <c r="S41" i="4"/>
  <c r="R41" i="4"/>
  <c r="S40" i="4"/>
  <c r="R40" i="4"/>
  <c r="S39" i="4"/>
  <c r="R39" i="4"/>
  <c r="S38" i="4"/>
  <c r="R38" i="4"/>
  <c r="S37" i="4"/>
  <c r="R37" i="4"/>
  <c r="S36" i="4"/>
  <c r="R36" i="4"/>
  <c r="S35" i="4"/>
  <c r="R35" i="4"/>
  <c r="S34" i="4"/>
  <c r="R34" i="4"/>
  <c r="S33" i="4"/>
  <c r="R33" i="4"/>
  <c r="S32" i="4"/>
  <c r="R32" i="4"/>
  <c r="S31" i="4"/>
  <c r="R31" i="4"/>
  <c r="S30" i="4"/>
  <c r="R30" i="4"/>
  <c r="S29" i="4"/>
  <c r="R29" i="4"/>
  <c r="S28" i="4"/>
  <c r="R28" i="4"/>
  <c r="S27" i="4"/>
  <c r="R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S7" i="4"/>
  <c r="R7" i="4"/>
  <c r="S6" i="4"/>
  <c r="R6" i="4"/>
  <c r="S5" i="4"/>
  <c r="R5" i="4"/>
  <c r="S4" i="4"/>
  <c r="R4" i="4"/>
  <c r="S3" i="4"/>
  <c r="R3" i="4"/>
  <c r="S2" i="4"/>
  <c r="R2" i="4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S787" i="3"/>
  <c r="R787" i="3"/>
  <c r="S786" i="3"/>
  <c r="R786" i="3"/>
  <c r="S785" i="3"/>
  <c r="R785" i="3"/>
  <c r="S784" i="3"/>
  <c r="R784" i="3"/>
  <c r="S783" i="3"/>
  <c r="R783" i="3"/>
  <c r="S782" i="3"/>
  <c r="R782" i="3"/>
  <c r="S781" i="3"/>
  <c r="R781" i="3"/>
  <c r="S780" i="3"/>
  <c r="R780" i="3"/>
  <c r="S779" i="3"/>
  <c r="R779" i="3"/>
  <c r="S778" i="3"/>
  <c r="R778" i="3"/>
  <c r="S777" i="3"/>
  <c r="R777" i="3"/>
  <c r="S776" i="3"/>
  <c r="R776" i="3"/>
  <c r="S775" i="3"/>
  <c r="R775" i="3"/>
  <c r="S774" i="3"/>
  <c r="R774" i="3"/>
  <c r="S773" i="3"/>
  <c r="R773" i="3"/>
  <c r="S772" i="3"/>
  <c r="R772" i="3"/>
  <c r="S771" i="3"/>
  <c r="R771" i="3"/>
  <c r="S770" i="3"/>
  <c r="R770" i="3"/>
  <c r="S769" i="3"/>
  <c r="R769" i="3"/>
  <c r="S768" i="3"/>
  <c r="R768" i="3"/>
  <c r="S767" i="3"/>
  <c r="R767" i="3"/>
  <c r="S766" i="3"/>
  <c r="R766" i="3"/>
  <c r="S765" i="3"/>
  <c r="R765" i="3"/>
  <c r="S764" i="3"/>
  <c r="R764" i="3"/>
  <c r="S763" i="3"/>
  <c r="R763" i="3"/>
  <c r="S762" i="3"/>
  <c r="R762" i="3"/>
  <c r="S761" i="3"/>
  <c r="R761" i="3"/>
  <c r="S760" i="3"/>
  <c r="R760" i="3"/>
  <c r="S759" i="3"/>
  <c r="R759" i="3"/>
  <c r="S758" i="3"/>
  <c r="R758" i="3"/>
  <c r="S757" i="3"/>
  <c r="R757" i="3"/>
  <c r="S756" i="3"/>
  <c r="R756" i="3"/>
  <c r="S755" i="3"/>
  <c r="R755" i="3"/>
  <c r="S754" i="3"/>
  <c r="R754" i="3"/>
  <c r="S753" i="3"/>
  <c r="R753" i="3"/>
  <c r="S752" i="3"/>
  <c r="R752" i="3"/>
  <c r="S751" i="3"/>
  <c r="R751" i="3"/>
  <c r="S750" i="3"/>
  <c r="R750" i="3"/>
  <c r="S749" i="3"/>
  <c r="R749" i="3"/>
  <c r="S748" i="3"/>
  <c r="R748" i="3"/>
  <c r="S747" i="3"/>
  <c r="R747" i="3"/>
  <c r="S746" i="3"/>
  <c r="R746" i="3"/>
  <c r="S745" i="3"/>
  <c r="R745" i="3"/>
  <c r="S744" i="3"/>
  <c r="R744" i="3"/>
  <c r="S743" i="3"/>
  <c r="R743" i="3"/>
  <c r="S742" i="3"/>
  <c r="R742" i="3"/>
  <c r="S741" i="3"/>
  <c r="R741" i="3"/>
  <c r="S740" i="3"/>
  <c r="R740" i="3"/>
  <c r="S739" i="3"/>
  <c r="R739" i="3"/>
  <c r="S738" i="3"/>
  <c r="R738" i="3"/>
  <c r="S737" i="3"/>
  <c r="R737" i="3"/>
  <c r="S736" i="3"/>
  <c r="R736" i="3"/>
  <c r="S735" i="3"/>
  <c r="R735" i="3"/>
  <c r="S734" i="3"/>
  <c r="R734" i="3"/>
  <c r="S733" i="3"/>
  <c r="R733" i="3"/>
  <c r="S732" i="3"/>
  <c r="R732" i="3"/>
  <c r="S731" i="3"/>
  <c r="R731" i="3"/>
  <c r="S728" i="3"/>
  <c r="R728" i="3"/>
  <c r="S727" i="3"/>
  <c r="R727" i="3"/>
  <c r="S726" i="3"/>
  <c r="R726" i="3"/>
  <c r="S725" i="3"/>
  <c r="R725" i="3"/>
  <c r="S724" i="3"/>
  <c r="R724" i="3"/>
  <c r="S723" i="3"/>
  <c r="R723" i="3"/>
  <c r="S722" i="3"/>
  <c r="R722" i="3"/>
  <c r="S721" i="3"/>
  <c r="R721" i="3"/>
  <c r="S720" i="3"/>
  <c r="R720" i="3"/>
  <c r="S719" i="3"/>
  <c r="R719" i="3"/>
  <c r="S718" i="3"/>
  <c r="R718" i="3"/>
  <c r="S717" i="3"/>
  <c r="R717" i="3"/>
  <c r="S730" i="3"/>
  <c r="R730" i="3"/>
  <c r="S729" i="3"/>
  <c r="R729" i="3"/>
  <c r="S716" i="3"/>
  <c r="R716" i="3"/>
  <c r="S715" i="3"/>
  <c r="R715" i="3"/>
  <c r="S714" i="3"/>
  <c r="R714" i="3"/>
  <c r="S713" i="3"/>
  <c r="R713" i="3"/>
  <c r="S712" i="3"/>
  <c r="R712" i="3"/>
  <c r="S711" i="3"/>
  <c r="R711" i="3"/>
  <c r="S710" i="3"/>
  <c r="R710" i="3"/>
  <c r="S709" i="3"/>
  <c r="R709" i="3"/>
  <c r="S708" i="3"/>
  <c r="R708" i="3"/>
  <c r="S707" i="3"/>
  <c r="R707" i="3"/>
  <c r="S706" i="3"/>
  <c r="R706" i="3"/>
  <c r="S705" i="3"/>
  <c r="R705" i="3"/>
  <c r="S704" i="3"/>
  <c r="R704" i="3"/>
  <c r="S703" i="3"/>
  <c r="R703" i="3"/>
  <c r="S702" i="3"/>
  <c r="R702" i="3"/>
  <c r="S701" i="3"/>
  <c r="R701" i="3"/>
  <c r="S700" i="3"/>
  <c r="R700" i="3"/>
  <c r="S699" i="3"/>
  <c r="R699" i="3"/>
  <c r="S698" i="3"/>
  <c r="R698" i="3"/>
  <c r="S697" i="3"/>
  <c r="R697" i="3"/>
  <c r="S696" i="3"/>
  <c r="R696" i="3"/>
  <c r="S695" i="3"/>
  <c r="R695" i="3"/>
  <c r="S694" i="3"/>
  <c r="R694" i="3"/>
  <c r="S693" i="3"/>
  <c r="R693" i="3"/>
  <c r="S692" i="3"/>
  <c r="R692" i="3"/>
  <c r="S691" i="3"/>
  <c r="R691" i="3"/>
  <c r="S690" i="3"/>
  <c r="R690" i="3"/>
  <c r="S689" i="3"/>
  <c r="R689" i="3"/>
  <c r="S688" i="3"/>
  <c r="R688" i="3"/>
  <c r="S687" i="3"/>
  <c r="R687" i="3"/>
  <c r="S686" i="3"/>
  <c r="R686" i="3"/>
  <c r="S685" i="3"/>
  <c r="R685" i="3"/>
  <c r="S684" i="3"/>
  <c r="R684" i="3"/>
  <c r="S683" i="3"/>
  <c r="R683" i="3"/>
  <c r="S682" i="3"/>
  <c r="R682" i="3"/>
  <c r="S681" i="3"/>
  <c r="R681" i="3"/>
  <c r="S680" i="3"/>
  <c r="R680" i="3"/>
  <c r="S679" i="3"/>
  <c r="R679" i="3"/>
  <c r="S678" i="3"/>
  <c r="R678" i="3"/>
  <c r="S677" i="3"/>
  <c r="R677" i="3"/>
  <c r="S676" i="3"/>
  <c r="R676" i="3"/>
  <c r="S675" i="3"/>
  <c r="R675" i="3"/>
  <c r="S674" i="3"/>
  <c r="R674" i="3"/>
  <c r="S673" i="3"/>
  <c r="R673" i="3"/>
  <c r="S672" i="3"/>
  <c r="R672" i="3"/>
  <c r="S671" i="3"/>
  <c r="R671" i="3"/>
  <c r="S670" i="3"/>
  <c r="R670" i="3"/>
  <c r="S669" i="3"/>
  <c r="R669" i="3"/>
  <c r="S668" i="3"/>
  <c r="R668" i="3"/>
  <c r="S667" i="3"/>
  <c r="R667" i="3"/>
  <c r="S666" i="3"/>
  <c r="R666" i="3"/>
  <c r="S665" i="3"/>
  <c r="R665" i="3"/>
  <c r="S664" i="3"/>
  <c r="R664" i="3"/>
  <c r="S663" i="3"/>
  <c r="R663" i="3"/>
  <c r="S662" i="3"/>
  <c r="R662" i="3"/>
  <c r="S661" i="3"/>
  <c r="R661" i="3"/>
  <c r="S660" i="3"/>
  <c r="R660" i="3"/>
  <c r="S659" i="3"/>
  <c r="R659" i="3"/>
  <c r="S658" i="3"/>
  <c r="R658" i="3"/>
  <c r="S657" i="3"/>
  <c r="R657" i="3"/>
  <c r="S656" i="3"/>
  <c r="R656" i="3"/>
  <c r="S655" i="3"/>
  <c r="R655" i="3"/>
  <c r="S654" i="3"/>
  <c r="R654" i="3"/>
  <c r="S653" i="3"/>
  <c r="R653" i="3"/>
  <c r="S652" i="3"/>
  <c r="R652" i="3"/>
  <c r="S651" i="3"/>
  <c r="R651" i="3"/>
  <c r="S650" i="3"/>
  <c r="R650" i="3"/>
  <c r="S649" i="3"/>
  <c r="R649" i="3"/>
  <c r="S648" i="3"/>
  <c r="R648" i="3"/>
  <c r="S647" i="3"/>
  <c r="R647" i="3"/>
  <c r="S646" i="3"/>
  <c r="R646" i="3"/>
  <c r="S645" i="3"/>
  <c r="R645" i="3"/>
  <c r="S644" i="3"/>
  <c r="R644" i="3"/>
  <c r="S643" i="3"/>
  <c r="R643" i="3"/>
  <c r="S642" i="3"/>
  <c r="R642" i="3"/>
  <c r="S641" i="3"/>
  <c r="R641" i="3"/>
  <c r="S640" i="3"/>
  <c r="R640" i="3"/>
  <c r="S639" i="3"/>
  <c r="R639" i="3"/>
  <c r="S638" i="3"/>
  <c r="R638" i="3"/>
  <c r="S637" i="3"/>
  <c r="R637" i="3"/>
  <c r="S636" i="3"/>
  <c r="R636" i="3"/>
  <c r="S635" i="3"/>
  <c r="R635" i="3"/>
  <c r="S634" i="3"/>
  <c r="R634" i="3"/>
  <c r="S633" i="3"/>
  <c r="R633" i="3"/>
  <c r="S632" i="3"/>
  <c r="R632" i="3"/>
  <c r="S631" i="3"/>
  <c r="R631" i="3"/>
  <c r="S630" i="3"/>
  <c r="R630" i="3"/>
  <c r="S629" i="3"/>
  <c r="R629" i="3"/>
  <c r="S628" i="3"/>
  <c r="R628" i="3"/>
  <c r="S627" i="3"/>
  <c r="R627" i="3"/>
  <c r="S626" i="3"/>
  <c r="R626" i="3"/>
  <c r="S625" i="3"/>
  <c r="R625" i="3"/>
  <c r="S624" i="3"/>
  <c r="R624" i="3"/>
  <c r="S623" i="3"/>
  <c r="R623" i="3"/>
  <c r="S622" i="3"/>
  <c r="R622" i="3"/>
  <c r="S621" i="3"/>
  <c r="R621" i="3"/>
  <c r="S620" i="3"/>
  <c r="R620" i="3"/>
  <c r="S619" i="3"/>
  <c r="R619" i="3"/>
  <c r="S618" i="3"/>
  <c r="R618" i="3"/>
  <c r="S617" i="3"/>
  <c r="R617" i="3"/>
  <c r="S616" i="3"/>
  <c r="R616" i="3"/>
  <c r="S615" i="3"/>
  <c r="R615" i="3"/>
  <c r="S614" i="3"/>
  <c r="R614" i="3"/>
  <c r="S613" i="3"/>
  <c r="R613" i="3"/>
  <c r="S612" i="3"/>
  <c r="R612" i="3"/>
  <c r="S611" i="3"/>
  <c r="R611" i="3"/>
  <c r="S610" i="3"/>
  <c r="R610" i="3"/>
  <c r="S609" i="3"/>
  <c r="R609" i="3"/>
  <c r="S608" i="3"/>
  <c r="R608" i="3"/>
  <c r="S607" i="3"/>
  <c r="R607" i="3"/>
  <c r="S606" i="3"/>
  <c r="R606" i="3"/>
  <c r="S605" i="3"/>
  <c r="R605" i="3"/>
  <c r="S604" i="3"/>
  <c r="R604" i="3"/>
  <c r="S603" i="3"/>
  <c r="R603" i="3"/>
  <c r="S602" i="3"/>
  <c r="R602" i="3"/>
  <c r="S601" i="3"/>
  <c r="R601" i="3"/>
  <c r="S600" i="3"/>
  <c r="R600" i="3"/>
  <c r="S599" i="3"/>
  <c r="R599" i="3"/>
  <c r="S598" i="3"/>
  <c r="R598" i="3"/>
  <c r="S597" i="3"/>
  <c r="R597" i="3"/>
  <c r="S596" i="3"/>
  <c r="R596" i="3"/>
  <c r="S595" i="3"/>
  <c r="R595" i="3"/>
  <c r="S594" i="3"/>
  <c r="R594" i="3"/>
  <c r="S593" i="3"/>
  <c r="R593" i="3"/>
  <c r="S592" i="3"/>
  <c r="R592" i="3"/>
  <c r="S591" i="3"/>
  <c r="R591" i="3"/>
  <c r="S590" i="3"/>
  <c r="R590" i="3"/>
  <c r="S589" i="3"/>
  <c r="R589" i="3"/>
  <c r="S588" i="3"/>
  <c r="R588" i="3"/>
  <c r="S587" i="3"/>
  <c r="R587" i="3"/>
  <c r="S586" i="3"/>
  <c r="R586" i="3"/>
  <c r="S585" i="3"/>
  <c r="R585" i="3"/>
  <c r="S584" i="3"/>
  <c r="R584" i="3"/>
  <c r="S583" i="3"/>
  <c r="R583" i="3"/>
  <c r="S582" i="3"/>
  <c r="R582" i="3"/>
  <c r="S581" i="3"/>
  <c r="R581" i="3"/>
  <c r="S580" i="3"/>
  <c r="R580" i="3"/>
  <c r="S579" i="3"/>
  <c r="R579" i="3"/>
  <c r="S578" i="3"/>
  <c r="R578" i="3"/>
  <c r="S577" i="3"/>
  <c r="R577" i="3"/>
  <c r="S576" i="3"/>
  <c r="R576" i="3"/>
  <c r="S575" i="3"/>
  <c r="R575" i="3"/>
  <c r="S574" i="3"/>
  <c r="R574" i="3"/>
  <c r="S573" i="3"/>
  <c r="R573" i="3"/>
  <c r="S572" i="3"/>
  <c r="R572" i="3"/>
  <c r="S571" i="3"/>
  <c r="R571" i="3"/>
  <c r="S570" i="3"/>
  <c r="R570" i="3"/>
  <c r="S569" i="3"/>
  <c r="R569" i="3"/>
  <c r="S568" i="3"/>
  <c r="R568" i="3"/>
  <c r="S567" i="3"/>
  <c r="R567" i="3"/>
  <c r="S566" i="3"/>
  <c r="R566" i="3"/>
  <c r="S564" i="3"/>
  <c r="R564" i="3"/>
  <c r="S563" i="3"/>
  <c r="R563" i="3"/>
  <c r="S561" i="3"/>
  <c r="R561" i="3"/>
  <c r="S560" i="3"/>
  <c r="R560" i="3"/>
  <c r="S559" i="3"/>
  <c r="R559" i="3"/>
  <c r="S557" i="3"/>
  <c r="R557" i="3"/>
  <c r="S556" i="3"/>
  <c r="R556" i="3"/>
  <c r="S555" i="3"/>
  <c r="R555" i="3"/>
  <c r="S553" i="3"/>
  <c r="R553" i="3"/>
  <c r="S552" i="3"/>
  <c r="R552" i="3"/>
  <c r="S551" i="3"/>
  <c r="R551" i="3"/>
  <c r="S549" i="3"/>
  <c r="R549" i="3"/>
  <c r="S548" i="3"/>
  <c r="R548" i="3"/>
  <c r="S547" i="3"/>
  <c r="R547" i="3"/>
  <c r="S546" i="3"/>
  <c r="R546" i="3"/>
  <c r="S545" i="3"/>
  <c r="R545" i="3"/>
  <c r="S544" i="3"/>
  <c r="R544" i="3"/>
  <c r="S543" i="3"/>
  <c r="R543" i="3"/>
  <c r="S542" i="3"/>
  <c r="R542" i="3"/>
  <c r="S541" i="3"/>
  <c r="R541" i="3"/>
  <c r="S540" i="3"/>
  <c r="R540" i="3"/>
  <c r="S539" i="3"/>
  <c r="R539" i="3"/>
  <c r="S538" i="3"/>
  <c r="R538" i="3"/>
  <c r="S537" i="3"/>
  <c r="R537" i="3"/>
  <c r="S536" i="3"/>
  <c r="R536" i="3"/>
  <c r="S535" i="3"/>
  <c r="R535" i="3"/>
  <c r="S534" i="3"/>
  <c r="R534" i="3"/>
  <c r="S533" i="3"/>
  <c r="R533" i="3"/>
  <c r="S532" i="3"/>
  <c r="R532" i="3"/>
  <c r="S531" i="3"/>
  <c r="R531" i="3"/>
  <c r="S530" i="3"/>
  <c r="R530" i="3"/>
  <c r="S529" i="3"/>
  <c r="R529" i="3"/>
  <c r="S528" i="3"/>
  <c r="R528" i="3"/>
  <c r="S527" i="3"/>
  <c r="R527" i="3"/>
  <c r="S526" i="3"/>
  <c r="R526" i="3"/>
  <c r="S525" i="3"/>
  <c r="R525" i="3"/>
  <c r="S524" i="3"/>
  <c r="R524" i="3"/>
  <c r="S523" i="3"/>
  <c r="R523" i="3"/>
  <c r="S522" i="3"/>
  <c r="R522" i="3"/>
  <c r="S521" i="3"/>
  <c r="R521" i="3"/>
  <c r="S520" i="3"/>
  <c r="R520" i="3"/>
  <c r="S519" i="3"/>
  <c r="R519" i="3"/>
  <c r="S518" i="3"/>
  <c r="R518" i="3"/>
  <c r="S517" i="3"/>
  <c r="R517" i="3"/>
  <c r="S516" i="3"/>
  <c r="R516" i="3"/>
  <c r="S515" i="3"/>
  <c r="R515" i="3"/>
  <c r="S514" i="3"/>
  <c r="R514" i="3"/>
  <c r="S513" i="3"/>
  <c r="R513" i="3"/>
  <c r="S512" i="3"/>
  <c r="R512" i="3"/>
  <c r="S511" i="3"/>
  <c r="R511" i="3"/>
  <c r="S510" i="3"/>
  <c r="R510" i="3"/>
  <c r="S509" i="3"/>
  <c r="R509" i="3"/>
  <c r="S508" i="3"/>
  <c r="R508" i="3"/>
  <c r="S507" i="3"/>
  <c r="R507" i="3"/>
  <c r="S506" i="3"/>
  <c r="R506" i="3"/>
  <c r="S505" i="3"/>
  <c r="R505" i="3"/>
  <c r="S504" i="3"/>
  <c r="R504" i="3"/>
  <c r="S503" i="3"/>
  <c r="R503" i="3"/>
  <c r="S502" i="3"/>
  <c r="R502" i="3"/>
  <c r="S501" i="3"/>
  <c r="R501" i="3"/>
  <c r="S500" i="3"/>
  <c r="R500" i="3"/>
  <c r="S499" i="3"/>
  <c r="R499" i="3"/>
  <c r="S498" i="3"/>
  <c r="R498" i="3"/>
  <c r="S497" i="3"/>
  <c r="R497" i="3"/>
  <c r="S496" i="3"/>
  <c r="R496" i="3"/>
  <c r="S495" i="3"/>
  <c r="R495" i="3"/>
  <c r="S494" i="3"/>
  <c r="R494" i="3"/>
  <c r="S493" i="3"/>
  <c r="R493" i="3"/>
  <c r="S492" i="3"/>
  <c r="R492" i="3"/>
  <c r="S491" i="3"/>
  <c r="R491" i="3"/>
  <c r="S490" i="3"/>
  <c r="R490" i="3"/>
  <c r="S489" i="3"/>
  <c r="R489" i="3"/>
  <c r="S488" i="3"/>
  <c r="R488" i="3"/>
  <c r="S487" i="3"/>
  <c r="R487" i="3"/>
  <c r="S486" i="3"/>
  <c r="R486" i="3"/>
  <c r="S485" i="3"/>
  <c r="R485" i="3"/>
  <c r="S484" i="3"/>
  <c r="R484" i="3"/>
  <c r="S483" i="3"/>
  <c r="R483" i="3"/>
  <c r="S482" i="3"/>
  <c r="R482" i="3"/>
  <c r="S481" i="3"/>
  <c r="R481" i="3"/>
  <c r="S480" i="3"/>
  <c r="R480" i="3"/>
  <c r="S479" i="3"/>
  <c r="R479" i="3"/>
  <c r="S478" i="3"/>
  <c r="R478" i="3"/>
  <c r="S477" i="3"/>
  <c r="R477" i="3"/>
  <c r="S476" i="3"/>
  <c r="R476" i="3"/>
  <c r="S475" i="3"/>
  <c r="R475" i="3"/>
  <c r="S474" i="3"/>
  <c r="R474" i="3"/>
  <c r="S473" i="3"/>
  <c r="R473" i="3"/>
  <c r="S472" i="3"/>
  <c r="R472" i="3"/>
  <c r="S471" i="3"/>
  <c r="R471" i="3"/>
  <c r="S470" i="3"/>
  <c r="R470" i="3"/>
  <c r="S469" i="3"/>
  <c r="R469" i="3"/>
  <c r="S468" i="3"/>
  <c r="R468" i="3"/>
  <c r="S467" i="3"/>
  <c r="R467" i="3"/>
  <c r="S466" i="3"/>
  <c r="R466" i="3"/>
  <c r="S465" i="3"/>
  <c r="R465" i="3"/>
  <c r="S464" i="3"/>
  <c r="R464" i="3"/>
  <c r="S463" i="3"/>
  <c r="R463" i="3"/>
  <c r="S462" i="3"/>
  <c r="R462" i="3"/>
  <c r="S461" i="3"/>
  <c r="R461" i="3"/>
  <c r="S460" i="3"/>
  <c r="R460" i="3"/>
  <c r="S459" i="3"/>
  <c r="R459" i="3"/>
  <c r="S458" i="3"/>
  <c r="R458" i="3"/>
  <c r="S457" i="3"/>
  <c r="R457" i="3"/>
  <c r="S456" i="3"/>
  <c r="R456" i="3"/>
  <c r="S455" i="3"/>
  <c r="R455" i="3"/>
  <c r="S454" i="3"/>
  <c r="R454" i="3"/>
  <c r="S453" i="3"/>
  <c r="R453" i="3"/>
  <c r="S452" i="3"/>
  <c r="R452" i="3"/>
  <c r="S451" i="3"/>
  <c r="R451" i="3"/>
  <c r="S450" i="3"/>
  <c r="R450" i="3"/>
  <c r="S449" i="3"/>
  <c r="R449" i="3"/>
  <c r="S448" i="3"/>
  <c r="R448" i="3"/>
  <c r="S447" i="3"/>
  <c r="R447" i="3"/>
  <c r="S446" i="3"/>
  <c r="R446" i="3"/>
  <c r="S445" i="3"/>
  <c r="R445" i="3"/>
  <c r="S444" i="3"/>
  <c r="R444" i="3"/>
  <c r="S443" i="3"/>
  <c r="R443" i="3"/>
  <c r="S442" i="3"/>
  <c r="R442" i="3"/>
  <c r="S441" i="3"/>
  <c r="R441" i="3"/>
  <c r="S440" i="3"/>
  <c r="R440" i="3"/>
  <c r="S439" i="3"/>
  <c r="R439" i="3"/>
  <c r="S438" i="3"/>
  <c r="R438" i="3"/>
  <c r="S437" i="3"/>
  <c r="R437" i="3"/>
  <c r="S436" i="3"/>
  <c r="R436" i="3"/>
  <c r="S435" i="3"/>
  <c r="R435" i="3"/>
  <c r="S434" i="3"/>
  <c r="R434" i="3"/>
  <c r="S433" i="3"/>
  <c r="R433" i="3"/>
  <c r="S432" i="3"/>
  <c r="R432" i="3"/>
  <c r="S431" i="3"/>
  <c r="R431" i="3"/>
  <c r="S430" i="3"/>
  <c r="R430" i="3"/>
  <c r="S429" i="3"/>
  <c r="R429" i="3"/>
  <c r="S428" i="3"/>
  <c r="R428" i="3"/>
  <c r="S427" i="3"/>
  <c r="R427" i="3"/>
  <c r="S426" i="3"/>
  <c r="R426" i="3"/>
  <c r="S425" i="3"/>
  <c r="R425" i="3"/>
  <c r="S424" i="3"/>
  <c r="R424" i="3"/>
  <c r="S423" i="3"/>
  <c r="R423" i="3"/>
  <c r="S422" i="3"/>
  <c r="R422" i="3"/>
  <c r="S421" i="3"/>
  <c r="R421" i="3"/>
  <c r="S420" i="3"/>
  <c r="R420" i="3"/>
  <c r="S419" i="3"/>
  <c r="R419" i="3"/>
  <c r="S418" i="3"/>
  <c r="R418" i="3"/>
  <c r="S417" i="3"/>
  <c r="R417" i="3"/>
  <c r="S416" i="3"/>
  <c r="R416" i="3"/>
  <c r="S415" i="3"/>
  <c r="R415" i="3"/>
  <c r="S414" i="3"/>
  <c r="R414" i="3"/>
  <c r="S413" i="3"/>
  <c r="R413" i="3"/>
  <c r="S412" i="3"/>
  <c r="R412" i="3"/>
  <c r="S411" i="3"/>
  <c r="R411" i="3"/>
  <c r="S410" i="3"/>
  <c r="R410" i="3"/>
  <c r="S409" i="3"/>
  <c r="R409" i="3"/>
  <c r="S408" i="3"/>
  <c r="R408" i="3"/>
  <c r="S407" i="3"/>
  <c r="R407" i="3"/>
  <c r="S406" i="3"/>
  <c r="R406" i="3"/>
  <c r="S405" i="3"/>
  <c r="R405" i="3"/>
  <c r="S404" i="3"/>
  <c r="R404" i="3"/>
  <c r="S403" i="3"/>
  <c r="R403" i="3"/>
  <c r="S402" i="3"/>
  <c r="R402" i="3"/>
  <c r="S401" i="3"/>
  <c r="R401" i="3"/>
  <c r="S400" i="3"/>
  <c r="R400" i="3"/>
  <c r="S399" i="3"/>
  <c r="R399" i="3"/>
  <c r="S398" i="3"/>
  <c r="R398" i="3"/>
  <c r="S397" i="3"/>
  <c r="R397" i="3"/>
  <c r="S396" i="3"/>
  <c r="R396" i="3"/>
  <c r="S395" i="3"/>
  <c r="R395" i="3"/>
  <c r="S394" i="3"/>
  <c r="R394" i="3"/>
  <c r="S393" i="3"/>
  <c r="R393" i="3"/>
  <c r="S392" i="3"/>
  <c r="R392" i="3"/>
  <c r="S391" i="3"/>
  <c r="R391" i="3"/>
  <c r="S390" i="3"/>
  <c r="R390" i="3"/>
  <c r="S389" i="3"/>
  <c r="R389" i="3"/>
  <c r="S388" i="3"/>
  <c r="R388" i="3"/>
  <c r="S387" i="3"/>
  <c r="R387" i="3"/>
  <c r="S386" i="3"/>
  <c r="R386" i="3"/>
  <c r="S385" i="3"/>
  <c r="R385" i="3"/>
  <c r="S384" i="3"/>
  <c r="R384" i="3"/>
  <c r="S383" i="3"/>
  <c r="R383" i="3"/>
  <c r="S382" i="3"/>
  <c r="R382" i="3"/>
  <c r="S381" i="3"/>
  <c r="R381" i="3"/>
  <c r="S380" i="3"/>
  <c r="R380" i="3"/>
  <c r="S379" i="3"/>
  <c r="R379" i="3"/>
  <c r="S378" i="3"/>
  <c r="R378" i="3"/>
  <c r="S377" i="3"/>
  <c r="R377" i="3"/>
  <c r="S376" i="3"/>
  <c r="R376" i="3"/>
  <c r="S375" i="3"/>
  <c r="R375" i="3"/>
  <c r="S374" i="3"/>
  <c r="R374" i="3"/>
  <c r="S373" i="3"/>
  <c r="R373" i="3"/>
  <c r="S372" i="3"/>
  <c r="R372" i="3"/>
  <c r="S371" i="3"/>
  <c r="R371" i="3"/>
  <c r="S370" i="3"/>
  <c r="R370" i="3"/>
  <c r="S369" i="3"/>
  <c r="R369" i="3"/>
  <c r="S368" i="3"/>
  <c r="R368" i="3"/>
  <c r="S367" i="3"/>
  <c r="R367" i="3"/>
  <c r="S366" i="3"/>
  <c r="R366" i="3"/>
  <c r="S365" i="3"/>
  <c r="R365" i="3"/>
  <c r="S364" i="3"/>
  <c r="R364" i="3"/>
  <c r="S363" i="3"/>
  <c r="R363" i="3"/>
  <c r="S362" i="3"/>
  <c r="R362" i="3"/>
  <c r="S361" i="3"/>
  <c r="R361" i="3"/>
  <c r="S360" i="3"/>
  <c r="R360" i="3"/>
  <c r="S359" i="3"/>
  <c r="R359" i="3"/>
  <c r="S358" i="3"/>
  <c r="R358" i="3"/>
  <c r="S357" i="3"/>
  <c r="R357" i="3"/>
  <c r="S356" i="3"/>
  <c r="R356" i="3"/>
  <c r="S355" i="3"/>
  <c r="R355" i="3"/>
  <c r="S354" i="3"/>
  <c r="R354" i="3"/>
  <c r="S353" i="3"/>
  <c r="R353" i="3"/>
  <c r="S352" i="3"/>
  <c r="R352" i="3"/>
  <c r="S351" i="3"/>
  <c r="R351" i="3"/>
  <c r="S350" i="3"/>
  <c r="R350" i="3"/>
  <c r="S349" i="3"/>
  <c r="R349" i="3"/>
  <c r="S348" i="3"/>
  <c r="R348" i="3"/>
  <c r="S347" i="3"/>
  <c r="R347" i="3"/>
  <c r="S346" i="3"/>
  <c r="R346" i="3"/>
  <c r="S345" i="3"/>
  <c r="R345" i="3"/>
  <c r="S344" i="3"/>
  <c r="R344" i="3"/>
  <c r="S343" i="3"/>
  <c r="R343" i="3"/>
  <c r="S342" i="3"/>
  <c r="R342" i="3"/>
  <c r="S341" i="3"/>
  <c r="R341" i="3"/>
  <c r="S340" i="3"/>
  <c r="R340" i="3"/>
  <c r="S339" i="3"/>
  <c r="R339" i="3"/>
  <c r="S338" i="3"/>
  <c r="R338" i="3"/>
  <c r="S337" i="3"/>
  <c r="R337" i="3"/>
  <c r="S336" i="3"/>
  <c r="R336" i="3"/>
  <c r="S335" i="3"/>
  <c r="R335" i="3"/>
  <c r="S334" i="3"/>
  <c r="R334" i="3"/>
  <c r="S333" i="3"/>
  <c r="R333" i="3"/>
  <c r="S332" i="3"/>
  <c r="R332" i="3"/>
  <c r="S331" i="3"/>
  <c r="R331" i="3"/>
  <c r="S330" i="3"/>
  <c r="R330" i="3"/>
  <c r="S329" i="3"/>
  <c r="R329" i="3"/>
  <c r="S328" i="3"/>
  <c r="R328" i="3"/>
  <c r="S327" i="3"/>
  <c r="R327" i="3"/>
  <c r="S326" i="3"/>
  <c r="R326" i="3"/>
  <c r="S325" i="3"/>
  <c r="R325" i="3"/>
  <c r="S324" i="3"/>
  <c r="R324" i="3"/>
  <c r="S323" i="3"/>
  <c r="R323" i="3"/>
  <c r="S322" i="3"/>
  <c r="R322" i="3"/>
  <c r="S321" i="3"/>
  <c r="R321" i="3"/>
  <c r="S320" i="3"/>
  <c r="R320" i="3"/>
  <c r="S319" i="3"/>
  <c r="R319" i="3"/>
  <c r="S318" i="3"/>
  <c r="R318" i="3"/>
  <c r="S317" i="3"/>
  <c r="R317" i="3"/>
  <c r="S316" i="3"/>
  <c r="R316" i="3"/>
  <c r="S315" i="3"/>
  <c r="R315" i="3"/>
  <c r="S314" i="3"/>
  <c r="R314" i="3"/>
  <c r="S313" i="3"/>
  <c r="R313" i="3"/>
  <c r="S312" i="3"/>
  <c r="R312" i="3"/>
  <c r="S311" i="3"/>
  <c r="R311" i="3"/>
  <c r="S310" i="3"/>
  <c r="R310" i="3"/>
  <c r="S309" i="3"/>
  <c r="R309" i="3"/>
  <c r="S308" i="3"/>
  <c r="R308" i="3"/>
  <c r="S307" i="3"/>
  <c r="R307" i="3"/>
  <c r="S306" i="3"/>
  <c r="R306" i="3"/>
  <c r="S305" i="3"/>
  <c r="R305" i="3"/>
  <c r="S304" i="3"/>
  <c r="R304" i="3"/>
  <c r="S303" i="3"/>
  <c r="R303" i="3"/>
  <c r="S302" i="3"/>
  <c r="R302" i="3"/>
  <c r="S301" i="3"/>
  <c r="R301" i="3"/>
  <c r="S300" i="3"/>
  <c r="R300" i="3"/>
  <c r="S299" i="3"/>
  <c r="R299" i="3"/>
  <c r="S298" i="3"/>
  <c r="R298" i="3"/>
  <c r="S297" i="3"/>
  <c r="R297" i="3"/>
  <c r="S296" i="3"/>
  <c r="R296" i="3"/>
  <c r="S295" i="3"/>
  <c r="R295" i="3"/>
  <c r="S294" i="3"/>
  <c r="R294" i="3"/>
  <c r="S293" i="3"/>
  <c r="R293" i="3"/>
  <c r="S292" i="3"/>
  <c r="R292" i="3"/>
  <c r="S291" i="3"/>
  <c r="R291" i="3"/>
  <c r="S290" i="3"/>
  <c r="R290" i="3"/>
  <c r="S289" i="3"/>
  <c r="R289" i="3"/>
  <c r="S288" i="3"/>
  <c r="R288" i="3"/>
  <c r="S287" i="3"/>
  <c r="R287" i="3"/>
  <c r="S286" i="3"/>
  <c r="R286" i="3"/>
  <c r="S285" i="3"/>
  <c r="R285" i="3"/>
  <c r="S284" i="3"/>
  <c r="R284" i="3"/>
  <c r="S283" i="3"/>
  <c r="R283" i="3"/>
  <c r="S282" i="3"/>
  <c r="R282" i="3"/>
  <c r="S281" i="3"/>
  <c r="R281" i="3"/>
  <c r="S280" i="3"/>
  <c r="R280" i="3"/>
  <c r="S279" i="3"/>
  <c r="R279" i="3"/>
  <c r="S278" i="3"/>
  <c r="R278" i="3"/>
  <c r="S277" i="3"/>
  <c r="R277" i="3"/>
  <c r="S276" i="3"/>
  <c r="R276" i="3"/>
  <c r="S275" i="3"/>
  <c r="R275" i="3"/>
  <c r="S274" i="3"/>
  <c r="R274" i="3"/>
  <c r="S273" i="3"/>
  <c r="R273" i="3"/>
  <c r="S272" i="3"/>
  <c r="R272" i="3"/>
  <c r="S271" i="3"/>
  <c r="R271" i="3"/>
  <c r="S270" i="3"/>
  <c r="R270" i="3"/>
  <c r="S269" i="3"/>
  <c r="R269" i="3"/>
  <c r="S268" i="3"/>
  <c r="R268" i="3"/>
  <c r="S267" i="3"/>
  <c r="R267" i="3"/>
  <c r="S266" i="3"/>
  <c r="R266" i="3"/>
  <c r="S265" i="3"/>
  <c r="R265" i="3"/>
  <c r="S264" i="3"/>
  <c r="R264" i="3"/>
  <c r="S263" i="3"/>
  <c r="R263" i="3"/>
  <c r="S262" i="3"/>
  <c r="R262" i="3"/>
  <c r="S261" i="3"/>
  <c r="R261" i="3"/>
  <c r="S260" i="3"/>
  <c r="R260" i="3"/>
  <c r="S259" i="3"/>
  <c r="R259" i="3"/>
  <c r="S258" i="3"/>
  <c r="R258" i="3"/>
  <c r="S257" i="3"/>
  <c r="R257" i="3"/>
  <c r="S256" i="3"/>
  <c r="R256" i="3"/>
  <c r="S255" i="3"/>
  <c r="R255" i="3"/>
  <c r="S254" i="3"/>
  <c r="R254" i="3"/>
  <c r="S253" i="3"/>
  <c r="R253" i="3"/>
  <c r="S252" i="3"/>
  <c r="R252" i="3"/>
  <c r="S251" i="3"/>
  <c r="R251" i="3"/>
  <c r="S250" i="3"/>
  <c r="R250" i="3"/>
  <c r="S249" i="3"/>
  <c r="R249" i="3"/>
  <c r="S248" i="3"/>
  <c r="R248" i="3"/>
  <c r="S247" i="3"/>
  <c r="R247" i="3"/>
  <c r="S246" i="3"/>
  <c r="R246" i="3"/>
  <c r="S245" i="3"/>
  <c r="R245" i="3"/>
  <c r="S244" i="3"/>
  <c r="R244" i="3"/>
  <c r="S243" i="3"/>
  <c r="R243" i="3"/>
  <c r="S242" i="3"/>
  <c r="R242" i="3"/>
  <c r="S241" i="3"/>
  <c r="R241" i="3"/>
  <c r="S240" i="3"/>
  <c r="R240" i="3"/>
  <c r="S239" i="3"/>
  <c r="R239" i="3"/>
  <c r="S238" i="3"/>
  <c r="R238" i="3"/>
  <c r="S237" i="3"/>
  <c r="R237" i="3"/>
  <c r="S236" i="3"/>
  <c r="R236" i="3"/>
  <c r="S235" i="3"/>
  <c r="R235" i="3"/>
  <c r="S234" i="3"/>
  <c r="R234" i="3"/>
  <c r="S233" i="3"/>
  <c r="R233" i="3"/>
  <c r="S232" i="3"/>
  <c r="R232" i="3"/>
  <c r="S231" i="3"/>
  <c r="R231" i="3"/>
  <c r="S230" i="3"/>
  <c r="R230" i="3"/>
  <c r="S229" i="3"/>
  <c r="R229" i="3"/>
  <c r="S228" i="3"/>
  <c r="R228" i="3"/>
  <c r="S227" i="3"/>
  <c r="R227" i="3"/>
  <c r="S226" i="3"/>
  <c r="R226" i="3"/>
  <c r="S225" i="3"/>
  <c r="R225" i="3"/>
  <c r="S224" i="3"/>
  <c r="R224" i="3"/>
  <c r="S223" i="3"/>
  <c r="R223" i="3"/>
  <c r="S222" i="3"/>
  <c r="R222" i="3"/>
  <c r="S221" i="3"/>
  <c r="R221" i="3"/>
  <c r="S220" i="3"/>
  <c r="R220" i="3"/>
  <c r="S219" i="3"/>
  <c r="R219" i="3"/>
  <c r="S218" i="3"/>
  <c r="R218" i="3"/>
  <c r="S217" i="3"/>
  <c r="R217" i="3"/>
  <c r="S216" i="3"/>
  <c r="R216" i="3"/>
  <c r="S215" i="3"/>
  <c r="R215" i="3"/>
  <c r="S214" i="3"/>
  <c r="R214" i="3"/>
  <c r="S213" i="3"/>
  <c r="R213" i="3"/>
  <c r="S212" i="3"/>
  <c r="R212" i="3"/>
  <c r="S211" i="3"/>
  <c r="R211" i="3"/>
  <c r="S210" i="3"/>
  <c r="R210" i="3"/>
  <c r="S209" i="3"/>
  <c r="R209" i="3"/>
  <c r="S208" i="3"/>
  <c r="R208" i="3"/>
  <c r="S207" i="3"/>
  <c r="R207" i="3"/>
  <c r="S206" i="3"/>
  <c r="R206" i="3"/>
  <c r="S205" i="3"/>
  <c r="R205" i="3"/>
  <c r="S204" i="3"/>
  <c r="R204" i="3"/>
  <c r="S203" i="3"/>
  <c r="R203" i="3"/>
  <c r="S202" i="3"/>
  <c r="R202" i="3"/>
  <c r="S201" i="3"/>
  <c r="R201" i="3"/>
  <c r="S200" i="3"/>
  <c r="R200" i="3"/>
  <c r="S199" i="3"/>
  <c r="R199" i="3"/>
  <c r="S198" i="3"/>
  <c r="R198" i="3"/>
  <c r="S197" i="3"/>
  <c r="R197" i="3"/>
  <c r="S196" i="3"/>
  <c r="R196" i="3"/>
  <c r="S195" i="3"/>
  <c r="R195" i="3"/>
  <c r="S194" i="3"/>
  <c r="R194" i="3"/>
  <c r="S193" i="3"/>
  <c r="R193" i="3"/>
  <c r="S192" i="3"/>
  <c r="R192" i="3"/>
  <c r="S191" i="3"/>
  <c r="R191" i="3"/>
  <c r="S190" i="3"/>
  <c r="R190" i="3"/>
  <c r="S189" i="3"/>
  <c r="R189" i="3"/>
  <c r="S188" i="3"/>
  <c r="R188" i="3"/>
  <c r="S187" i="3"/>
  <c r="R187" i="3"/>
  <c r="S186" i="3"/>
  <c r="R186" i="3"/>
  <c r="S185" i="3"/>
  <c r="R185" i="3"/>
  <c r="S184" i="3"/>
  <c r="R184" i="3"/>
  <c r="S183" i="3"/>
  <c r="R183" i="3"/>
  <c r="S182" i="3"/>
  <c r="R182" i="3"/>
  <c r="S181" i="3"/>
  <c r="R181" i="3"/>
  <c r="S180" i="3"/>
  <c r="R180" i="3"/>
  <c r="S179" i="3"/>
  <c r="R179" i="3"/>
  <c r="S178" i="3"/>
  <c r="R178" i="3"/>
  <c r="S177" i="3"/>
  <c r="R177" i="3"/>
  <c r="S176" i="3"/>
  <c r="R176" i="3"/>
  <c r="S175" i="3"/>
  <c r="R175" i="3"/>
  <c r="S174" i="3"/>
  <c r="R174" i="3"/>
  <c r="S173" i="3"/>
  <c r="R173" i="3"/>
  <c r="S172" i="3"/>
  <c r="R172" i="3"/>
  <c r="S171" i="3"/>
  <c r="R171" i="3"/>
  <c r="S170" i="3"/>
  <c r="R170" i="3"/>
  <c r="S169" i="3"/>
  <c r="R169" i="3"/>
  <c r="S168" i="3"/>
  <c r="R168" i="3"/>
  <c r="S167" i="3"/>
  <c r="R167" i="3"/>
  <c r="S166" i="3"/>
  <c r="R166" i="3"/>
  <c r="S165" i="3"/>
  <c r="R165" i="3"/>
  <c r="S164" i="3"/>
  <c r="R164" i="3"/>
  <c r="S163" i="3"/>
  <c r="R163" i="3"/>
  <c r="S162" i="3"/>
  <c r="R162" i="3"/>
  <c r="S161" i="3"/>
  <c r="R161" i="3"/>
  <c r="S160" i="3"/>
  <c r="R160" i="3"/>
  <c r="S159" i="3"/>
  <c r="R159" i="3"/>
  <c r="S158" i="3"/>
  <c r="R158" i="3"/>
  <c r="S157" i="3"/>
  <c r="R157" i="3"/>
  <c r="S156" i="3"/>
  <c r="R156" i="3"/>
  <c r="S155" i="3"/>
  <c r="R155" i="3"/>
  <c r="S154" i="3"/>
  <c r="R154" i="3"/>
  <c r="S153" i="3"/>
  <c r="R153" i="3"/>
  <c r="S152" i="3"/>
  <c r="R152" i="3"/>
  <c r="S151" i="3"/>
  <c r="R151" i="3"/>
  <c r="S150" i="3"/>
  <c r="R150" i="3"/>
  <c r="S149" i="3"/>
  <c r="R149" i="3"/>
  <c r="S148" i="3"/>
  <c r="R148" i="3"/>
  <c r="S147" i="3"/>
  <c r="R147" i="3"/>
  <c r="S146" i="3"/>
  <c r="R146" i="3"/>
  <c r="S145" i="3"/>
  <c r="R145" i="3"/>
  <c r="S144" i="3"/>
  <c r="R144" i="3"/>
  <c r="S143" i="3"/>
  <c r="R143" i="3"/>
  <c r="S142" i="3"/>
  <c r="R142" i="3"/>
  <c r="S141" i="3"/>
  <c r="R141" i="3"/>
  <c r="S140" i="3"/>
  <c r="R140" i="3"/>
  <c r="S139" i="3"/>
  <c r="R139" i="3"/>
  <c r="S138" i="3"/>
  <c r="R138" i="3"/>
  <c r="S137" i="3"/>
  <c r="R137" i="3"/>
  <c r="S136" i="3"/>
  <c r="R136" i="3"/>
  <c r="S135" i="3"/>
  <c r="R135" i="3"/>
  <c r="S134" i="3"/>
  <c r="R134" i="3"/>
  <c r="S133" i="3"/>
  <c r="R133" i="3"/>
  <c r="S132" i="3"/>
  <c r="R132" i="3"/>
  <c r="S131" i="3"/>
  <c r="R131" i="3"/>
  <c r="S130" i="3"/>
  <c r="R130" i="3"/>
  <c r="S129" i="3"/>
  <c r="R129" i="3"/>
  <c r="S128" i="3"/>
  <c r="R128" i="3"/>
  <c r="S127" i="3"/>
  <c r="R127" i="3"/>
  <c r="S126" i="3"/>
  <c r="R126" i="3"/>
  <c r="S125" i="3"/>
  <c r="R125" i="3"/>
  <c r="S124" i="3"/>
  <c r="R124" i="3"/>
  <c r="S123" i="3"/>
  <c r="R123" i="3"/>
  <c r="S122" i="3"/>
  <c r="R122" i="3"/>
  <c r="S121" i="3"/>
  <c r="R121" i="3"/>
  <c r="S120" i="3"/>
  <c r="R120" i="3"/>
  <c r="S119" i="3"/>
  <c r="R119" i="3"/>
  <c r="S118" i="3"/>
  <c r="R118" i="3"/>
  <c r="S117" i="3"/>
  <c r="R117" i="3"/>
  <c r="S116" i="3"/>
  <c r="R116" i="3"/>
  <c r="S115" i="3"/>
  <c r="R115" i="3"/>
  <c r="S114" i="3"/>
  <c r="R114" i="3"/>
  <c r="S113" i="3"/>
  <c r="R113" i="3"/>
  <c r="S112" i="3"/>
  <c r="R112" i="3"/>
  <c r="S111" i="3"/>
  <c r="R111" i="3"/>
  <c r="S110" i="3"/>
  <c r="R110" i="3"/>
  <c r="S109" i="3"/>
  <c r="R109" i="3"/>
  <c r="S108" i="3"/>
  <c r="R108" i="3"/>
  <c r="S107" i="3"/>
  <c r="R107" i="3"/>
  <c r="S106" i="3"/>
  <c r="R106" i="3"/>
  <c r="S105" i="3"/>
  <c r="R105" i="3"/>
  <c r="S104" i="3"/>
  <c r="R104" i="3"/>
  <c r="S103" i="3"/>
  <c r="R103" i="3"/>
  <c r="S102" i="3"/>
  <c r="R102" i="3"/>
  <c r="S101" i="3"/>
  <c r="R101" i="3"/>
  <c r="S100" i="3"/>
  <c r="R100" i="3"/>
  <c r="S99" i="3"/>
  <c r="R99" i="3"/>
  <c r="S98" i="3"/>
  <c r="R98" i="3"/>
  <c r="S97" i="3"/>
  <c r="R97" i="3"/>
  <c r="S96" i="3"/>
  <c r="R96" i="3"/>
  <c r="S95" i="3"/>
  <c r="R95" i="3"/>
  <c r="S94" i="3"/>
  <c r="R94" i="3"/>
  <c r="S93" i="3"/>
  <c r="R93" i="3"/>
  <c r="S92" i="3"/>
  <c r="R92" i="3"/>
  <c r="S91" i="3"/>
  <c r="R91" i="3"/>
  <c r="S90" i="3"/>
  <c r="R90" i="3"/>
  <c r="S89" i="3"/>
  <c r="R89" i="3"/>
  <c r="S88" i="3"/>
  <c r="R88" i="3"/>
  <c r="S87" i="3"/>
  <c r="R87" i="3"/>
  <c r="S86" i="3"/>
  <c r="R86" i="3"/>
  <c r="S85" i="3"/>
  <c r="R85" i="3"/>
  <c r="S84" i="3"/>
  <c r="R84" i="3"/>
  <c r="S83" i="3"/>
  <c r="R83" i="3"/>
  <c r="S82" i="3"/>
  <c r="R82" i="3"/>
  <c r="S81" i="3"/>
  <c r="R81" i="3"/>
  <c r="S80" i="3"/>
  <c r="R80" i="3"/>
  <c r="S79" i="3"/>
  <c r="R79" i="3"/>
  <c r="S78" i="3"/>
  <c r="R78" i="3"/>
  <c r="S77" i="3"/>
  <c r="R77" i="3"/>
  <c r="S76" i="3"/>
  <c r="R76" i="3"/>
  <c r="S75" i="3"/>
  <c r="R75" i="3"/>
  <c r="S74" i="3"/>
  <c r="R74" i="3"/>
  <c r="S73" i="3"/>
  <c r="R73" i="3"/>
  <c r="S72" i="3"/>
  <c r="R72" i="3"/>
  <c r="S71" i="3"/>
  <c r="R71" i="3"/>
  <c r="S70" i="3"/>
  <c r="R70" i="3"/>
  <c r="S69" i="3"/>
  <c r="R69" i="3"/>
  <c r="S68" i="3"/>
  <c r="R68" i="3"/>
  <c r="S67" i="3"/>
  <c r="R67" i="3"/>
  <c r="S66" i="3"/>
  <c r="R66" i="3"/>
  <c r="S65" i="3"/>
  <c r="R65" i="3"/>
  <c r="S64" i="3"/>
  <c r="R64" i="3"/>
  <c r="S63" i="3"/>
  <c r="R63" i="3"/>
  <c r="S62" i="3"/>
  <c r="R62" i="3"/>
  <c r="S61" i="3"/>
  <c r="R61" i="3"/>
  <c r="S60" i="3"/>
  <c r="R60" i="3"/>
  <c r="S59" i="3"/>
  <c r="R59" i="3"/>
  <c r="S58" i="3"/>
  <c r="R58" i="3"/>
  <c r="S57" i="3"/>
  <c r="R57" i="3"/>
  <c r="S56" i="3"/>
  <c r="R56" i="3"/>
  <c r="S55" i="3"/>
  <c r="R55" i="3"/>
  <c r="S54" i="3"/>
  <c r="R54" i="3"/>
  <c r="S53" i="3"/>
  <c r="R53" i="3"/>
  <c r="S52" i="3"/>
  <c r="R52" i="3"/>
  <c r="S51" i="3"/>
  <c r="R51" i="3"/>
  <c r="S50" i="3"/>
  <c r="R50" i="3"/>
  <c r="S49" i="3"/>
  <c r="R49" i="3"/>
  <c r="S48" i="3"/>
  <c r="R48" i="3"/>
  <c r="S47" i="3"/>
  <c r="R47" i="3"/>
  <c r="S46" i="3"/>
  <c r="R46" i="3"/>
  <c r="S45" i="3"/>
  <c r="R45" i="3"/>
  <c r="S44" i="3"/>
  <c r="R44" i="3"/>
  <c r="S43" i="3"/>
  <c r="R43" i="3"/>
  <c r="S42" i="3"/>
  <c r="R42" i="3"/>
  <c r="S41" i="3"/>
  <c r="R41" i="3"/>
  <c r="S40" i="3"/>
  <c r="R40" i="3"/>
  <c r="S39" i="3"/>
  <c r="R39" i="3"/>
  <c r="S38" i="3"/>
  <c r="R38" i="3"/>
  <c r="S37" i="3"/>
  <c r="R37" i="3"/>
  <c r="S36" i="3"/>
  <c r="R36" i="3"/>
  <c r="S35" i="3"/>
  <c r="R35" i="3"/>
  <c r="S34" i="3"/>
  <c r="R34" i="3"/>
  <c r="S33" i="3"/>
  <c r="R33" i="3"/>
  <c r="S32" i="3"/>
  <c r="R32" i="3"/>
  <c r="S31" i="3"/>
  <c r="R31" i="3"/>
  <c r="S30" i="3"/>
  <c r="R30" i="3"/>
  <c r="S29" i="3"/>
  <c r="R29" i="3"/>
  <c r="S28" i="3"/>
  <c r="R28" i="3"/>
  <c r="S27" i="3"/>
  <c r="R27" i="3"/>
  <c r="S26" i="3"/>
  <c r="R26" i="3"/>
  <c r="S25" i="3"/>
  <c r="R25" i="3"/>
  <c r="S24" i="3"/>
  <c r="R24" i="3"/>
  <c r="S23" i="3"/>
  <c r="R23" i="3"/>
  <c r="S22" i="3"/>
  <c r="R22" i="3"/>
  <c r="S21" i="3"/>
  <c r="R21" i="3"/>
  <c r="S20" i="3"/>
  <c r="R20" i="3"/>
  <c r="S19" i="3"/>
  <c r="R19" i="3"/>
  <c r="S18" i="3"/>
  <c r="R18" i="3"/>
  <c r="S17" i="3"/>
  <c r="R17" i="3"/>
  <c r="S16" i="3"/>
  <c r="R16" i="3"/>
  <c r="S15" i="3"/>
  <c r="R15" i="3"/>
  <c r="S14" i="3"/>
  <c r="R14" i="3"/>
  <c r="S13" i="3"/>
  <c r="R13" i="3"/>
  <c r="S12" i="3"/>
  <c r="R12" i="3"/>
  <c r="S11" i="3"/>
  <c r="R11" i="3"/>
  <c r="S10" i="3"/>
  <c r="R10" i="3"/>
  <c r="S9" i="3"/>
  <c r="R9" i="3"/>
  <c r="S8" i="3"/>
  <c r="R8" i="3"/>
  <c r="S7" i="3"/>
  <c r="R7" i="3"/>
  <c r="S6" i="3"/>
  <c r="R6" i="3"/>
  <c r="S5" i="3"/>
  <c r="R5" i="3"/>
  <c r="S4" i="3"/>
  <c r="R4" i="3"/>
  <c r="S3" i="3"/>
  <c r="R3" i="3"/>
  <c r="S2" i="3"/>
  <c r="R2" i="3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S749" i="2"/>
  <c r="R749" i="2"/>
  <c r="R745" i="2"/>
  <c r="S748" i="2"/>
  <c r="R748" i="2"/>
  <c r="S747" i="2"/>
  <c r="R747" i="2"/>
  <c r="S746" i="2"/>
  <c r="R746" i="2"/>
  <c r="S745" i="2"/>
  <c r="S744" i="2"/>
  <c r="R744" i="2"/>
  <c r="S743" i="2"/>
  <c r="R743" i="2"/>
  <c r="S742" i="2"/>
  <c r="R742" i="2"/>
  <c r="S741" i="2"/>
  <c r="R741" i="2"/>
  <c r="S740" i="2"/>
  <c r="R740" i="2"/>
  <c r="S739" i="2"/>
  <c r="R739" i="2"/>
  <c r="S738" i="2"/>
  <c r="R738" i="2"/>
  <c r="S737" i="2"/>
  <c r="R737" i="2"/>
  <c r="S736" i="2"/>
  <c r="R736" i="2"/>
  <c r="S735" i="2"/>
  <c r="R735" i="2"/>
  <c r="S734" i="2"/>
  <c r="R734" i="2"/>
  <c r="S733" i="2"/>
  <c r="R733" i="2"/>
  <c r="S732" i="2"/>
  <c r="R732" i="2"/>
  <c r="S731" i="2"/>
  <c r="R731" i="2"/>
  <c r="S730" i="2"/>
  <c r="R730" i="2"/>
  <c r="S729" i="2"/>
  <c r="R729" i="2"/>
  <c r="S728" i="2"/>
  <c r="R728" i="2"/>
  <c r="S727" i="2"/>
  <c r="R727" i="2"/>
  <c r="S726" i="2"/>
  <c r="R726" i="2"/>
  <c r="S725" i="2"/>
  <c r="R725" i="2"/>
  <c r="S724" i="2"/>
  <c r="R724" i="2"/>
  <c r="S723" i="2"/>
  <c r="R723" i="2"/>
  <c r="S722" i="2"/>
  <c r="R722" i="2"/>
  <c r="S721" i="2"/>
  <c r="R721" i="2"/>
  <c r="S720" i="2"/>
  <c r="R720" i="2"/>
  <c r="S719" i="2"/>
  <c r="R719" i="2"/>
  <c r="S718" i="2"/>
  <c r="R718" i="2"/>
  <c r="S717" i="2"/>
  <c r="R717" i="2"/>
  <c r="S716" i="2"/>
  <c r="R716" i="2"/>
  <c r="S715" i="2"/>
  <c r="R715" i="2"/>
  <c r="S714" i="2"/>
  <c r="R714" i="2"/>
  <c r="S713" i="2"/>
  <c r="R713" i="2"/>
  <c r="S712" i="2"/>
  <c r="R712" i="2"/>
  <c r="S711" i="2"/>
  <c r="R711" i="2"/>
  <c r="S710" i="2"/>
  <c r="R710" i="2"/>
  <c r="S709" i="2"/>
  <c r="R709" i="2"/>
  <c r="S708" i="2"/>
  <c r="R708" i="2"/>
  <c r="S707" i="2"/>
  <c r="R707" i="2"/>
  <c r="S706" i="2"/>
  <c r="R706" i="2"/>
  <c r="S705" i="2"/>
  <c r="R705" i="2"/>
  <c r="S704" i="2"/>
  <c r="R704" i="2"/>
  <c r="S703" i="2"/>
  <c r="R703" i="2"/>
  <c r="S701" i="2"/>
  <c r="R701" i="2"/>
  <c r="S700" i="2"/>
  <c r="R700" i="2"/>
  <c r="S699" i="2"/>
  <c r="R699" i="2"/>
  <c r="S698" i="2"/>
  <c r="R698" i="2"/>
  <c r="S697" i="2"/>
  <c r="R697" i="2"/>
  <c r="S696" i="2"/>
  <c r="R696" i="2"/>
  <c r="S695" i="2"/>
  <c r="R695" i="2"/>
  <c r="S694" i="2"/>
  <c r="R694" i="2"/>
  <c r="S693" i="2"/>
  <c r="R693" i="2"/>
  <c r="S692" i="2"/>
  <c r="R692" i="2"/>
  <c r="S691" i="2"/>
  <c r="R691" i="2"/>
  <c r="S690" i="2"/>
  <c r="R690" i="2"/>
  <c r="S689" i="2"/>
  <c r="R689" i="2"/>
  <c r="S688" i="2"/>
  <c r="R688" i="2"/>
  <c r="S687" i="2"/>
  <c r="R687" i="2"/>
  <c r="S686" i="2"/>
  <c r="R686" i="2"/>
  <c r="S685" i="2"/>
  <c r="R685" i="2"/>
  <c r="S684" i="2"/>
  <c r="R684" i="2"/>
  <c r="S683" i="2"/>
  <c r="R683" i="2"/>
  <c r="S682" i="2"/>
  <c r="R682" i="2"/>
  <c r="S681" i="2"/>
  <c r="R681" i="2"/>
  <c r="S680" i="2"/>
  <c r="R680" i="2"/>
  <c r="S679" i="2"/>
  <c r="R679" i="2"/>
  <c r="S678" i="2"/>
  <c r="R678" i="2"/>
  <c r="S677" i="2"/>
  <c r="R677" i="2"/>
  <c r="S676" i="2"/>
  <c r="R676" i="2"/>
  <c r="S675" i="2"/>
  <c r="R675" i="2"/>
  <c r="S674" i="2"/>
  <c r="R674" i="2"/>
  <c r="S673" i="2"/>
  <c r="R673" i="2"/>
  <c r="S672" i="2"/>
  <c r="R672" i="2"/>
  <c r="S671" i="2"/>
  <c r="R671" i="2"/>
  <c r="S670" i="2"/>
  <c r="R670" i="2"/>
  <c r="S669" i="2"/>
  <c r="R669" i="2"/>
  <c r="S668" i="2"/>
  <c r="R668" i="2"/>
  <c r="S667" i="2"/>
  <c r="R667" i="2"/>
  <c r="S666" i="2"/>
  <c r="R666" i="2"/>
  <c r="S665" i="2"/>
  <c r="R665" i="2"/>
  <c r="S664" i="2"/>
  <c r="R664" i="2"/>
  <c r="S663" i="2"/>
  <c r="R663" i="2"/>
  <c r="S662" i="2"/>
  <c r="R662" i="2"/>
  <c r="S661" i="2"/>
  <c r="R661" i="2"/>
  <c r="S660" i="2"/>
  <c r="R660" i="2"/>
  <c r="S659" i="2"/>
  <c r="R659" i="2"/>
  <c r="S658" i="2"/>
  <c r="R658" i="2"/>
  <c r="S657" i="2"/>
  <c r="R657" i="2"/>
  <c r="S656" i="2"/>
  <c r="R656" i="2"/>
  <c r="S655" i="2"/>
  <c r="R655" i="2"/>
  <c r="S654" i="2"/>
  <c r="R654" i="2"/>
  <c r="S653" i="2"/>
  <c r="R653" i="2"/>
  <c r="S652" i="2"/>
  <c r="R652" i="2"/>
  <c r="S651" i="2"/>
  <c r="R651" i="2"/>
  <c r="S650" i="2"/>
  <c r="R650" i="2"/>
  <c r="S649" i="2"/>
  <c r="R649" i="2"/>
  <c r="S648" i="2"/>
  <c r="R648" i="2"/>
  <c r="S647" i="2"/>
  <c r="R647" i="2"/>
  <c r="S646" i="2"/>
  <c r="R646" i="2"/>
  <c r="S645" i="2"/>
  <c r="R645" i="2"/>
  <c r="S644" i="2"/>
  <c r="R644" i="2"/>
  <c r="S643" i="2"/>
  <c r="R643" i="2"/>
  <c r="S642" i="2"/>
  <c r="R642" i="2"/>
  <c r="S641" i="2"/>
  <c r="R641" i="2"/>
  <c r="S640" i="2"/>
  <c r="R640" i="2"/>
  <c r="S639" i="2"/>
  <c r="R639" i="2"/>
  <c r="S638" i="2"/>
  <c r="R638" i="2"/>
  <c r="S637" i="2"/>
  <c r="R637" i="2"/>
  <c r="S636" i="2"/>
  <c r="R636" i="2"/>
  <c r="S635" i="2"/>
  <c r="R635" i="2"/>
  <c r="S634" i="2"/>
  <c r="R634" i="2"/>
  <c r="S633" i="2"/>
  <c r="R633" i="2"/>
  <c r="S632" i="2"/>
  <c r="R632" i="2"/>
  <c r="S631" i="2"/>
  <c r="R631" i="2"/>
  <c r="S630" i="2"/>
  <c r="R630" i="2"/>
  <c r="S629" i="2"/>
  <c r="R629" i="2"/>
  <c r="S628" i="2"/>
  <c r="R628" i="2"/>
  <c r="S627" i="2"/>
  <c r="R627" i="2"/>
  <c r="S626" i="2"/>
  <c r="R626" i="2"/>
  <c r="S625" i="2"/>
  <c r="R625" i="2"/>
  <c r="S624" i="2"/>
  <c r="R624" i="2"/>
  <c r="S623" i="2"/>
  <c r="R623" i="2"/>
  <c r="S622" i="2"/>
  <c r="R622" i="2"/>
  <c r="S621" i="2"/>
  <c r="R621" i="2"/>
  <c r="S620" i="2"/>
  <c r="R620" i="2"/>
  <c r="S619" i="2"/>
  <c r="R619" i="2"/>
  <c r="S618" i="2"/>
  <c r="R618" i="2"/>
  <c r="S617" i="2"/>
  <c r="R617" i="2"/>
  <c r="S616" i="2"/>
  <c r="R616" i="2"/>
  <c r="S615" i="2"/>
  <c r="R615" i="2"/>
  <c r="S614" i="2"/>
  <c r="R614" i="2"/>
  <c r="S613" i="2"/>
  <c r="R613" i="2"/>
  <c r="S612" i="2"/>
  <c r="R612" i="2"/>
  <c r="S611" i="2"/>
  <c r="R611" i="2"/>
  <c r="S610" i="2"/>
  <c r="R610" i="2"/>
  <c r="S609" i="2"/>
  <c r="R609" i="2"/>
  <c r="S608" i="2"/>
  <c r="R608" i="2"/>
  <c r="S607" i="2"/>
  <c r="R607" i="2"/>
  <c r="S606" i="2"/>
  <c r="R606" i="2"/>
  <c r="S605" i="2"/>
  <c r="R605" i="2"/>
  <c r="S604" i="2"/>
  <c r="R604" i="2"/>
  <c r="S603" i="2"/>
  <c r="R603" i="2"/>
  <c r="S602" i="2"/>
  <c r="R602" i="2"/>
  <c r="S601" i="2"/>
  <c r="R601" i="2"/>
  <c r="S600" i="2"/>
  <c r="R600" i="2"/>
  <c r="S599" i="2"/>
  <c r="R599" i="2"/>
  <c r="S598" i="2"/>
  <c r="R598" i="2"/>
  <c r="S597" i="2"/>
  <c r="R597" i="2"/>
  <c r="S596" i="2"/>
  <c r="R596" i="2"/>
  <c r="S595" i="2"/>
  <c r="R595" i="2"/>
  <c r="S594" i="2"/>
  <c r="R594" i="2"/>
  <c r="S593" i="2"/>
  <c r="R593" i="2"/>
  <c r="S592" i="2"/>
  <c r="R592" i="2"/>
  <c r="S591" i="2"/>
  <c r="R591" i="2"/>
  <c r="S590" i="2"/>
  <c r="R590" i="2"/>
  <c r="S589" i="2"/>
  <c r="R589" i="2"/>
  <c r="S588" i="2"/>
  <c r="R588" i="2"/>
  <c r="S587" i="2"/>
  <c r="R587" i="2"/>
  <c r="S586" i="2"/>
  <c r="R586" i="2"/>
  <c r="S585" i="2"/>
  <c r="R585" i="2"/>
  <c r="S584" i="2"/>
  <c r="R584" i="2"/>
  <c r="S583" i="2"/>
  <c r="R583" i="2"/>
  <c r="S582" i="2"/>
  <c r="R582" i="2"/>
  <c r="S581" i="2"/>
  <c r="R581" i="2"/>
  <c r="S580" i="2"/>
  <c r="R580" i="2"/>
  <c r="S579" i="2"/>
  <c r="R579" i="2"/>
  <c r="S578" i="2"/>
  <c r="R578" i="2"/>
  <c r="S577" i="2"/>
  <c r="R577" i="2"/>
  <c r="S576" i="2"/>
  <c r="R576" i="2"/>
  <c r="S575" i="2"/>
  <c r="R575" i="2"/>
  <c r="S574" i="2"/>
  <c r="R574" i="2"/>
  <c r="S573" i="2"/>
  <c r="R573" i="2"/>
  <c r="S572" i="2"/>
  <c r="R572" i="2"/>
  <c r="S571" i="2"/>
  <c r="R571" i="2"/>
  <c r="S570" i="2"/>
  <c r="R570" i="2"/>
  <c r="S569" i="2"/>
  <c r="R569" i="2"/>
  <c r="S568" i="2"/>
  <c r="R568" i="2"/>
  <c r="S567" i="2"/>
  <c r="R567" i="2"/>
  <c r="S566" i="2"/>
  <c r="R566" i="2"/>
  <c r="S565" i="2"/>
  <c r="R565" i="2"/>
  <c r="S564" i="2"/>
  <c r="R564" i="2"/>
  <c r="S563" i="2"/>
  <c r="R563" i="2"/>
  <c r="S562" i="2"/>
  <c r="R562" i="2"/>
  <c r="S561" i="2"/>
  <c r="R561" i="2"/>
  <c r="S560" i="2"/>
  <c r="R560" i="2"/>
  <c r="S559" i="2"/>
  <c r="R559" i="2"/>
  <c r="S558" i="2"/>
  <c r="R558" i="2"/>
  <c r="S557" i="2"/>
  <c r="R557" i="2"/>
  <c r="S556" i="2"/>
  <c r="R556" i="2"/>
  <c r="S555" i="2"/>
  <c r="R555" i="2"/>
  <c r="S554" i="2"/>
  <c r="R554" i="2"/>
  <c r="S553" i="2"/>
  <c r="R553" i="2"/>
  <c r="S552" i="2"/>
  <c r="R552" i="2"/>
  <c r="S551" i="2"/>
  <c r="R551" i="2"/>
  <c r="S550" i="2"/>
  <c r="R550" i="2"/>
  <c r="S549" i="2"/>
  <c r="R549" i="2"/>
  <c r="S548" i="2"/>
  <c r="R548" i="2"/>
  <c r="S547" i="2"/>
  <c r="R547" i="2"/>
  <c r="S546" i="2"/>
  <c r="R546" i="2"/>
  <c r="S545" i="2"/>
  <c r="R545" i="2"/>
  <c r="S544" i="2"/>
  <c r="R544" i="2"/>
  <c r="S543" i="2"/>
  <c r="R543" i="2"/>
  <c r="S542" i="2"/>
  <c r="R542" i="2"/>
  <c r="S541" i="2"/>
  <c r="R541" i="2"/>
  <c r="S540" i="2"/>
  <c r="R540" i="2"/>
  <c r="S539" i="2"/>
  <c r="R539" i="2"/>
  <c r="S538" i="2"/>
  <c r="R538" i="2"/>
  <c r="S537" i="2"/>
  <c r="R537" i="2"/>
  <c r="S536" i="2"/>
  <c r="R536" i="2"/>
  <c r="S535" i="2"/>
  <c r="R535" i="2"/>
  <c r="S534" i="2"/>
  <c r="R534" i="2"/>
  <c r="S533" i="2"/>
  <c r="R533" i="2"/>
  <c r="S532" i="2"/>
  <c r="R532" i="2"/>
  <c r="S531" i="2"/>
  <c r="R531" i="2"/>
  <c r="S530" i="2"/>
  <c r="R530" i="2"/>
  <c r="S529" i="2"/>
  <c r="R529" i="2"/>
  <c r="S528" i="2"/>
  <c r="R528" i="2"/>
  <c r="S527" i="2"/>
  <c r="R527" i="2"/>
  <c r="S526" i="2"/>
  <c r="R526" i="2"/>
  <c r="S525" i="2"/>
  <c r="R525" i="2"/>
  <c r="S524" i="2"/>
  <c r="R524" i="2"/>
  <c r="S523" i="2"/>
  <c r="R523" i="2"/>
  <c r="S522" i="2"/>
  <c r="R522" i="2"/>
  <c r="S521" i="2"/>
  <c r="R521" i="2"/>
  <c r="S520" i="2"/>
  <c r="R520" i="2"/>
  <c r="S519" i="2"/>
  <c r="R519" i="2"/>
  <c r="S518" i="2"/>
  <c r="R518" i="2"/>
  <c r="S517" i="2"/>
  <c r="R517" i="2"/>
  <c r="S516" i="2"/>
  <c r="R516" i="2"/>
  <c r="S515" i="2"/>
  <c r="R515" i="2"/>
  <c r="S514" i="2"/>
  <c r="R514" i="2"/>
  <c r="S513" i="2"/>
  <c r="R513" i="2"/>
  <c r="S512" i="2"/>
  <c r="R512" i="2"/>
  <c r="S511" i="2"/>
  <c r="R511" i="2"/>
  <c r="S510" i="2"/>
  <c r="R510" i="2"/>
  <c r="S509" i="2"/>
  <c r="R509" i="2"/>
  <c r="S508" i="2"/>
  <c r="R508" i="2"/>
  <c r="S507" i="2"/>
  <c r="R507" i="2"/>
  <c r="S506" i="2"/>
  <c r="R506" i="2"/>
  <c r="S505" i="2"/>
  <c r="R505" i="2"/>
  <c r="S504" i="2"/>
  <c r="R504" i="2"/>
  <c r="S503" i="2"/>
  <c r="R503" i="2"/>
  <c r="S502" i="2"/>
  <c r="R502" i="2"/>
  <c r="S501" i="2"/>
  <c r="R501" i="2"/>
  <c r="S500" i="2"/>
  <c r="R500" i="2"/>
  <c r="S499" i="2"/>
  <c r="R499" i="2"/>
  <c r="S498" i="2"/>
  <c r="R498" i="2"/>
  <c r="S497" i="2"/>
  <c r="R497" i="2"/>
  <c r="S496" i="2"/>
  <c r="R496" i="2"/>
  <c r="S495" i="2"/>
  <c r="R495" i="2"/>
  <c r="S494" i="2"/>
  <c r="R494" i="2"/>
  <c r="S493" i="2"/>
  <c r="R493" i="2"/>
  <c r="S492" i="2"/>
  <c r="R492" i="2"/>
  <c r="S491" i="2"/>
  <c r="R491" i="2"/>
  <c r="S490" i="2"/>
  <c r="R490" i="2"/>
  <c r="S489" i="2"/>
  <c r="R489" i="2"/>
  <c r="S488" i="2"/>
  <c r="R488" i="2"/>
  <c r="S487" i="2"/>
  <c r="R487" i="2"/>
  <c r="S486" i="2"/>
  <c r="R486" i="2"/>
  <c r="S485" i="2"/>
  <c r="R485" i="2"/>
  <c r="S484" i="2"/>
  <c r="R484" i="2"/>
  <c r="S483" i="2"/>
  <c r="R483" i="2"/>
  <c r="S482" i="2"/>
  <c r="R482" i="2"/>
  <c r="S481" i="2"/>
  <c r="R481" i="2"/>
  <c r="S480" i="2"/>
  <c r="R480" i="2"/>
  <c r="S479" i="2"/>
  <c r="R479" i="2"/>
  <c r="S478" i="2"/>
  <c r="R478" i="2"/>
  <c r="S477" i="2"/>
  <c r="R477" i="2"/>
  <c r="S476" i="2"/>
  <c r="R476" i="2"/>
  <c r="S475" i="2"/>
  <c r="R475" i="2"/>
  <c r="S474" i="2"/>
  <c r="R474" i="2"/>
  <c r="S473" i="2"/>
  <c r="R473" i="2"/>
  <c r="S472" i="2"/>
  <c r="R472" i="2"/>
  <c r="S471" i="2"/>
  <c r="R471" i="2"/>
  <c r="S470" i="2"/>
  <c r="R470" i="2"/>
  <c r="S469" i="2"/>
  <c r="R469" i="2"/>
  <c r="S468" i="2"/>
  <c r="R468" i="2"/>
  <c r="S467" i="2"/>
  <c r="R467" i="2"/>
  <c r="S466" i="2"/>
  <c r="R466" i="2"/>
  <c r="S465" i="2"/>
  <c r="R465" i="2"/>
  <c r="S464" i="2"/>
  <c r="R464" i="2"/>
  <c r="S463" i="2"/>
  <c r="R463" i="2"/>
  <c r="S462" i="2"/>
  <c r="R462" i="2"/>
  <c r="S461" i="2"/>
  <c r="R461" i="2"/>
  <c r="S460" i="2"/>
  <c r="R460" i="2"/>
  <c r="S459" i="2"/>
  <c r="R459" i="2"/>
  <c r="S458" i="2"/>
  <c r="R458" i="2"/>
  <c r="S457" i="2"/>
  <c r="R457" i="2"/>
  <c r="S456" i="2"/>
  <c r="R456" i="2"/>
  <c r="S455" i="2"/>
  <c r="R455" i="2"/>
  <c r="S454" i="2"/>
  <c r="R454" i="2"/>
  <c r="S453" i="2"/>
  <c r="R453" i="2"/>
  <c r="S452" i="2"/>
  <c r="R452" i="2"/>
  <c r="S451" i="2"/>
  <c r="R451" i="2"/>
  <c r="S450" i="2"/>
  <c r="R450" i="2"/>
  <c r="S449" i="2"/>
  <c r="R449" i="2"/>
  <c r="S448" i="2"/>
  <c r="R448" i="2"/>
  <c r="S447" i="2"/>
  <c r="R447" i="2"/>
  <c r="S446" i="2"/>
  <c r="R446" i="2"/>
  <c r="S445" i="2"/>
  <c r="R445" i="2"/>
  <c r="S444" i="2"/>
  <c r="R444" i="2"/>
  <c r="S443" i="2"/>
  <c r="R443" i="2"/>
  <c r="S442" i="2"/>
  <c r="R442" i="2"/>
  <c r="S441" i="2"/>
  <c r="R441" i="2"/>
  <c r="S440" i="2"/>
  <c r="R440" i="2"/>
  <c r="S439" i="2"/>
  <c r="R439" i="2"/>
  <c r="S438" i="2"/>
  <c r="R438" i="2"/>
  <c r="S437" i="2"/>
  <c r="R437" i="2"/>
  <c r="S436" i="2"/>
  <c r="R436" i="2"/>
  <c r="S435" i="2"/>
  <c r="R435" i="2"/>
  <c r="S434" i="2"/>
  <c r="R434" i="2"/>
  <c r="S433" i="2"/>
  <c r="R433" i="2"/>
  <c r="S432" i="2"/>
  <c r="R432" i="2"/>
  <c r="S431" i="2"/>
  <c r="R431" i="2"/>
  <c r="S430" i="2"/>
  <c r="R430" i="2"/>
  <c r="S429" i="2"/>
  <c r="R429" i="2"/>
  <c r="S428" i="2"/>
  <c r="R428" i="2"/>
  <c r="S427" i="2"/>
  <c r="R427" i="2"/>
  <c r="S426" i="2"/>
  <c r="R426" i="2"/>
  <c r="S425" i="2"/>
  <c r="R425" i="2"/>
  <c r="S424" i="2"/>
  <c r="R424" i="2"/>
  <c r="S423" i="2"/>
  <c r="R423" i="2"/>
  <c r="S422" i="2"/>
  <c r="R422" i="2"/>
  <c r="S421" i="2"/>
  <c r="R421" i="2"/>
  <c r="S420" i="2"/>
  <c r="R420" i="2"/>
  <c r="S419" i="2"/>
  <c r="R419" i="2"/>
  <c r="S418" i="2"/>
  <c r="R418" i="2"/>
  <c r="S417" i="2"/>
  <c r="R417" i="2"/>
  <c r="S416" i="2"/>
  <c r="R416" i="2"/>
  <c r="S415" i="2"/>
  <c r="R415" i="2"/>
  <c r="S414" i="2"/>
  <c r="R414" i="2"/>
  <c r="S413" i="2"/>
  <c r="R413" i="2"/>
  <c r="S412" i="2"/>
  <c r="R412" i="2"/>
  <c r="S411" i="2"/>
  <c r="R411" i="2"/>
  <c r="S410" i="2"/>
  <c r="R410" i="2"/>
  <c r="S409" i="2"/>
  <c r="R409" i="2"/>
  <c r="S408" i="2"/>
  <c r="R408" i="2"/>
  <c r="S407" i="2"/>
  <c r="R407" i="2"/>
  <c r="S406" i="2"/>
  <c r="R406" i="2"/>
  <c r="S405" i="2"/>
  <c r="R405" i="2"/>
  <c r="S404" i="2"/>
  <c r="R404" i="2"/>
  <c r="S403" i="2"/>
  <c r="R403" i="2"/>
  <c r="S402" i="2"/>
  <c r="R402" i="2"/>
  <c r="S401" i="2"/>
  <c r="R401" i="2"/>
  <c r="S400" i="2"/>
  <c r="R400" i="2"/>
  <c r="S399" i="2"/>
  <c r="R399" i="2"/>
  <c r="S398" i="2"/>
  <c r="R398" i="2"/>
  <c r="S397" i="2"/>
  <c r="R397" i="2"/>
  <c r="S396" i="2"/>
  <c r="R396" i="2"/>
  <c r="S395" i="2"/>
  <c r="R395" i="2"/>
  <c r="S394" i="2"/>
  <c r="R394" i="2"/>
  <c r="S393" i="2"/>
  <c r="R393" i="2"/>
  <c r="S392" i="2"/>
  <c r="R392" i="2"/>
  <c r="S391" i="2"/>
  <c r="R391" i="2"/>
  <c r="S390" i="2"/>
  <c r="R390" i="2"/>
  <c r="S389" i="2"/>
  <c r="R389" i="2"/>
  <c r="S388" i="2"/>
  <c r="R388" i="2"/>
  <c r="S387" i="2"/>
  <c r="R387" i="2"/>
  <c r="S386" i="2"/>
  <c r="R386" i="2"/>
  <c r="S385" i="2"/>
  <c r="R385" i="2"/>
  <c r="S384" i="2"/>
  <c r="R384" i="2"/>
  <c r="S383" i="2"/>
  <c r="R383" i="2"/>
  <c r="S382" i="2"/>
  <c r="R382" i="2"/>
  <c r="S381" i="2"/>
  <c r="R381" i="2"/>
  <c r="S380" i="2"/>
  <c r="R380" i="2"/>
  <c r="S379" i="2"/>
  <c r="R379" i="2"/>
  <c r="S378" i="2"/>
  <c r="R378" i="2"/>
  <c r="S377" i="2"/>
  <c r="R377" i="2"/>
  <c r="S376" i="2"/>
  <c r="R376" i="2"/>
  <c r="S375" i="2"/>
  <c r="R375" i="2"/>
  <c r="S374" i="2"/>
  <c r="R374" i="2"/>
  <c r="S373" i="2"/>
  <c r="R373" i="2"/>
  <c r="S372" i="2"/>
  <c r="R372" i="2"/>
  <c r="S371" i="2"/>
  <c r="R371" i="2"/>
  <c r="S370" i="2"/>
  <c r="R370" i="2"/>
  <c r="S369" i="2"/>
  <c r="R369" i="2"/>
  <c r="S368" i="2"/>
  <c r="R368" i="2"/>
  <c r="S367" i="2"/>
  <c r="R367" i="2"/>
  <c r="S366" i="2"/>
  <c r="R366" i="2"/>
  <c r="S365" i="2"/>
  <c r="R365" i="2"/>
  <c r="S364" i="2"/>
  <c r="R364" i="2"/>
  <c r="S363" i="2"/>
  <c r="R363" i="2"/>
  <c r="S362" i="2"/>
  <c r="R362" i="2"/>
  <c r="S361" i="2"/>
  <c r="R361" i="2"/>
  <c r="S360" i="2"/>
  <c r="R360" i="2"/>
  <c r="S359" i="2"/>
  <c r="R359" i="2"/>
  <c r="S358" i="2"/>
  <c r="R358" i="2"/>
  <c r="S357" i="2"/>
  <c r="R357" i="2"/>
  <c r="S356" i="2"/>
  <c r="R356" i="2"/>
  <c r="S355" i="2"/>
  <c r="R355" i="2"/>
  <c r="S354" i="2"/>
  <c r="R354" i="2"/>
  <c r="S353" i="2"/>
  <c r="R353" i="2"/>
  <c r="S352" i="2"/>
  <c r="R352" i="2"/>
  <c r="S351" i="2"/>
  <c r="R351" i="2"/>
  <c r="S350" i="2"/>
  <c r="R350" i="2"/>
  <c r="S349" i="2"/>
  <c r="R349" i="2"/>
  <c r="S348" i="2"/>
  <c r="R348" i="2"/>
  <c r="S347" i="2"/>
  <c r="R347" i="2"/>
  <c r="S346" i="2"/>
  <c r="R346" i="2"/>
  <c r="S345" i="2"/>
  <c r="R345" i="2"/>
  <c r="S344" i="2"/>
  <c r="R344" i="2"/>
  <c r="S343" i="2"/>
  <c r="R343" i="2"/>
  <c r="S342" i="2"/>
  <c r="R342" i="2"/>
  <c r="S341" i="2"/>
  <c r="R341" i="2"/>
  <c r="S340" i="2"/>
  <c r="R340" i="2"/>
  <c r="S339" i="2"/>
  <c r="R339" i="2"/>
  <c r="S338" i="2"/>
  <c r="R338" i="2"/>
  <c r="S337" i="2"/>
  <c r="R337" i="2"/>
  <c r="S336" i="2"/>
  <c r="R336" i="2"/>
  <c r="S335" i="2"/>
  <c r="R335" i="2"/>
  <c r="S334" i="2"/>
  <c r="R334" i="2"/>
  <c r="S333" i="2"/>
  <c r="R333" i="2"/>
  <c r="S332" i="2"/>
  <c r="R332" i="2"/>
  <c r="S331" i="2"/>
  <c r="R331" i="2"/>
  <c r="S330" i="2"/>
  <c r="R330" i="2"/>
  <c r="S329" i="2"/>
  <c r="R329" i="2"/>
  <c r="S328" i="2"/>
  <c r="R328" i="2"/>
  <c r="S327" i="2"/>
  <c r="R327" i="2"/>
  <c r="S326" i="2"/>
  <c r="R326" i="2"/>
  <c r="S325" i="2"/>
  <c r="R325" i="2"/>
  <c r="S324" i="2"/>
  <c r="R324" i="2"/>
  <c r="S323" i="2"/>
  <c r="R323" i="2"/>
  <c r="S322" i="2"/>
  <c r="R322" i="2"/>
  <c r="S321" i="2"/>
  <c r="R321" i="2"/>
  <c r="S320" i="2"/>
  <c r="R320" i="2"/>
  <c r="S319" i="2"/>
  <c r="R319" i="2"/>
  <c r="S318" i="2"/>
  <c r="R318" i="2"/>
  <c r="S317" i="2"/>
  <c r="R317" i="2"/>
  <c r="S316" i="2"/>
  <c r="R316" i="2"/>
  <c r="S315" i="2"/>
  <c r="R315" i="2"/>
  <c r="S314" i="2"/>
  <c r="R314" i="2"/>
  <c r="S313" i="2"/>
  <c r="R313" i="2"/>
  <c r="S312" i="2"/>
  <c r="R312" i="2"/>
  <c r="S311" i="2"/>
  <c r="R311" i="2"/>
  <c r="S310" i="2"/>
  <c r="R310" i="2"/>
  <c r="S309" i="2"/>
  <c r="R309" i="2"/>
  <c r="S308" i="2"/>
  <c r="R308" i="2"/>
  <c r="S307" i="2"/>
  <c r="R307" i="2"/>
  <c r="S306" i="2"/>
  <c r="R306" i="2"/>
  <c r="S305" i="2"/>
  <c r="R305" i="2"/>
  <c r="S304" i="2"/>
  <c r="R304" i="2"/>
  <c r="S303" i="2"/>
  <c r="R303" i="2"/>
  <c r="S302" i="2"/>
  <c r="R302" i="2"/>
  <c r="S301" i="2"/>
  <c r="R301" i="2"/>
  <c r="S300" i="2"/>
  <c r="R300" i="2"/>
  <c r="S299" i="2"/>
  <c r="R299" i="2"/>
  <c r="S298" i="2"/>
  <c r="R298" i="2"/>
  <c r="S297" i="2"/>
  <c r="R297" i="2"/>
  <c r="S296" i="2"/>
  <c r="R296" i="2"/>
  <c r="S295" i="2"/>
  <c r="R295" i="2"/>
  <c r="S294" i="2"/>
  <c r="R294" i="2"/>
  <c r="S293" i="2"/>
  <c r="R293" i="2"/>
  <c r="S292" i="2"/>
  <c r="R292" i="2"/>
  <c r="S291" i="2"/>
  <c r="R291" i="2"/>
  <c r="S290" i="2"/>
  <c r="R290" i="2"/>
  <c r="S289" i="2"/>
  <c r="R289" i="2"/>
  <c r="S288" i="2"/>
  <c r="R288" i="2"/>
  <c r="S287" i="2"/>
  <c r="R287" i="2"/>
  <c r="S286" i="2"/>
  <c r="R286" i="2"/>
  <c r="S285" i="2"/>
  <c r="R285" i="2"/>
  <c r="S284" i="2"/>
  <c r="R284" i="2"/>
  <c r="S283" i="2"/>
  <c r="R283" i="2"/>
  <c r="S282" i="2"/>
  <c r="R282" i="2"/>
  <c r="S281" i="2"/>
  <c r="R281" i="2"/>
  <c r="S280" i="2"/>
  <c r="R280" i="2"/>
  <c r="S279" i="2"/>
  <c r="R279" i="2"/>
  <c r="S278" i="2"/>
  <c r="R278" i="2"/>
  <c r="S277" i="2"/>
  <c r="R277" i="2"/>
  <c r="S276" i="2"/>
  <c r="R276" i="2"/>
  <c r="S275" i="2"/>
  <c r="R275" i="2"/>
  <c r="S274" i="2"/>
  <c r="R274" i="2"/>
  <c r="S273" i="2"/>
  <c r="R273" i="2"/>
  <c r="S272" i="2"/>
  <c r="R272" i="2"/>
  <c r="S271" i="2"/>
  <c r="R271" i="2"/>
  <c r="S270" i="2"/>
  <c r="R270" i="2"/>
  <c r="S269" i="2"/>
  <c r="R269" i="2"/>
  <c r="S268" i="2"/>
  <c r="R268" i="2"/>
  <c r="S267" i="2"/>
  <c r="R267" i="2"/>
  <c r="S266" i="2"/>
  <c r="R266" i="2"/>
  <c r="S265" i="2"/>
  <c r="R265" i="2"/>
  <c r="S264" i="2"/>
  <c r="R264" i="2"/>
  <c r="S263" i="2"/>
  <c r="R263" i="2"/>
  <c r="S262" i="2"/>
  <c r="R262" i="2"/>
  <c r="S261" i="2"/>
  <c r="R261" i="2"/>
  <c r="S260" i="2"/>
  <c r="R260" i="2"/>
  <c r="S259" i="2"/>
  <c r="R259" i="2"/>
  <c r="S258" i="2"/>
  <c r="R258" i="2"/>
  <c r="S257" i="2"/>
  <c r="R257" i="2"/>
  <c r="S256" i="2"/>
  <c r="R256" i="2"/>
  <c r="S255" i="2"/>
  <c r="R255" i="2"/>
  <c r="S254" i="2"/>
  <c r="R254" i="2"/>
  <c r="S253" i="2"/>
  <c r="R253" i="2"/>
  <c r="S252" i="2"/>
  <c r="R252" i="2"/>
  <c r="S251" i="2"/>
  <c r="R251" i="2"/>
  <c r="S250" i="2"/>
  <c r="R250" i="2"/>
  <c r="S249" i="2"/>
  <c r="R249" i="2"/>
  <c r="S248" i="2"/>
  <c r="R248" i="2"/>
  <c r="S247" i="2"/>
  <c r="R247" i="2"/>
  <c r="S246" i="2"/>
  <c r="R246" i="2"/>
  <c r="S245" i="2"/>
  <c r="R245" i="2"/>
  <c r="S244" i="2"/>
  <c r="R244" i="2"/>
  <c r="S243" i="2"/>
  <c r="R243" i="2"/>
  <c r="S242" i="2"/>
  <c r="R242" i="2"/>
  <c r="S241" i="2"/>
  <c r="R241" i="2"/>
  <c r="S240" i="2"/>
  <c r="R240" i="2"/>
  <c r="S239" i="2"/>
  <c r="R239" i="2"/>
  <c r="S238" i="2"/>
  <c r="R238" i="2"/>
  <c r="S237" i="2"/>
  <c r="R237" i="2"/>
  <c r="S236" i="2"/>
  <c r="R236" i="2"/>
  <c r="S235" i="2"/>
  <c r="R235" i="2"/>
  <c r="S234" i="2"/>
  <c r="R234" i="2"/>
  <c r="S233" i="2"/>
  <c r="R233" i="2"/>
  <c r="S232" i="2"/>
  <c r="R232" i="2"/>
  <c r="S231" i="2"/>
  <c r="R231" i="2"/>
  <c r="S230" i="2"/>
  <c r="R230" i="2"/>
  <c r="S229" i="2"/>
  <c r="R229" i="2"/>
  <c r="S228" i="2"/>
  <c r="R228" i="2"/>
  <c r="S227" i="2"/>
  <c r="R227" i="2"/>
  <c r="S226" i="2"/>
  <c r="R226" i="2"/>
  <c r="S225" i="2"/>
  <c r="R225" i="2"/>
  <c r="S224" i="2"/>
  <c r="R224" i="2"/>
  <c r="S223" i="2"/>
  <c r="R223" i="2"/>
  <c r="S222" i="2"/>
  <c r="R222" i="2"/>
  <c r="S221" i="2"/>
  <c r="R221" i="2"/>
  <c r="S220" i="2"/>
  <c r="R220" i="2"/>
  <c r="S219" i="2"/>
  <c r="R219" i="2"/>
  <c r="S218" i="2"/>
  <c r="R218" i="2"/>
  <c r="S217" i="2"/>
  <c r="R217" i="2"/>
  <c r="S216" i="2"/>
  <c r="R216" i="2"/>
  <c r="S215" i="2"/>
  <c r="R215" i="2"/>
  <c r="S214" i="2"/>
  <c r="R214" i="2"/>
  <c r="S213" i="2"/>
  <c r="R213" i="2"/>
  <c r="S212" i="2"/>
  <c r="R212" i="2"/>
  <c r="S211" i="2"/>
  <c r="R211" i="2"/>
  <c r="S210" i="2"/>
  <c r="R210" i="2"/>
  <c r="S209" i="2"/>
  <c r="R209" i="2"/>
  <c r="S208" i="2"/>
  <c r="R208" i="2"/>
  <c r="S207" i="2"/>
  <c r="R207" i="2"/>
  <c r="S206" i="2"/>
  <c r="R206" i="2"/>
  <c r="S205" i="2"/>
  <c r="R205" i="2"/>
  <c r="S204" i="2"/>
  <c r="R204" i="2"/>
  <c r="S203" i="2"/>
  <c r="R203" i="2"/>
  <c r="S202" i="2"/>
  <c r="R202" i="2"/>
  <c r="S201" i="2"/>
  <c r="R201" i="2"/>
  <c r="S200" i="2"/>
  <c r="R200" i="2"/>
  <c r="S199" i="2"/>
  <c r="R199" i="2"/>
  <c r="S198" i="2"/>
  <c r="R198" i="2"/>
  <c r="S197" i="2"/>
  <c r="R197" i="2"/>
  <c r="S196" i="2"/>
  <c r="R196" i="2"/>
  <c r="S195" i="2"/>
  <c r="R195" i="2"/>
  <c r="S194" i="2"/>
  <c r="R194" i="2"/>
  <c r="S193" i="2"/>
  <c r="R193" i="2"/>
  <c r="S192" i="2"/>
  <c r="R192" i="2"/>
  <c r="S191" i="2"/>
  <c r="R191" i="2"/>
  <c r="S190" i="2"/>
  <c r="R190" i="2"/>
  <c r="S189" i="2"/>
  <c r="R189" i="2"/>
  <c r="S188" i="2"/>
  <c r="R188" i="2"/>
  <c r="S187" i="2"/>
  <c r="R187" i="2"/>
  <c r="S186" i="2"/>
  <c r="R186" i="2"/>
  <c r="S185" i="2"/>
  <c r="R185" i="2"/>
  <c r="S184" i="2"/>
  <c r="R184" i="2"/>
  <c r="S183" i="2"/>
  <c r="R183" i="2"/>
  <c r="S182" i="2"/>
  <c r="R182" i="2"/>
  <c r="S181" i="2"/>
  <c r="R181" i="2"/>
  <c r="S180" i="2"/>
  <c r="R180" i="2"/>
  <c r="S179" i="2"/>
  <c r="R179" i="2"/>
  <c r="S178" i="2"/>
  <c r="R178" i="2"/>
  <c r="S177" i="2"/>
  <c r="R177" i="2"/>
  <c r="S176" i="2"/>
  <c r="R176" i="2"/>
  <c r="S175" i="2"/>
  <c r="R175" i="2"/>
  <c r="S174" i="2"/>
  <c r="R174" i="2"/>
  <c r="S173" i="2"/>
  <c r="R173" i="2"/>
  <c r="S172" i="2"/>
  <c r="R172" i="2"/>
  <c r="S171" i="2"/>
  <c r="R171" i="2"/>
  <c r="S170" i="2"/>
  <c r="R170" i="2"/>
  <c r="S169" i="2"/>
  <c r="R169" i="2"/>
  <c r="S168" i="2"/>
  <c r="R168" i="2"/>
  <c r="S167" i="2"/>
  <c r="R167" i="2"/>
  <c r="S166" i="2"/>
  <c r="R166" i="2"/>
  <c r="S165" i="2"/>
  <c r="R165" i="2"/>
  <c r="S164" i="2"/>
  <c r="R164" i="2"/>
  <c r="S163" i="2"/>
  <c r="R163" i="2"/>
  <c r="S162" i="2"/>
  <c r="R162" i="2"/>
  <c r="S161" i="2"/>
  <c r="R161" i="2"/>
  <c r="S160" i="2"/>
  <c r="R160" i="2"/>
  <c r="S159" i="2"/>
  <c r="R159" i="2"/>
  <c r="S158" i="2"/>
  <c r="R158" i="2"/>
  <c r="S157" i="2"/>
  <c r="R157" i="2"/>
  <c r="S156" i="2"/>
  <c r="R156" i="2"/>
  <c r="S155" i="2"/>
  <c r="R155" i="2"/>
  <c r="S154" i="2"/>
  <c r="R154" i="2"/>
  <c r="S153" i="2"/>
  <c r="R153" i="2"/>
  <c r="S152" i="2"/>
  <c r="R152" i="2"/>
  <c r="S151" i="2"/>
  <c r="R151" i="2"/>
  <c r="S150" i="2"/>
  <c r="R150" i="2"/>
  <c r="S149" i="2"/>
  <c r="R149" i="2"/>
  <c r="S148" i="2"/>
  <c r="R148" i="2"/>
  <c r="S147" i="2"/>
  <c r="R147" i="2"/>
  <c r="S146" i="2"/>
  <c r="R146" i="2"/>
  <c r="S145" i="2"/>
  <c r="R145" i="2"/>
  <c r="S144" i="2"/>
  <c r="R144" i="2"/>
  <c r="S143" i="2"/>
  <c r="R143" i="2"/>
  <c r="S142" i="2"/>
  <c r="R142" i="2"/>
  <c r="S141" i="2"/>
  <c r="R141" i="2"/>
  <c r="S140" i="2"/>
  <c r="R140" i="2"/>
  <c r="S139" i="2"/>
  <c r="R139" i="2"/>
  <c r="S138" i="2"/>
  <c r="R138" i="2"/>
  <c r="S137" i="2"/>
  <c r="R137" i="2"/>
  <c r="S136" i="2"/>
  <c r="R136" i="2"/>
  <c r="S135" i="2"/>
  <c r="R135" i="2"/>
  <c r="S134" i="2"/>
  <c r="R134" i="2"/>
  <c r="S133" i="2"/>
  <c r="R133" i="2"/>
  <c r="S132" i="2"/>
  <c r="R132" i="2"/>
  <c r="S131" i="2"/>
  <c r="R131" i="2"/>
  <c r="S130" i="2"/>
  <c r="R130" i="2"/>
  <c r="S129" i="2"/>
  <c r="R129" i="2"/>
  <c r="S128" i="2"/>
  <c r="R128" i="2"/>
  <c r="S127" i="2"/>
  <c r="R127" i="2"/>
  <c r="S126" i="2"/>
  <c r="R126" i="2"/>
  <c r="S125" i="2"/>
  <c r="R125" i="2"/>
  <c r="S124" i="2"/>
  <c r="R124" i="2"/>
  <c r="S123" i="2"/>
  <c r="R123" i="2"/>
  <c r="S122" i="2"/>
  <c r="R122" i="2"/>
  <c r="S121" i="2"/>
  <c r="R121" i="2"/>
  <c r="S120" i="2"/>
  <c r="R120" i="2"/>
  <c r="S119" i="2"/>
  <c r="R119" i="2"/>
  <c r="S118" i="2"/>
  <c r="R118" i="2"/>
  <c r="S117" i="2"/>
  <c r="R117" i="2"/>
  <c r="S116" i="2"/>
  <c r="R116" i="2"/>
  <c r="S115" i="2"/>
  <c r="R115" i="2"/>
  <c r="S114" i="2"/>
  <c r="R114" i="2"/>
  <c r="S113" i="2"/>
  <c r="R113" i="2"/>
  <c r="S112" i="2"/>
  <c r="R112" i="2"/>
  <c r="S111" i="2"/>
  <c r="R111" i="2"/>
  <c r="S110" i="2"/>
  <c r="R110" i="2"/>
  <c r="S109" i="2"/>
  <c r="R109" i="2"/>
  <c r="S108" i="2"/>
  <c r="R108" i="2"/>
  <c r="S107" i="2"/>
  <c r="R107" i="2"/>
  <c r="S106" i="2"/>
  <c r="R106" i="2"/>
  <c r="S105" i="2"/>
  <c r="R105" i="2"/>
  <c r="S104" i="2"/>
  <c r="R104" i="2"/>
  <c r="S103" i="2"/>
  <c r="R103" i="2"/>
  <c r="S102" i="2"/>
  <c r="R102" i="2"/>
  <c r="S101" i="2"/>
  <c r="R101" i="2"/>
  <c r="S100" i="2"/>
  <c r="R100" i="2"/>
  <c r="S99" i="2"/>
  <c r="R99" i="2"/>
  <c r="S98" i="2"/>
  <c r="R98" i="2"/>
  <c r="S97" i="2"/>
  <c r="R97" i="2"/>
  <c r="S96" i="2"/>
  <c r="R96" i="2"/>
  <c r="S95" i="2"/>
  <c r="R95" i="2"/>
  <c r="S94" i="2"/>
  <c r="R94" i="2"/>
  <c r="S93" i="2"/>
  <c r="R93" i="2"/>
  <c r="S92" i="2"/>
  <c r="R92" i="2"/>
  <c r="S91" i="2"/>
  <c r="R91" i="2"/>
  <c r="S90" i="2"/>
  <c r="R90" i="2"/>
  <c r="S89" i="2"/>
  <c r="R89" i="2"/>
  <c r="S88" i="2"/>
  <c r="R88" i="2"/>
  <c r="S87" i="2"/>
  <c r="R87" i="2"/>
  <c r="S86" i="2"/>
  <c r="R86" i="2"/>
  <c r="S85" i="2"/>
  <c r="R85" i="2"/>
  <c r="S84" i="2"/>
  <c r="R84" i="2"/>
  <c r="S83" i="2"/>
  <c r="R83" i="2"/>
  <c r="S82" i="2"/>
  <c r="R82" i="2"/>
  <c r="S81" i="2"/>
  <c r="R81" i="2"/>
  <c r="S80" i="2"/>
  <c r="R80" i="2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S71" i="2"/>
  <c r="R71" i="2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S59" i="2"/>
  <c r="R59" i="2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S22" i="2"/>
  <c r="R22" i="2"/>
  <c r="S21" i="2"/>
  <c r="R21" i="2"/>
  <c r="S20" i="2"/>
  <c r="R20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S11" i="2"/>
  <c r="R11" i="2"/>
  <c r="S10" i="2"/>
  <c r="R10" i="2"/>
  <c r="S9" i="2"/>
  <c r="R9" i="2"/>
  <c r="S8" i="2"/>
  <c r="R8" i="2"/>
  <c r="S7" i="2"/>
  <c r="R7" i="2"/>
  <c r="S6" i="2"/>
  <c r="R6" i="2"/>
  <c r="S5" i="2"/>
  <c r="R5" i="2"/>
  <c r="S4" i="2"/>
  <c r="R4" i="2"/>
  <c r="S3" i="2"/>
  <c r="R3" i="2"/>
  <c r="S2" i="2"/>
  <c r="R2" i="2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423" i="1"/>
  <c r="S422" i="1"/>
  <c r="R423" i="1"/>
  <c r="R422" i="1"/>
  <c r="S421" i="1"/>
  <c r="R421" i="1"/>
  <c r="S420" i="1"/>
  <c r="R420" i="1"/>
  <c r="S419" i="1"/>
  <c r="R419" i="1"/>
  <c r="S418" i="1"/>
  <c r="R418" i="1"/>
  <c r="S417" i="1"/>
  <c r="R417" i="1"/>
  <c r="S416" i="1"/>
  <c r="R416" i="1"/>
  <c r="S415" i="1"/>
  <c r="R415" i="1"/>
  <c r="S414" i="1"/>
  <c r="R414" i="1"/>
  <c r="S413" i="1"/>
  <c r="R413" i="1"/>
  <c r="S412" i="1"/>
  <c r="R412" i="1"/>
  <c r="S411" i="1"/>
  <c r="R411" i="1"/>
  <c r="S410" i="1"/>
  <c r="R410" i="1"/>
  <c r="S409" i="1"/>
  <c r="R409" i="1"/>
  <c r="S408" i="1"/>
  <c r="R408" i="1"/>
  <c r="S407" i="1"/>
  <c r="R407" i="1"/>
  <c r="S406" i="1"/>
  <c r="R406" i="1"/>
  <c r="S405" i="1"/>
  <c r="R405" i="1"/>
  <c r="S404" i="1"/>
  <c r="R404" i="1"/>
  <c r="S403" i="1"/>
  <c r="R403" i="1"/>
  <c r="S402" i="1"/>
  <c r="R402" i="1"/>
  <c r="S401" i="1"/>
  <c r="R401" i="1"/>
  <c r="S400" i="1"/>
  <c r="R400" i="1"/>
  <c r="S399" i="1"/>
  <c r="R399" i="1"/>
  <c r="S398" i="1"/>
  <c r="R398" i="1"/>
  <c r="S397" i="1"/>
  <c r="R397" i="1"/>
  <c r="S396" i="1"/>
  <c r="R396" i="1"/>
  <c r="S395" i="1"/>
  <c r="R395" i="1"/>
  <c r="S394" i="1"/>
  <c r="R394" i="1"/>
  <c r="S393" i="1"/>
  <c r="R393" i="1"/>
  <c r="S392" i="1"/>
  <c r="R392" i="1"/>
  <c r="S391" i="1"/>
  <c r="R391" i="1"/>
  <c r="S390" i="1"/>
  <c r="R390" i="1"/>
  <c r="S389" i="1"/>
  <c r="R389" i="1"/>
  <c r="S388" i="1"/>
  <c r="R388" i="1"/>
  <c r="S387" i="1"/>
  <c r="R387" i="1"/>
  <c r="S386" i="1"/>
  <c r="R386" i="1"/>
  <c r="S385" i="1"/>
  <c r="R385" i="1"/>
  <c r="S384" i="1"/>
  <c r="R384" i="1"/>
  <c r="S383" i="1"/>
  <c r="R383" i="1"/>
  <c r="S382" i="1"/>
  <c r="R382" i="1"/>
  <c r="S381" i="1"/>
  <c r="R381" i="1"/>
  <c r="S380" i="1"/>
  <c r="R380" i="1"/>
  <c r="S379" i="1"/>
  <c r="R379" i="1"/>
  <c r="S378" i="1"/>
  <c r="R378" i="1"/>
  <c r="S377" i="1"/>
  <c r="R377" i="1"/>
  <c r="S376" i="1"/>
  <c r="R376" i="1"/>
  <c r="S375" i="1"/>
  <c r="R375" i="1"/>
  <c r="S374" i="1"/>
  <c r="R374" i="1"/>
  <c r="S373" i="1"/>
  <c r="R373" i="1"/>
  <c r="S372" i="1"/>
  <c r="R372" i="1"/>
  <c r="S371" i="1"/>
  <c r="R371" i="1"/>
  <c r="S370" i="1"/>
  <c r="R370" i="1"/>
  <c r="S369" i="1"/>
  <c r="R369" i="1"/>
  <c r="S368" i="1"/>
  <c r="R368" i="1"/>
  <c r="S367" i="1"/>
  <c r="R367" i="1"/>
  <c r="S366" i="1"/>
  <c r="R366" i="1"/>
  <c r="S365" i="1"/>
  <c r="R365" i="1"/>
  <c r="S364" i="1"/>
  <c r="R364" i="1"/>
  <c r="S363" i="1"/>
  <c r="R363" i="1"/>
  <c r="S362" i="1"/>
  <c r="R362" i="1"/>
  <c r="S361" i="1"/>
  <c r="R361" i="1"/>
  <c r="S360" i="1"/>
  <c r="R360" i="1"/>
  <c r="S359" i="1"/>
  <c r="R359" i="1"/>
  <c r="S358" i="1"/>
  <c r="R358" i="1"/>
  <c r="S357" i="1"/>
  <c r="R357" i="1"/>
  <c r="S356" i="1"/>
  <c r="R356" i="1"/>
  <c r="S355" i="1"/>
  <c r="R355" i="1"/>
  <c r="S354" i="1"/>
  <c r="R354" i="1"/>
  <c r="S353" i="1"/>
  <c r="R353" i="1"/>
  <c r="S352" i="1"/>
  <c r="R352" i="1"/>
  <c r="S351" i="1"/>
  <c r="R351" i="1"/>
  <c r="S350" i="1"/>
  <c r="R350" i="1"/>
  <c r="S349" i="1"/>
  <c r="R349" i="1"/>
  <c r="S348" i="1"/>
  <c r="R348" i="1"/>
  <c r="S347" i="1"/>
  <c r="R347" i="1"/>
  <c r="S346" i="1"/>
  <c r="R346" i="1"/>
  <c r="S345" i="1"/>
  <c r="R345" i="1"/>
  <c r="S344" i="1"/>
  <c r="R344" i="1"/>
  <c r="S343" i="1"/>
  <c r="R343" i="1"/>
  <c r="S342" i="1"/>
  <c r="R342" i="1"/>
  <c r="S341" i="1"/>
  <c r="R341" i="1"/>
  <c r="S340" i="1"/>
  <c r="R340" i="1"/>
  <c r="S339" i="1"/>
  <c r="R339" i="1"/>
  <c r="S338" i="1"/>
  <c r="R338" i="1"/>
  <c r="S337" i="1"/>
  <c r="R337" i="1"/>
  <c r="S336" i="1"/>
  <c r="R336" i="1"/>
  <c r="S335" i="1"/>
  <c r="R335" i="1"/>
  <c r="S334" i="1"/>
  <c r="R334" i="1"/>
  <c r="S333" i="1"/>
  <c r="R333" i="1"/>
  <c r="S332" i="1"/>
  <c r="R332" i="1"/>
  <c r="S331" i="1"/>
  <c r="R331" i="1"/>
  <c r="S330" i="1"/>
  <c r="R330" i="1"/>
  <c r="S329" i="1"/>
  <c r="R329" i="1"/>
  <c r="S328" i="1"/>
  <c r="R328" i="1"/>
  <c r="S327" i="1"/>
  <c r="R327" i="1"/>
  <c r="S326" i="1"/>
  <c r="R326" i="1"/>
  <c r="S325" i="1"/>
  <c r="R325" i="1"/>
  <c r="S324" i="1"/>
  <c r="R324" i="1"/>
  <c r="S323" i="1"/>
  <c r="R323" i="1"/>
  <c r="S322" i="1"/>
  <c r="R322" i="1"/>
  <c r="S321" i="1"/>
  <c r="R321" i="1"/>
  <c r="S320" i="1"/>
  <c r="R320" i="1"/>
  <c r="S319" i="1"/>
  <c r="R319" i="1"/>
  <c r="S318" i="1"/>
  <c r="R318" i="1"/>
  <c r="S317" i="1"/>
  <c r="R317" i="1"/>
  <c r="S316" i="1"/>
  <c r="R316" i="1"/>
  <c r="S315" i="1"/>
  <c r="R315" i="1"/>
  <c r="S314" i="1"/>
  <c r="R314" i="1"/>
  <c r="S313" i="1"/>
  <c r="R313" i="1"/>
  <c r="S312" i="1"/>
  <c r="R312" i="1"/>
  <c r="S311" i="1"/>
  <c r="R311" i="1"/>
  <c r="S310" i="1"/>
  <c r="R310" i="1"/>
  <c r="S309" i="1"/>
  <c r="R309" i="1"/>
  <c r="S308" i="1"/>
  <c r="R308" i="1"/>
  <c r="S307" i="1"/>
  <c r="R307" i="1"/>
  <c r="S306" i="1"/>
  <c r="R306" i="1"/>
  <c r="S305" i="1"/>
  <c r="R305" i="1"/>
  <c r="S304" i="1"/>
  <c r="R304" i="1"/>
  <c r="S303" i="1"/>
  <c r="R303" i="1"/>
  <c r="S302" i="1"/>
  <c r="R302" i="1"/>
  <c r="S301" i="1"/>
  <c r="R301" i="1"/>
  <c r="S300" i="1"/>
  <c r="R300" i="1"/>
  <c r="S299" i="1"/>
  <c r="R299" i="1"/>
  <c r="S298" i="1"/>
  <c r="R298" i="1"/>
  <c r="S297" i="1"/>
  <c r="R297" i="1"/>
  <c r="S296" i="1"/>
  <c r="R296" i="1"/>
  <c r="S295" i="1"/>
  <c r="R295" i="1"/>
  <c r="S294" i="1"/>
  <c r="R294" i="1"/>
  <c r="S293" i="1"/>
  <c r="R293" i="1"/>
  <c r="S292" i="1"/>
  <c r="R292" i="1"/>
  <c r="S291" i="1"/>
  <c r="R291" i="1"/>
  <c r="S290" i="1"/>
  <c r="R290" i="1"/>
  <c r="S289" i="1"/>
  <c r="R289" i="1"/>
  <c r="S288" i="1"/>
  <c r="R288" i="1"/>
  <c r="S287" i="1"/>
  <c r="R287" i="1"/>
  <c r="S286" i="1"/>
  <c r="R286" i="1"/>
  <c r="S285" i="1"/>
  <c r="R285" i="1"/>
  <c r="S284" i="1"/>
  <c r="R284" i="1"/>
  <c r="S283" i="1"/>
  <c r="R283" i="1"/>
  <c r="S282" i="1"/>
  <c r="R282" i="1"/>
  <c r="S281" i="1"/>
  <c r="R281" i="1"/>
  <c r="S280" i="1"/>
  <c r="R280" i="1"/>
  <c r="S279" i="1"/>
  <c r="R279" i="1"/>
  <c r="S278" i="1"/>
  <c r="R278" i="1"/>
  <c r="S277" i="1"/>
  <c r="R277" i="1"/>
  <c r="S276" i="1"/>
  <c r="R276" i="1"/>
  <c r="S275" i="1"/>
  <c r="R275" i="1"/>
  <c r="S274" i="1"/>
  <c r="R274" i="1"/>
  <c r="S273" i="1"/>
  <c r="R273" i="1"/>
  <c r="S272" i="1"/>
  <c r="R272" i="1"/>
  <c r="S271" i="1"/>
  <c r="R271" i="1"/>
  <c r="S270" i="1"/>
  <c r="R270" i="1"/>
  <c r="S269" i="1"/>
  <c r="R269" i="1"/>
  <c r="S268" i="1"/>
  <c r="R268" i="1"/>
  <c r="S267" i="1"/>
  <c r="R267" i="1"/>
  <c r="S266" i="1"/>
  <c r="R266" i="1"/>
  <c r="S265" i="1"/>
  <c r="R265" i="1"/>
  <c r="S264" i="1"/>
  <c r="R264" i="1"/>
  <c r="S263" i="1"/>
  <c r="R263" i="1"/>
  <c r="S262" i="1"/>
  <c r="R262" i="1"/>
  <c r="S261" i="1"/>
  <c r="R261" i="1"/>
  <c r="S260" i="1"/>
  <c r="R260" i="1"/>
  <c r="S259" i="1"/>
  <c r="R259" i="1"/>
  <c r="S258" i="1"/>
  <c r="R258" i="1"/>
  <c r="S257" i="1"/>
  <c r="R257" i="1"/>
  <c r="S256" i="1"/>
  <c r="R256" i="1"/>
  <c r="S255" i="1"/>
  <c r="R255" i="1"/>
  <c r="S254" i="1"/>
  <c r="R254" i="1"/>
  <c r="S253" i="1"/>
  <c r="R253" i="1"/>
  <c r="S252" i="1"/>
  <c r="R252" i="1"/>
  <c r="S251" i="1"/>
  <c r="R251" i="1"/>
  <c r="S250" i="1"/>
  <c r="R250" i="1"/>
  <c r="S249" i="1"/>
  <c r="R249" i="1"/>
  <c r="S248" i="1"/>
  <c r="R248" i="1"/>
  <c r="S247" i="1"/>
  <c r="R247" i="1"/>
  <c r="S246" i="1"/>
  <c r="R246" i="1"/>
  <c r="S245" i="1"/>
  <c r="R245" i="1"/>
  <c r="S244" i="1"/>
  <c r="R244" i="1"/>
  <c r="S243" i="1"/>
  <c r="R243" i="1"/>
  <c r="S242" i="1"/>
  <c r="R242" i="1"/>
  <c r="S241" i="1"/>
  <c r="R241" i="1"/>
  <c r="S240" i="1"/>
  <c r="R240" i="1"/>
  <c r="S239" i="1"/>
  <c r="R239" i="1"/>
  <c r="S238" i="1"/>
  <c r="R238" i="1"/>
  <c r="S237" i="1"/>
  <c r="R237" i="1"/>
  <c r="S236" i="1"/>
  <c r="R236" i="1"/>
  <c r="S235" i="1"/>
  <c r="R235" i="1"/>
  <c r="S234" i="1"/>
  <c r="R234" i="1"/>
  <c r="S233" i="1"/>
  <c r="R233" i="1"/>
  <c r="S232" i="1"/>
  <c r="R232" i="1"/>
  <c r="S231" i="1"/>
  <c r="R231" i="1"/>
  <c r="S230" i="1"/>
  <c r="R230" i="1"/>
  <c r="S229" i="1"/>
  <c r="R229" i="1"/>
  <c r="S228" i="1"/>
  <c r="R228" i="1"/>
  <c r="S227" i="1"/>
  <c r="R227" i="1"/>
  <c r="S226" i="1"/>
  <c r="R226" i="1"/>
  <c r="S225" i="1"/>
  <c r="R225" i="1"/>
  <c r="S224" i="1"/>
  <c r="R224" i="1"/>
  <c r="S223" i="1"/>
  <c r="R223" i="1"/>
  <c r="S222" i="1"/>
  <c r="R222" i="1"/>
  <c r="S221" i="1"/>
  <c r="R221" i="1"/>
  <c r="S220" i="1"/>
  <c r="R220" i="1"/>
  <c r="S219" i="1"/>
  <c r="R219" i="1"/>
  <c r="S218" i="1"/>
  <c r="R218" i="1"/>
  <c r="S217" i="1"/>
  <c r="R217" i="1"/>
  <c r="S216" i="1"/>
  <c r="R216" i="1"/>
  <c r="S215" i="1"/>
  <c r="R215" i="1"/>
  <c r="S214" i="1"/>
  <c r="R214" i="1"/>
  <c r="S213" i="1"/>
  <c r="R213" i="1"/>
  <c r="S212" i="1"/>
  <c r="R212" i="1"/>
  <c r="S211" i="1"/>
  <c r="R211" i="1"/>
  <c r="S210" i="1"/>
  <c r="R210" i="1"/>
  <c r="S209" i="1"/>
  <c r="R209" i="1"/>
  <c r="S208" i="1"/>
  <c r="R208" i="1"/>
  <c r="S207" i="1"/>
  <c r="R207" i="1"/>
  <c r="S206" i="1"/>
  <c r="R206" i="1"/>
  <c r="S205" i="1"/>
  <c r="R205" i="1"/>
  <c r="S204" i="1"/>
  <c r="R204" i="1"/>
  <c r="S203" i="1"/>
  <c r="R203" i="1"/>
  <c r="S202" i="1"/>
  <c r="R202" i="1"/>
  <c r="S201" i="1"/>
  <c r="R201" i="1"/>
  <c r="S200" i="1"/>
  <c r="R200" i="1"/>
  <c r="S199" i="1"/>
  <c r="R199" i="1"/>
  <c r="S198" i="1"/>
  <c r="R198" i="1"/>
  <c r="S197" i="1"/>
  <c r="R197" i="1"/>
  <c r="S196" i="1"/>
  <c r="R196" i="1"/>
  <c r="S195" i="1"/>
  <c r="R195" i="1"/>
  <c r="S194" i="1"/>
  <c r="R194" i="1"/>
  <c r="S193" i="1"/>
  <c r="R193" i="1"/>
  <c r="S192" i="1"/>
  <c r="R192" i="1"/>
  <c r="S191" i="1"/>
  <c r="R191" i="1"/>
  <c r="S190" i="1"/>
  <c r="R190" i="1"/>
  <c r="S189" i="1"/>
  <c r="R189" i="1"/>
  <c r="S188" i="1"/>
  <c r="R188" i="1"/>
  <c r="S187" i="1"/>
  <c r="R187" i="1"/>
  <c r="S186" i="1"/>
  <c r="R186" i="1"/>
  <c r="S185" i="1"/>
  <c r="R185" i="1"/>
  <c r="S184" i="1"/>
  <c r="R184" i="1"/>
  <c r="S183" i="1"/>
  <c r="R183" i="1"/>
  <c r="S182" i="1"/>
  <c r="R182" i="1"/>
  <c r="S181" i="1"/>
  <c r="R181" i="1"/>
  <c r="S180" i="1"/>
  <c r="R180" i="1"/>
  <c r="S179" i="1"/>
  <c r="R179" i="1"/>
  <c r="S178" i="1"/>
  <c r="R178" i="1"/>
  <c r="S177" i="1"/>
  <c r="R177" i="1"/>
  <c r="S176" i="1"/>
  <c r="R176" i="1"/>
  <c r="S175" i="1"/>
  <c r="R175" i="1"/>
  <c r="S174" i="1"/>
  <c r="R174" i="1"/>
  <c r="S173" i="1"/>
  <c r="R173" i="1"/>
  <c r="S172" i="1"/>
  <c r="R172" i="1"/>
  <c r="S171" i="1"/>
  <c r="R171" i="1"/>
  <c r="S170" i="1"/>
  <c r="R170" i="1"/>
  <c r="S169" i="1"/>
  <c r="R169" i="1"/>
  <c r="S168" i="1"/>
  <c r="R168" i="1"/>
  <c r="S167" i="1"/>
  <c r="R167" i="1"/>
  <c r="S166" i="1"/>
  <c r="R166" i="1"/>
  <c r="S165" i="1"/>
  <c r="R165" i="1"/>
  <c r="S164" i="1"/>
  <c r="R164" i="1"/>
  <c r="S163" i="1"/>
  <c r="R163" i="1"/>
  <c r="S162" i="1"/>
  <c r="R162" i="1"/>
  <c r="S161" i="1"/>
  <c r="R161" i="1"/>
  <c r="S160" i="1"/>
  <c r="R160" i="1"/>
  <c r="S159" i="1"/>
  <c r="R159" i="1"/>
  <c r="S158" i="1"/>
  <c r="R158" i="1"/>
  <c r="S157" i="1"/>
  <c r="R157" i="1"/>
  <c r="S156" i="1"/>
  <c r="R156" i="1"/>
  <c r="S155" i="1"/>
  <c r="R155" i="1"/>
  <c r="S154" i="1"/>
  <c r="R154" i="1"/>
  <c r="S153" i="1"/>
  <c r="R153" i="1"/>
  <c r="S152" i="1"/>
  <c r="R152" i="1"/>
  <c r="S151" i="1"/>
  <c r="R151" i="1"/>
  <c r="S150" i="1"/>
  <c r="R150" i="1"/>
  <c r="S149" i="1"/>
  <c r="R149" i="1"/>
  <c r="S148" i="1"/>
  <c r="R148" i="1"/>
  <c r="S147" i="1"/>
  <c r="R147" i="1"/>
  <c r="S146" i="1"/>
  <c r="R146" i="1"/>
  <c r="S145" i="1"/>
  <c r="R145" i="1"/>
  <c r="S144" i="1"/>
  <c r="R144" i="1"/>
  <c r="S143" i="1"/>
  <c r="R143" i="1"/>
  <c r="S142" i="1"/>
  <c r="R142" i="1"/>
  <c r="S141" i="1"/>
  <c r="R141" i="1"/>
  <c r="S140" i="1"/>
  <c r="R140" i="1"/>
  <c r="S139" i="1"/>
  <c r="R139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31" i="1"/>
  <c r="R131" i="1"/>
  <c r="S130" i="1"/>
  <c r="R130" i="1"/>
  <c r="S129" i="1"/>
  <c r="R129" i="1"/>
  <c r="S128" i="1"/>
  <c r="R128" i="1"/>
  <c r="S127" i="1"/>
  <c r="R127" i="1"/>
  <c r="S126" i="1"/>
  <c r="R126" i="1"/>
  <c r="S125" i="1"/>
  <c r="R125" i="1"/>
  <c r="S124" i="1"/>
  <c r="R124" i="1"/>
  <c r="S123" i="1"/>
  <c r="R123" i="1"/>
  <c r="S122" i="1"/>
  <c r="R122" i="1"/>
  <c r="S121" i="1"/>
  <c r="R121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10" i="1"/>
  <c r="R110" i="1"/>
  <c r="S109" i="1"/>
  <c r="R109" i="1"/>
  <c r="S108" i="1"/>
  <c r="R108" i="1"/>
  <c r="S107" i="1"/>
  <c r="R107" i="1"/>
  <c r="S106" i="1"/>
  <c r="R106" i="1"/>
  <c r="S105" i="1"/>
  <c r="R105" i="1"/>
  <c r="S104" i="1"/>
  <c r="R104" i="1"/>
  <c r="S103" i="1"/>
  <c r="R103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D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</calcChain>
</file>

<file path=xl/sharedStrings.xml><?xml version="1.0" encoding="utf-8"?>
<sst xmlns="http://schemas.openxmlformats.org/spreadsheetml/2006/main" count="6002" uniqueCount="1737">
  <si>
    <t>File</t>
  </si>
  <si>
    <t>Sequence</t>
  </si>
  <si>
    <t>special notes</t>
  </si>
  <si>
    <t>c</t>
  </si>
  <si>
    <t>r</t>
  </si>
  <si>
    <t>#T</t>
  </si>
  <si>
    <t>L</t>
  </si>
  <si>
    <t>μ</t>
  </si>
  <si>
    <t>dev</t>
  </si>
  <si>
    <t>s</t>
  </si>
  <si>
    <t>Nc</t>
  </si>
  <si>
    <t>φ</t>
  </si>
  <si>
    <t>8_H8T0_1.txt</t>
  </si>
  <si>
    <t>homopolymer</t>
  </si>
  <si>
    <t>8_H7T1_1.txt</t>
  </si>
  <si>
    <t>8_H7T1_2.txt</t>
  </si>
  <si>
    <t>8_H7T1_3.txt</t>
  </si>
  <si>
    <t>diblock</t>
  </si>
  <si>
    <t>8_H7T1_4.txt</t>
  </si>
  <si>
    <t>triblock - mid</t>
  </si>
  <si>
    <t>8_H6T2_1.txt</t>
  </si>
  <si>
    <t>8_H6T2_10.txt</t>
  </si>
  <si>
    <t>8_H6T2_11.txt</t>
  </si>
  <si>
    <t>8_H6T2_12.txt</t>
  </si>
  <si>
    <t>8_H6T2_13.txt</t>
  </si>
  <si>
    <t>8_H6T2_14.txt</t>
  </si>
  <si>
    <t>8_H6T2_15.txt</t>
  </si>
  <si>
    <t>8_H6T2_16.txt</t>
  </si>
  <si>
    <t>8_H6T2_2.txt</t>
  </si>
  <si>
    <t>8_H6T2_3.txt</t>
  </si>
  <si>
    <t>triblock - end</t>
  </si>
  <si>
    <t>8_H6T2_4.txt</t>
  </si>
  <si>
    <t>8_H6T2_5.txt</t>
  </si>
  <si>
    <t>8_H6T2_6.txt</t>
  </si>
  <si>
    <t>8_H6T2_7.txt</t>
  </si>
  <si>
    <t>8_H6T2_8.txt</t>
  </si>
  <si>
    <t>8_H6T2_9.txt</t>
  </si>
  <si>
    <t>8_H5T3_1.txt</t>
  </si>
  <si>
    <t>8_H5T3_10.txt</t>
  </si>
  <si>
    <t>8_H5T3_11.txt</t>
  </si>
  <si>
    <t>8_H5T3_12.txt</t>
  </si>
  <si>
    <t>8_H5T3_13.txt</t>
  </si>
  <si>
    <t>8_H5T3_14.txt</t>
  </si>
  <si>
    <t>8_H5T3_15.txt</t>
  </si>
  <si>
    <t>8_H5T3_16.txt</t>
  </si>
  <si>
    <t>8_H5T3_17.txt</t>
  </si>
  <si>
    <t>8_H5T3_18.txt</t>
  </si>
  <si>
    <t>8_H5T3_19.txt</t>
  </si>
  <si>
    <t xml:space="preserve"> </t>
  </si>
  <si>
    <t>8_H5T3_2.txt</t>
  </si>
  <si>
    <t>8_H5T3_20.txt</t>
  </si>
  <si>
    <t>8_H5T3_21.txt</t>
  </si>
  <si>
    <t>8_H5T3_22.txt</t>
  </si>
  <si>
    <t>8_H5T3_23.txt</t>
  </si>
  <si>
    <t>8_H5T3_24.txt</t>
  </si>
  <si>
    <t>8_H5T3_25.txt</t>
  </si>
  <si>
    <t>8_H5T3_26.txt</t>
  </si>
  <si>
    <t>8_H5T3_27.txt</t>
  </si>
  <si>
    <t>8_H5T3_28.txt</t>
  </si>
  <si>
    <t>8_H5T3_3.txt</t>
  </si>
  <si>
    <t>8_H5T3_4.txt</t>
  </si>
  <si>
    <t>8_H5T3_5.txt</t>
  </si>
  <si>
    <t>8_H5T3_6.txt</t>
  </si>
  <si>
    <t>8_H5T3_7.txt</t>
  </si>
  <si>
    <t>8_H5T3_8.txt</t>
  </si>
  <si>
    <t>8_H5T3_9.txt</t>
  </si>
  <si>
    <t>8_102.txt</t>
  </si>
  <si>
    <t>8_135.txt</t>
  </si>
  <si>
    <t>8_15.txt</t>
  </si>
  <si>
    <t>8_153.txt</t>
  </si>
  <si>
    <t>8_165.txt</t>
  </si>
  <si>
    <t>8_23.txt</t>
  </si>
  <si>
    <t>8_27.txt</t>
  </si>
  <si>
    <t>8_29.txt</t>
  </si>
  <si>
    <t>8_30.txt</t>
  </si>
  <si>
    <t>8_39.txt</t>
  </si>
  <si>
    <t>8_43.txt</t>
  </si>
  <si>
    <t>8_85.txt</t>
  </si>
  <si>
    <t>perfectly alternating</t>
  </si>
  <si>
    <t>8_86.txt</t>
  </si>
  <si>
    <t>8_90.txt</t>
  </si>
  <si>
    <t>8_195.txt</t>
  </si>
  <si>
    <t>8_60.txt</t>
  </si>
  <si>
    <t>8_101.txt</t>
  </si>
  <si>
    <t>8_105.txt</t>
  </si>
  <si>
    <t>8_113.txt</t>
  </si>
  <si>
    <t>8_139.txt</t>
  </si>
  <si>
    <t>8_141.txt</t>
  </si>
  <si>
    <t>8_147.txt</t>
  </si>
  <si>
    <t>8_149.txt</t>
  </si>
  <si>
    <t>8_163.txt</t>
  </si>
  <si>
    <t>221212212222211122</t>
  </si>
  <si>
    <t>8_45.txt</t>
  </si>
  <si>
    <t>222111112221222222</t>
  </si>
  <si>
    <t>8_46.txt</t>
  </si>
  <si>
    <t>8_51.txt</t>
  </si>
  <si>
    <t>8_53.txt</t>
  </si>
  <si>
    <t>8_54.txt</t>
  </si>
  <si>
    <t>8_57.txt</t>
  </si>
  <si>
    <t>8_58.txt</t>
  </si>
  <si>
    <t>8_71.txt</t>
  </si>
  <si>
    <t>8_75.txt</t>
  </si>
  <si>
    <t>8_77.txt</t>
  </si>
  <si>
    <t>8_78.txt</t>
  </si>
  <si>
    <t>8_83.txt</t>
  </si>
  <si>
    <t>8_89.txt</t>
  </si>
  <si>
    <t>8_99.txt</t>
  </si>
  <si>
    <t>8_H3T5_1.txt</t>
  </si>
  <si>
    <t>8_H3T5_10.txt</t>
  </si>
  <si>
    <t>8_H3T5_11.txt</t>
  </si>
  <si>
    <t>8_H3T5_12.txt</t>
  </si>
  <si>
    <t>8_H3T5_13.txt</t>
  </si>
  <si>
    <t>8_H3T5_14.txt</t>
  </si>
  <si>
    <t>8_H3T5_15.txt</t>
  </si>
  <si>
    <t>0.0007 </t>
  </si>
  <si>
    <t>8_H3T5_16.txt</t>
  </si>
  <si>
    <t>8_H3T5_17.txt</t>
  </si>
  <si>
    <t>8_H3T5_18.txt</t>
  </si>
  <si>
    <t>8_H3T5_19.txt</t>
  </si>
  <si>
    <t>8_H3T5_2.txt</t>
  </si>
  <si>
    <t>8_H3T5_20.txt</t>
  </si>
  <si>
    <t>8_H3T5_21.txt</t>
  </si>
  <si>
    <t>8_H3T5_22.txt</t>
  </si>
  <si>
    <t>8_H3T5_23.txt</t>
  </si>
  <si>
    <t>8_H3T5_24.txt</t>
  </si>
  <si>
    <t>8_H3T5_25.txt</t>
  </si>
  <si>
    <t>8_H3T5_26.txt</t>
  </si>
  <si>
    <t>8_H3T5_27.txt</t>
  </si>
  <si>
    <t>8_H3T5_28.txt</t>
  </si>
  <si>
    <t>8_H3T5_3.txt</t>
  </si>
  <si>
    <t>8_H3T5_4.txt</t>
  </si>
  <si>
    <t>8_H3T5_5.txt</t>
  </si>
  <si>
    <t>8_H3T5_6.txt</t>
  </si>
  <si>
    <t>8_H3T5_7.txt</t>
  </si>
  <si>
    <t>8_H3T5_8.txt</t>
  </si>
  <si>
    <t>8_H3T5_9.txt</t>
  </si>
  <si>
    <t>8_H2T6_1.txt</t>
  </si>
  <si>
    <t>8_H2T6_10.txt</t>
  </si>
  <si>
    <t>8_H2T6_11.txt</t>
  </si>
  <si>
    <t>8_H2T6_12.txt</t>
  </si>
  <si>
    <t>8_H2T6_13.txt</t>
  </si>
  <si>
    <t>8_H2T6_14.txt</t>
  </si>
  <si>
    <t>8_H2T6_15.txt</t>
  </si>
  <si>
    <t>8_H2T6_16.txt</t>
  </si>
  <si>
    <t>8_H2T6_2.txt</t>
  </si>
  <si>
    <t>8_H2T6_3.txt</t>
  </si>
  <si>
    <t>8_H2T6_4.txt</t>
  </si>
  <si>
    <t>8_H2T6_5.txt</t>
  </si>
  <si>
    <t>8_H2T6_6.txt</t>
  </si>
  <si>
    <t>8_H2T6_7.txt</t>
  </si>
  <si>
    <t>8_H2T6_8.txt</t>
  </si>
  <si>
    <t>8_H2T6_9.txt</t>
  </si>
  <si>
    <t>8_H1T7_1.txt</t>
  </si>
  <si>
    <t>8_H1T7_2.txt</t>
  </si>
  <si>
    <t>8_H1T7_3.txt</t>
  </si>
  <si>
    <t>8_H1T7_4.txt</t>
  </si>
  <si>
    <t>8_H0T8_1.txt</t>
  </si>
  <si>
    <t>12_H12T0_1.txt</t>
  </si>
  <si>
    <t>12_H11T1_1.txt</t>
  </si>
  <si>
    <t>12_H11T1_2.txt</t>
  </si>
  <si>
    <t>12_H11T1_3.txt</t>
  </si>
  <si>
    <t>12_H11T1_4.txt</t>
  </si>
  <si>
    <t>12_H11T1_5.txt</t>
  </si>
  <si>
    <t>12_H11T1_6.txt</t>
  </si>
  <si>
    <t>12_H10T2_1.txt</t>
  </si>
  <si>
    <t>12_H10T2_2.txt</t>
  </si>
  <si>
    <t>12_H10T2_3.txt</t>
  </si>
  <si>
    <t>12_H10T2_4.txt</t>
  </si>
  <si>
    <t>12_H10T2_5.txt</t>
  </si>
  <si>
    <t>12_H10T2_6.txt</t>
  </si>
  <si>
    <t>12_H10T2_7.txt</t>
  </si>
  <si>
    <t>12_H9T3_1.txt</t>
  </si>
  <si>
    <t>12_H9T3_2.txt</t>
  </si>
  <si>
    <t>12_H9T3_3.txt</t>
  </si>
  <si>
    <t>12_H9T3_4.txt</t>
  </si>
  <si>
    <t>12_H9T3_5.txt</t>
  </si>
  <si>
    <t>12_H9T3_6.txt</t>
  </si>
  <si>
    <t>12_H9T3_7.txt</t>
  </si>
  <si>
    <t>12_H9T3_8.txt</t>
  </si>
  <si>
    <t>12_H9T3_9.txt</t>
  </si>
  <si>
    <t>12_H9T3_10.txt</t>
  </si>
  <si>
    <t>12_H9T3_11.txt</t>
  </si>
  <si>
    <t>12_H9T3_12.txt</t>
  </si>
  <si>
    <t>12_H9T3_13.txt</t>
  </si>
  <si>
    <t>12_H9T3_14.txt</t>
  </si>
  <si>
    <t>12_H9T3_15.txt</t>
  </si>
  <si>
    <t>12_H9T3_16.txt</t>
  </si>
  <si>
    <t>12_H8T4_1.txt</t>
  </si>
  <si>
    <t>12_H8T4_10.txt</t>
  </si>
  <si>
    <t>12_H8T4_11.txt</t>
  </si>
  <si>
    <t>12_H8T4_12.txt</t>
  </si>
  <si>
    <t>12_H8T4_13.txt</t>
  </si>
  <si>
    <t>12_H8T4_14.txt</t>
  </si>
  <si>
    <t>12_H8T4_15.txt</t>
  </si>
  <si>
    <t>12_H8T4_16.txt</t>
  </si>
  <si>
    <t>12_H8T4_17.txt</t>
  </si>
  <si>
    <t>12_H8T4_18.txt</t>
  </si>
  <si>
    <t>12_H8T4_19.txt</t>
  </si>
  <si>
    <t>12_H8T4_2.txt</t>
  </si>
  <si>
    <t>12_H8T4_3.txt</t>
  </si>
  <si>
    <t>12_H8T4_4.txt</t>
  </si>
  <si>
    <t>12_H8T4_5.txt</t>
  </si>
  <si>
    <t>12_H8T4_6.txt</t>
  </si>
  <si>
    <t>12_H8T4_7.txt</t>
  </si>
  <si>
    <t>12_H8T4_8.txt</t>
  </si>
  <si>
    <t>12_H8T4_9.txt</t>
  </si>
  <si>
    <t>12_H8T4_20.txt</t>
  </si>
  <si>
    <t>12_H8T4_21.txt</t>
  </si>
  <si>
    <t>12_H8T4_22.txt</t>
  </si>
  <si>
    <t>12_H8T4_23.txt</t>
  </si>
  <si>
    <t>12_H8T4_24.txt</t>
  </si>
  <si>
    <t>12_H8T4_25.txt</t>
  </si>
  <si>
    <t>12_H8T4_26.txt</t>
  </si>
  <si>
    <t>12_H8T4_27.txt</t>
  </si>
  <si>
    <t>12_H8T4_28.txt</t>
  </si>
  <si>
    <t>12_H8T4_29.txt</t>
  </si>
  <si>
    <t>12_H8T4_30.txt</t>
  </si>
  <si>
    <t>12_H8T4_31.txt</t>
  </si>
  <si>
    <t>12_H8T4_32.txt</t>
  </si>
  <si>
    <t>12_H7T5_1.txt</t>
  </si>
  <si>
    <t>12_H7T5_10.txt</t>
  </si>
  <si>
    <t>12_H7T5_11.txt</t>
  </si>
  <si>
    <t>12_H7T5_12.txt</t>
  </si>
  <si>
    <t>12_H7T5_13.txt</t>
  </si>
  <si>
    <t>12_H7T5_14.txt</t>
  </si>
  <si>
    <t>12_H7T5_15.txt</t>
  </si>
  <si>
    <t>12_H7T5_16.txt</t>
  </si>
  <si>
    <t>12_H7T5_17.txt</t>
  </si>
  <si>
    <t>12_H7T5_18.txt</t>
  </si>
  <si>
    <t>12_H7T5_19.txt</t>
  </si>
  <si>
    <t>12_H7T5_2.txt</t>
  </si>
  <si>
    <t>12_H7T5_20.txt</t>
  </si>
  <si>
    <t>12_H7T5_21.txt</t>
  </si>
  <si>
    <t>12_H7T5_22.txt</t>
  </si>
  <si>
    <t>12_H7T5_23.txt</t>
  </si>
  <si>
    <t>12_H7T5_24.txt</t>
  </si>
  <si>
    <t>12_H7T5_25.txt</t>
  </si>
  <si>
    <t>12_H7T5_26.txt</t>
  </si>
  <si>
    <t>12_H7T5_27.txt</t>
  </si>
  <si>
    <t>12_H7T5_28.txt</t>
  </si>
  <si>
    <t>12_H7T5_29.txt</t>
  </si>
  <si>
    <t>12_H7T5_3.txt</t>
  </si>
  <si>
    <t>12_H7T5_30.txt</t>
  </si>
  <si>
    <t>12_H7T5_4.txt</t>
  </si>
  <si>
    <t>12_H7T5_5.txt</t>
  </si>
  <si>
    <t>12_H7T5_6.txt</t>
  </si>
  <si>
    <t>12_H7T5_7.txt</t>
  </si>
  <si>
    <t>12_H7T5_8.txt</t>
  </si>
  <si>
    <t>12_H7T5_9.txt</t>
  </si>
  <si>
    <t>12_H7T5_31.txt</t>
  </si>
  <si>
    <t>12_H7T5_32.txt</t>
  </si>
  <si>
    <t>12_H7T5_33.txt</t>
  </si>
  <si>
    <t>12_H7T5_34.txt</t>
  </si>
  <si>
    <t>12_H7T5_35.txt</t>
  </si>
  <si>
    <t>12_H7T5_36.txt</t>
  </si>
  <si>
    <t>12_H7T5_37.txt</t>
  </si>
  <si>
    <t>12_H7T5_38.txt</t>
  </si>
  <si>
    <t>12_H7T5_39.txt</t>
  </si>
  <si>
    <t>12_H7T5_40.txt</t>
  </si>
  <si>
    <t>12_H7T5_41.txt</t>
  </si>
  <si>
    <t>12_H7T5_42.txt</t>
  </si>
  <si>
    <t>12_H7T5_43.txt</t>
  </si>
  <si>
    <t>12_H7T5_44.txt</t>
  </si>
  <si>
    <t>12_H7T5_45.txt</t>
  </si>
  <si>
    <t>12_H7T5_46.txt</t>
  </si>
  <si>
    <t>12_H7T5_47.txt</t>
  </si>
  <si>
    <t>12_H7T5_48.txt</t>
  </si>
  <si>
    <t>12_H7T5_49.txt</t>
  </si>
  <si>
    <t>12_H7T5_50.txt</t>
  </si>
  <si>
    <t>12_H7T5_51.txt</t>
  </si>
  <si>
    <t>12_H6T6_1.txt</t>
  </si>
  <si>
    <t>12_H6T6_10.txt</t>
  </si>
  <si>
    <t>12_H6T6_11.txt</t>
  </si>
  <si>
    <t>0.0003 </t>
  </si>
  <si>
    <t>12_H6T6_12.txt</t>
  </si>
  <si>
    <t>12_H6T6_13.txt</t>
  </si>
  <si>
    <t>12_H6T6_14.txt</t>
  </si>
  <si>
    <t>12_H6T6_15.txt</t>
  </si>
  <si>
    <t>12_H6T6_16.txt</t>
  </si>
  <si>
    <t>12_H6T6_17.txt</t>
  </si>
  <si>
    <t>12_H6T6_18.txt</t>
  </si>
  <si>
    <t>12_H6T6_19.txt</t>
  </si>
  <si>
    <t>12_H6T6_2.txt</t>
  </si>
  <si>
    <t>12_H6T6_20.txt</t>
  </si>
  <si>
    <t>12_H6T6_21.txt</t>
  </si>
  <si>
    <t>12_H6T6_22.txt</t>
  </si>
  <si>
    <t>12_H6T6_23.txt</t>
  </si>
  <si>
    <t>12_H6T6_24.txt</t>
  </si>
  <si>
    <t>12_H6T6_25.txt</t>
  </si>
  <si>
    <t>12_H6T6_26.txt</t>
  </si>
  <si>
    <t>12_H6T6_27.txt</t>
  </si>
  <si>
    <t>12_H6T6_28.txt</t>
  </si>
  <si>
    <t>12_H6T6_29.txt</t>
  </si>
  <si>
    <t>12_H6T6_3.txt</t>
  </si>
  <si>
    <t>12_H6T6_30.txt</t>
  </si>
  <si>
    <t>12_H6T6_31.txt</t>
  </si>
  <si>
    <t>12_H6T6_32.txt</t>
  </si>
  <si>
    <t>12_H6T6_33.txt</t>
  </si>
  <si>
    <t>12_H6T6_34.txt</t>
  </si>
  <si>
    <t>12_H6T6_35.txt</t>
  </si>
  <si>
    <t>12_H6T6_4.txt</t>
  </si>
  <si>
    <t>12_H6T6_5.txt</t>
  </si>
  <si>
    <t>12_H6T6_6.txt</t>
  </si>
  <si>
    <t>12_H6T6_7.txt</t>
  </si>
  <si>
    <t>12_H6T6_8.txt</t>
  </si>
  <si>
    <t>12_H6T6_9.txt</t>
  </si>
  <si>
    <t>12_H6T6_36.txt</t>
  </si>
  <si>
    <t>12_H6T6_37.txt</t>
  </si>
  <si>
    <t>12_H6T6_38.txt</t>
  </si>
  <si>
    <t>12_H6T6_39.txt</t>
  </si>
  <si>
    <t>12_H6T6_40.txt</t>
  </si>
  <si>
    <t>12_H6T6_41.txt</t>
  </si>
  <si>
    <t>12_H6T6_42.txt</t>
  </si>
  <si>
    <t>12_H6T6_43.txt</t>
  </si>
  <si>
    <t>12_H6T6_44.txt</t>
  </si>
  <si>
    <t>12_H6T6_45.txt</t>
  </si>
  <si>
    <t>12_H6T6_46.txt</t>
  </si>
  <si>
    <t>12_H6T6_47.txt</t>
  </si>
  <si>
    <t>12_H6T6_48.txt</t>
  </si>
  <si>
    <t>12_H6T6_49.txt</t>
  </si>
  <si>
    <t>12_H6T6_50.txt</t>
  </si>
  <si>
    <t>12_H6T6_51.txt</t>
  </si>
  <si>
    <t>12_H6T6_52.txt</t>
  </si>
  <si>
    <t>12_H6T6_53.txt</t>
  </si>
  <si>
    <t>12_H6T6_54.txt</t>
  </si>
  <si>
    <t>12_H6T6_55.txt</t>
  </si>
  <si>
    <t>12_H6T6_56.txt</t>
  </si>
  <si>
    <t>12_H6T6_57.txt</t>
  </si>
  <si>
    <t>12_H6T6_58.txt</t>
  </si>
  <si>
    <t>12_H6T6_59.txt</t>
  </si>
  <si>
    <t>12_H6T6_60.txt</t>
  </si>
  <si>
    <t>12_H5T7_1.txt</t>
  </si>
  <si>
    <t>12_H5T7_10.txt</t>
  </si>
  <si>
    <t>12_H5T7_11.txt</t>
  </si>
  <si>
    <t>12_H5T7_12.txt</t>
  </si>
  <si>
    <t>12_H5T7_13.txt</t>
  </si>
  <si>
    <t>12_H5T7_14.txt</t>
  </si>
  <si>
    <t>12_H5T7_15.txt</t>
  </si>
  <si>
    <t>12_H5T7_16.txt</t>
  </si>
  <si>
    <t>12_H5T7_17.txt</t>
  </si>
  <si>
    <t>12_H5T7_18.txt</t>
  </si>
  <si>
    <t>12_H5T7_19.txt</t>
  </si>
  <si>
    <t>12_H5T7_2.txt</t>
  </si>
  <si>
    <t>12_H5T7_20.txt</t>
  </si>
  <si>
    <t>12_H5T7_21.txt</t>
  </si>
  <si>
    <t>12_H5T7_22.txt</t>
  </si>
  <si>
    <t>12_H5T7_23.txt</t>
  </si>
  <si>
    <t>12_H5T7_24.txt</t>
  </si>
  <si>
    <t>12_H5T7_25.txt</t>
  </si>
  <si>
    <t>12_H5T7_26.txt</t>
  </si>
  <si>
    <t>12_H5T7_27.txt</t>
  </si>
  <si>
    <t>12_H5T7_28.txt</t>
  </si>
  <si>
    <t>12_H5T7_29.txt</t>
  </si>
  <si>
    <t>12_H5T7_3.txt</t>
  </si>
  <si>
    <t>12_H5T7_30.txt</t>
  </si>
  <si>
    <t>12_H5T7_4.txt</t>
  </si>
  <si>
    <t>12_H5T7_5.txt</t>
  </si>
  <si>
    <t>12_H5T7_6.txt</t>
  </si>
  <si>
    <t>12_H5T7_7.txt</t>
  </si>
  <si>
    <t>12_H5T7_8.txt</t>
  </si>
  <si>
    <t>12_H5T7_9.txt</t>
  </si>
  <si>
    <t>12_H5T7_31.txt</t>
  </si>
  <si>
    <t>12_H5T7_32.txt</t>
  </si>
  <si>
    <t>12_H5T7_33.txt</t>
  </si>
  <si>
    <t>12_H5T7_34.txt</t>
  </si>
  <si>
    <t>12_H5T7_35.txt</t>
  </si>
  <si>
    <t>12_H5T7_36.txt</t>
  </si>
  <si>
    <t>12_H5T7_37.txt</t>
  </si>
  <si>
    <t>12_H5T7_38.txt</t>
  </si>
  <si>
    <t>12_H5T7_39.txt</t>
  </si>
  <si>
    <t>12_H5T7_40.txt</t>
  </si>
  <si>
    <t>12_H5T7_41.txt</t>
  </si>
  <si>
    <t>12_H5T7_42.txt</t>
  </si>
  <si>
    <t>12_H5T7_43.txt</t>
  </si>
  <si>
    <t>12_H5T7_44.txt</t>
  </si>
  <si>
    <t>12_H5T7_45.txt</t>
  </si>
  <si>
    <t>12_H5T7_46.txt</t>
  </si>
  <si>
    <t>12_H5T7_47.txt</t>
  </si>
  <si>
    <t>12_H5T7_48.txt</t>
  </si>
  <si>
    <t>12_H5T7_49.txt</t>
  </si>
  <si>
    <t>12_H5T7_50.txt</t>
  </si>
  <si>
    <t>12_H5T7_51.txt</t>
  </si>
  <si>
    <t>12_H4T8_1.txt</t>
  </si>
  <si>
    <t>12_H4T8_10.txt</t>
  </si>
  <si>
    <t>12_H4T8_11.txt</t>
  </si>
  <si>
    <t>12_H4T8_12.txt</t>
  </si>
  <si>
    <t>12_H4T8_13.txt</t>
  </si>
  <si>
    <t>12_H4T8_14.txt</t>
  </si>
  <si>
    <t>12_H4T8_15.txt</t>
  </si>
  <si>
    <t>12_H4T8_16.txt</t>
  </si>
  <si>
    <t>12_H4T8_17.txt</t>
  </si>
  <si>
    <t>12_H4T8_18.txt</t>
  </si>
  <si>
    <t>12_H4T8_19.txt</t>
  </si>
  <si>
    <t>12_H4T8_2.txt</t>
  </si>
  <si>
    <t>12_H4T8_3.txt</t>
  </si>
  <si>
    <t>12_H4T8_4.txt</t>
  </si>
  <si>
    <t>12_H4T8_5.txt</t>
  </si>
  <si>
    <t>12_H4T8_6.txt</t>
  </si>
  <si>
    <t>12_H4T8_7.txt</t>
  </si>
  <si>
    <t>12_H4T8_8.txt</t>
  </si>
  <si>
    <t>12_H4T8_9.txt</t>
  </si>
  <si>
    <t>12_H4T8_20.txt</t>
  </si>
  <si>
    <t>12_H4T8_21.txt</t>
  </si>
  <si>
    <t>12_H4T8_22.txt</t>
  </si>
  <si>
    <t>12_H4T8_23.txt</t>
  </si>
  <si>
    <t>12_H4T8_24.txt</t>
  </si>
  <si>
    <t>12_H4T8_25.txt</t>
  </si>
  <si>
    <t>12_H4T8_26.txt</t>
  </si>
  <si>
    <t>12_H4T8_27.txt</t>
  </si>
  <si>
    <t>12_H4T8_28.txt</t>
  </si>
  <si>
    <t>12_H4T8_29.txt</t>
  </si>
  <si>
    <t>12_H4T8_30.txt</t>
  </si>
  <si>
    <t>12_H4T8_31.txt</t>
  </si>
  <si>
    <t>12_H4T8_32.txt</t>
  </si>
  <si>
    <t>12_H4T8_33.txt</t>
  </si>
  <si>
    <t>12_H3T9_1.txt</t>
  </si>
  <si>
    <t>12_H3T9_2.txt</t>
  </si>
  <si>
    <t>12_H3T9_3.txt</t>
  </si>
  <si>
    <t>12_H3T9_4.txt</t>
  </si>
  <si>
    <t>12_H3T9_5.txt</t>
  </si>
  <si>
    <t>12_H3T9_6.txt</t>
  </si>
  <si>
    <t>12_H3T9_7.txt</t>
  </si>
  <si>
    <t>12_H3T9_8.txt</t>
  </si>
  <si>
    <t>12_H3T9_9.txt</t>
  </si>
  <si>
    <t>12_H3T9_10.txt</t>
  </si>
  <si>
    <t>12_H3T9_11.txt</t>
  </si>
  <si>
    <t>12_H3T9_12.txt</t>
  </si>
  <si>
    <t>12_H3T9_13.txt</t>
  </si>
  <si>
    <t>12_H3T9_14.txt</t>
  </si>
  <si>
    <t>12_H3T9_15.txt</t>
  </si>
  <si>
    <t>12_H3T9_16.txt</t>
  </si>
  <si>
    <t>12_H2T10_1.txt</t>
  </si>
  <si>
    <t>12_H2T10_2.txt</t>
  </si>
  <si>
    <t>12_H2T10_3.txt</t>
  </si>
  <si>
    <t>12_H2T10_4.txt</t>
  </si>
  <si>
    <t>12_H2T10_5.txt</t>
  </si>
  <si>
    <t>12_H2T10_6.txt</t>
  </si>
  <si>
    <t>12_H2T10_7.txt</t>
  </si>
  <si>
    <t>12_H1T11_1.txt</t>
  </si>
  <si>
    <t>12_H1T11_2.txt</t>
  </si>
  <si>
    <t>12_H1T11_3.txt</t>
  </si>
  <si>
    <t>12_H1T11_4.txt</t>
  </si>
  <si>
    <t>12_H1T11_5.txt</t>
  </si>
  <si>
    <t>12_H1T11_6.txt</t>
  </si>
  <si>
    <t>12_H0T12_1.txt</t>
  </si>
  <si>
    <t>111111211111</t>
  </si>
  <si>
    <t>111111111112</t>
  </si>
  <si>
    <t>111111112111</t>
  </si>
  <si>
    <t>111111121111</t>
  </si>
  <si>
    <t>111111111211</t>
  </si>
  <si>
    <t>111111111121</t>
  </si>
  <si>
    <t>111121112111</t>
  </si>
  <si>
    <t>112111111211</t>
  </si>
  <si>
    <t>111111111122</t>
  </si>
  <si>
    <t>111112111112</t>
  </si>
  <si>
    <t>111111112121</t>
  </si>
  <si>
    <t>211111111112</t>
  </si>
  <si>
    <t>111112211111</t>
  </si>
  <si>
    <t>112111211121</t>
  </si>
  <si>
    <t>111212111121</t>
  </si>
  <si>
    <t>111121212111</t>
  </si>
  <si>
    <t>111211112112</t>
  </si>
  <si>
    <t>112121111121</t>
  </si>
  <si>
    <t>111112112121</t>
  </si>
  <si>
    <t>211111121112</t>
  </si>
  <si>
    <t>111111122112</t>
  </si>
  <si>
    <t>111111111222</t>
  </si>
  <si>
    <t>112111111221</t>
  </si>
  <si>
    <t>111111212121</t>
  </si>
  <si>
    <t>112111112121</t>
  </si>
  <si>
    <t>111111112122</t>
  </si>
  <si>
    <t>112111121121</t>
  </si>
  <si>
    <t>221111111112</t>
  </si>
  <si>
    <t>111112221111</t>
  </si>
  <si>
    <t>112112121211</t>
  </si>
  <si>
    <t>111122111122</t>
  </si>
  <si>
    <t>111121221112</t>
  </si>
  <si>
    <t>111122221111</t>
  </si>
  <si>
    <t>112212111112</t>
  </si>
  <si>
    <t>112111112221</t>
  </si>
  <si>
    <t>111112112221</t>
  </si>
  <si>
    <t>111112212112</t>
  </si>
  <si>
    <t>121221111112</t>
  </si>
  <si>
    <t>211211111122</t>
  </si>
  <si>
    <t>111111112222</t>
  </si>
  <si>
    <t>111211221112</t>
  </si>
  <si>
    <t>121112111221</t>
  </si>
  <si>
    <t>112111212121</t>
  </si>
  <si>
    <t>112111221121</t>
  </si>
  <si>
    <t>111212111221</t>
  </si>
  <si>
    <t>211112112112</t>
  </si>
  <si>
    <t>112211211112</t>
  </si>
  <si>
    <t>211112211112</t>
  </si>
  <si>
    <t>111211121122</t>
  </si>
  <si>
    <t>111122121121</t>
  </si>
  <si>
    <t>111212112211</t>
  </si>
  <si>
    <t>111121122121</t>
  </si>
  <si>
    <t>111211122211</t>
  </si>
  <si>
    <t>111121211122</t>
  </si>
  <si>
    <t>111121221211</t>
  </si>
  <si>
    <t>111221121121</t>
  </si>
  <si>
    <t>111112221112</t>
  </si>
  <si>
    <t>121111211122</t>
  </si>
  <si>
    <t>211112121112</t>
  </si>
  <si>
    <t>111111212212</t>
  </si>
  <si>
    <t>221111111122</t>
  </si>
  <si>
    <t>112122121121</t>
  </si>
  <si>
    <t>211121122112</t>
  </si>
  <si>
    <t>211121121212</t>
  </si>
  <si>
    <t>211212111212</t>
  </si>
  <si>
    <t>111212221112</t>
  </si>
  <si>
    <t>121122111221</t>
  </si>
  <si>
    <t>111221121212</t>
  </si>
  <si>
    <t>111212211221</t>
  </si>
  <si>
    <t>111222112112</t>
  </si>
  <si>
    <t>112211221112</t>
  </si>
  <si>
    <t>111212222111</t>
  </si>
  <si>
    <t>112112212211</t>
  </si>
  <si>
    <t>111122112212</t>
  </si>
  <si>
    <t>121122211112</t>
  </si>
  <si>
    <t>111121222211</t>
  </si>
  <si>
    <t>122121111212</t>
  </si>
  <si>
    <t>211212111122</t>
  </si>
  <si>
    <t>111121112222</t>
  </si>
  <si>
    <t>112211112212</t>
  </si>
  <si>
    <t>122212111112</t>
  </si>
  <si>
    <t>122211111212</t>
  </si>
  <si>
    <t>111112121222</t>
  </si>
  <si>
    <t>121121212121</t>
  </si>
  <si>
    <t>111111122222</t>
  </si>
  <si>
    <t>121121221121</t>
  </si>
  <si>
    <t>112121122112</t>
  </si>
  <si>
    <t>111211121222</t>
  </si>
  <si>
    <t>111212121212</t>
  </si>
  <si>
    <t>112112221121</t>
  </si>
  <si>
    <t>112111221122</t>
  </si>
  <si>
    <t>211111221212</t>
  </si>
  <si>
    <t>121112212121</t>
  </si>
  <si>
    <t>112111112222</t>
  </si>
  <si>
    <t>122111221112</t>
  </si>
  <si>
    <t>112112211212</t>
  </si>
  <si>
    <t>111212212121</t>
  </si>
  <si>
    <t>121112112212</t>
  </si>
  <si>
    <t>111121122212</t>
  </si>
  <si>
    <t>112211112122</t>
  </si>
  <si>
    <t>211111212212</t>
  </si>
  <si>
    <t>112111121222</t>
  </si>
  <si>
    <t>112121221211</t>
  </si>
  <si>
    <t>111112122122</t>
  </si>
  <si>
    <t>111112122212</t>
  </si>
  <si>
    <t>111211212212</t>
  </si>
  <si>
    <t>122111211221</t>
  </si>
  <si>
    <t>111221211122</t>
  </si>
  <si>
    <t>121211121221</t>
  </si>
  <si>
    <t>211211111222</t>
  </si>
  <si>
    <t>222111111122</t>
  </si>
  <si>
    <t>111122222111</t>
  </si>
  <si>
    <t>121212121212</t>
  </si>
  <si>
    <t>112122211212</t>
  </si>
  <si>
    <t>112112221122</t>
  </si>
  <si>
    <t>111221121222</t>
  </si>
  <si>
    <t>211121212212</t>
  </si>
  <si>
    <t>211211122212</t>
  </si>
  <si>
    <t>112221221121</t>
  </si>
  <si>
    <t>112211211222</t>
  </si>
  <si>
    <t>112221112212</t>
  </si>
  <si>
    <t>121112212221</t>
  </si>
  <si>
    <t>112211222112</t>
  </si>
  <si>
    <t>121121212122</t>
  </si>
  <si>
    <t>112122212121</t>
  </si>
  <si>
    <t>211121122122</t>
  </si>
  <si>
    <t>111222122211</t>
  </si>
  <si>
    <t>112211122122</t>
  </si>
  <si>
    <t>122111212212</t>
  </si>
  <si>
    <t>121122211212</t>
  </si>
  <si>
    <t>122211112122</t>
  </si>
  <si>
    <t>112121112222</t>
  </si>
  <si>
    <t>112211112222</t>
  </si>
  <si>
    <t>111122221122</t>
  </si>
  <si>
    <t>211211212122</t>
  </si>
  <si>
    <t>111222211221</t>
  </si>
  <si>
    <t>111122112222</t>
  </si>
  <si>
    <t>111221222211</t>
  </si>
  <si>
    <t>122221112112</t>
  </si>
  <si>
    <t>111122222112</t>
  </si>
  <si>
    <t>111111222222</t>
  </si>
  <si>
    <t>112212212112</t>
  </si>
  <si>
    <t>121211221122</t>
  </si>
  <si>
    <t>122121212112</t>
  </si>
  <si>
    <t>122112112122</t>
  </si>
  <si>
    <t>112112212212</t>
  </si>
  <si>
    <t>121121221221</t>
  </si>
  <si>
    <t>121221121212</t>
  </si>
  <si>
    <t>111222221211</t>
  </si>
  <si>
    <t>112222211112</t>
  </si>
  <si>
    <t>122121122112</t>
  </si>
  <si>
    <t>121222111122</t>
  </si>
  <si>
    <t>112121222121</t>
  </si>
  <si>
    <t>212121111222</t>
  </si>
  <si>
    <t>112122122121</t>
  </si>
  <si>
    <t>122112221112</t>
  </si>
  <si>
    <t>111122122122</t>
  </si>
  <si>
    <t>112122111222</t>
  </si>
  <si>
    <t>122121121122</t>
  </si>
  <si>
    <t>112221212121</t>
  </si>
  <si>
    <t>111112222221</t>
  </si>
  <si>
    <t>111112212222</t>
  </si>
  <si>
    <t>212121121122</t>
  </si>
  <si>
    <t>121211121222</t>
  </si>
  <si>
    <t>121121211222</t>
  </si>
  <si>
    <t>212111122212</t>
  </si>
  <si>
    <t>112221112122</t>
  </si>
  <si>
    <t>212112211122</t>
  </si>
  <si>
    <t>121122211221</t>
  </si>
  <si>
    <t>112112212221</t>
  </si>
  <si>
    <t>222111111222</t>
  </si>
  <si>
    <t>111222222111</t>
  </si>
  <si>
    <t>122122122112</t>
  </si>
  <si>
    <t>211222121122</t>
  </si>
  <si>
    <t>211121221222</t>
  </si>
  <si>
    <t>121212121222</t>
  </si>
  <si>
    <t>211211222122</t>
  </si>
  <si>
    <t>211212211222</t>
  </si>
  <si>
    <t>212112211222</t>
  </si>
  <si>
    <t>212111222122</t>
  </si>
  <si>
    <t>221211122122</t>
  </si>
  <si>
    <t>211221222112</t>
  </si>
  <si>
    <t>121212222112</t>
  </si>
  <si>
    <t>122121221221</t>
  </si>
  <si>
    <t>112122112222</t>
  </si>
  <si>
    <t>122211112222</t>
  </si>
  <si>
    <t>121211222212</t>
  </si>
  <si>
    <t>112122221212</t>
  </si>
  <si>
    <t>122221121122</t>
  </si>
  <si>
    <t>121212222121</t>
  </si>
  <si>
    <t>112211222212</t>
  </si>
  <si>
    <t>122111222221</t>
  </si>
  <si>
    <t>111122222122</t>
  </si>
  <si>
    <t>112222211221</t>
  </si>
  <si>
    <t>221121122122</t>
  </si>
  <si>
    <t>111112222222</t>
  </si>
  <si>
    <t>121212122122</t>
  </si>
  <si>
    <t>122122112212</t>
  </si>
  <si>
    <t>121222112122</t>
  </si>
  <si>
    <t>121221211222</t>
  </si>
  <si>
    <t>122112212221</t>
  </si>
  <si>
    <t>112212122212</t>
  </si>
  <si>
    <t>121221112222</t>
  </si>
  <si>
    <t>212122121122</t>
  </si>
  <si>
    <t>111222212212</t>
  </si>
  <si>
    <t>211212112222</t>
  </si>
  <si>
    <t>121221121222</t>
  </si>
  <si>
    <t>122211122212</t>
  </si>
  <si>
    <t>121122112222</t>
  </si>
  <si>
    <t>121122221122</t>
  </si>
  <si>
    <t>111212222122</t>
  </si>
  <si>
    <t>121212221122</t>
  </si>
  <si>
    <t>212211212212</t>
  </si>
  <si>
    <t>221221111222</t>
  </si>
  <si>
    <t>211221121222</t>
  </si>
  <si>
    <t>112122221122</t>
  </si>
  <si>
    <t>111222122122</t>
  </si>
  <si>
    <t>112221122221</t>
  </si>
  <si>
    <t>112122222211</t>
  </si>
  <si>
    <t>121212122212</t>
  </si>
  <si>
    <t>211221122122</t>
  </si>
  <si>
    <t>222211111222</t>
  </si>
  <si>
    <t>112222222111</t>
  </si>
  <si>
    <t>221212212122</t>
  </si>
  <si>
    <t>122221212122</t>
  </si>
  <si>
    <t>211222212122</t>
  </si>
  <si>
    <t>221221112222</t>
  </si>
  <si>
    <t>111222221222</t>
  </si>
  <si>
    <t>112122122222</t>
  </si>
  <si>
    <t>122222122112</t>
  </si>
  <si>
    <t>121221222221</t>
  </si>
  <si>
    <t>121222222121</t>
  </si>
  <si>
    <t>112222221122</t>
  </si>
  <si>
    <t>111122222222</t>
  </si>
  <si>
    <t>222112121222</t>
  </si>
  <si>
    <t>212212211222</t>
  </si>
  <si>
    <t>212121221222</t>
  </si>
  <si>
    <t>212212122212</t>
  </si>
  <si>
    <t>221112221222</t>
  </si>
  <si>
    <t>112222121222</t>
  </si>
  <si>
    <t>121212212222</t>
  </si>
  <si>
    <t>112222122221</t>
  </si>
  <si>
    <t>212221121222</t>
  </si>
  <si>
    <t>211222122122</t>
  </si>
  <si>
    <t>122212122212</t>
  </si>
  <si>
    <t>222111221222</t>
  </si>
  <si>
    <t>221222111222</t>
  </si>
  <si>
    <t>222121121222</t>
  </si>
  <si>
    <t>122221212212</t>
  </si>
  <si>
    <t>121222212122</t>
  </si>
  <si>
    <t>212112221222</t>
  </si>
  <si>
    <t>221121212222</t>
  </si>
  <si>
    <t>121211222222</t>
  </si>
  <si>
    <t>212122122122</t>
  </si>
  <si>
    <t>222211112222</t>
  </si>
  <si>
    <t>112222222211</t>
  </si>
  <si>
    <t>221221221222</t>
  </si>
  <si>
    <t>221212222122</t>
  </si>
  <si>
    <t>122221221222</t>
  </si>
  <si>
    <t>212122221222</t>
  </si>
  <si>
    <t>121222221222</t>
  </si>
  <si>
    <t>122221122222</t>
  </si>
  <si>
    <t>121221222222</t>
  </si>
  <si>
    <t>211212222222</t>
  </si>
  <si>
    <t>222222222111</t>
  </si>
  <si>
    <t>222112122222</t>
  </si>
  <si>
    <t>112222222212</t>
  </si>
  <si>
    <t>121222212222</t>
  </si>
  <si>
    <t>122211222222</t>
  </si>
  <si>
    <t>221222121222</t>
  </si>
  <si>
    <t>222221112222</t>
  </si>
  <si>
    <t>122222222211</t>
  </si>
  <si>
    <t>222122212222</t>
  </si>
  <si>
    <t>122222212222</t>
  </si>
  <si>
    <t>222222222211</t>
  </si>
  <si>
    <t>121222222222</t>
  </si>
  <si>
    <t>222121222222</t>
  </si>
  <si>
    <t>222221122222</t>
  </si>
  <si>
    <t>122222222221</t>
  </si>
  <si>
    <t>222221222222</t>
  </si>
  <si>
    <t>222222222221</t>
  </si>
  <si>
    <t>222222222212</t>
  </si>
  <si>
    <t>222222221222</t>
  </si>
  <si>
    <t>222222222122</t>
  </si>
  <si>
    <t>222222212222</t>
  </si>
  <si>
    <t>18_H18T0_1.txt</t>
  </si>
  <si>
    <t>18_H17T1_1.txt</t>
  </si>
  <si>
    <t>18_H17T1_2.txt</t>
  </si>
  <si>
    <t>18_H17T1_3.txt</t>
  </si>
  <si>
    <t>18_H17T1_4.txt</t>
  </si>
  <si>
    <t>18_H17T1_5.txt</t>
  </si>
  <si>
    <t>18_H17T1_6.txt</t>
  </si>
  <si>
    <t>18_H17T1_7.txt</t>
  </si>
  <si>
    <t>18_H17T1_8.txt</t>
  </si>
  <si>
    <t>18_H17T1_9.txt</t>
  </si>
  <si>
    <t>18_H16T2_1.txt</t>
  </si>
  <si>
    <t>18_H16T2_2.txt</t>
  </si>
  <si>
    <t>18_H16T2_3.txt</t>
  </si>
  <si>
    <t>18_H16T2_4.txt</t>
  </si>
  <si>
    <t>18_H16T2_5.txt</t>
  </si>
  <si>
    <t>18_H15T3_1.txt</t>
  </si>
  <si>
    <t>18_H15T3_2.txt</t>
  </si>
  <si>
    <t>18_H15T3_3.txt</t>
  </si>
  <si>
    <t>18_H15T3_4.txt</t>
  </si>
  <si>
    <t>18_H15T3_5.txt</t>
  </si>
  <si>
    <t>18_H14T4_1.txt</t>
  </si>
  <si>
    <t>18_H14T4_2.txt</t>
  </si>
  <si>
    <t>18_H14T4_3.txt</t>
  </si>
  <si>
    <t>18_H14T4_4.txt</t>
  </si>
  <si>
    <t>18_H14T4_5.txt</t>
  </si>
  <si>
    <t>18_H14T4_6.txt</t>
  </si>
  <si>
    <t>18_H13T5_1.txt</t>
  </si>
  <si>
    <t>18_H13T5_2.txt</t>
  </si>
  <si>
    <t>18_H13T5_3.txt</t>
  </si>
  <si>
    <t>18_H13T5_4.txt</t>
  </si>
  <si>
    <t>18_H13T5_5.txt</t>
  </si>
  <si>
    <t>18_H13T5_6.txt</t>
  </si>
  <si>
    <t>18_H13T5_7.txt</t>
  </si>
  <si>
    <t>18_H13T5_8.txt</t>
  </si>
  <si>
    <t>18_H13T5_9.txt</t>
  </si>
  <si>
    <t xml:space="preserve">diblock </t>
  </si>
  <si>
    <t>18_H12T6_1.txt</t>
  </si>
  <si>
    <t>18_H12T6_10.txt</t>
  </si>
  <si>
    <t>18_H12T6_11.txt</t>
  </si>
  <si>
    <t>18_H12T6_2.txt</t>
  </si>
  <si>
    <t>`</t>
  </si>
  <si>
    <t>18_H12T6_3.txt</t>
  </si>
  <si>
    <t>18_H12T6_4.txt</t>
  </si>
  <si>
    <t>18_H12T6_5.txt</t>
  </si>
  <si>
    <t>18_H12T6_6.txt</t>
  </si>
  <si>
    <t>18_H12T6_7.txt</t>
  </si>
  <si>
    <t>18_H12T6_8.txt</t>
  </si>
  <si>
    <t>18_H12T6_9.txt</t>
  </si>
  <si>
    <t>18_H12T6_12.txt</t>
  </si>
  <si>
    <t>18_H12T6_13.txt</t>
  </si>
  <si>
    <t>18_H12T6_14.txt</t>
  </si>
  <si>
    <t>18_H12T6_15.txt</t>
  </si>
  <si>
    <t>18_H12T6_16.txt</t>
  </si>
  <si>
    <t>18_H12T6_17.txt</t>
  </si>
  <si>
    <t>18_H12T6_18.txt</t>
  </si>
  <si>
    <t>18_H12T6_19.txt</t>
  </si>
  <si>
    <t>18_H11T7_1.txt</t>
  </si>
  <si>
    <t>18_H11T7_10.txt</t>
  </si>
  <si>
    <t>18_H11T7_11.txt</t>
  </si>
  <si>
    <t>18_H11T7_12.txt</t>
  </si>
  <si>
    <t>18_H11T7_13.txt</t>
  </si>
  <si>
    <t>18_H11T7_14.txt</t>
  </si>
  <si>
    <t>18_H11T7_15.txt</t>
  </si>
  <si>
    <t>18_H11T7_16.txt</t>
  </si>
  <si>
    <t>18_H11T7_17.txt</t>
  </si>
  <si>
    <t>18_H11T7_18.txt</t>
  </si>
  <si>
    <t>18_H11T7_2.txt</t>
  </si>
  <si>
    <t>18_H11T7_3.txt</t>
  </si>
  <si>
    <t>18_H11T7_4.txt</t>
  </si>
  <si>
    <t>18_H11T7_5.txt</t>
  </si>
  <si>
    <t>18_H11T7_6.txt</t>
  </si>
  <si>
    <t>18_H11T7_7.txt</t>
  </si>
  <si>
    <t>18_H11T7_8.txt</t>
  </si>
  <si>
    <t>18_H11T7_9.txt</t>
  </si>
  <si>
    <t>18_H11T7_19.txt</t>
  </si>
  <si>
    <t>18_H11T7_20.txt</t>
  </si>
  <si>
    <t>18_H11T7_21.txt</t>
  </si>
  <si>
    <t>18_H11T7_22.txt</t>
  </si>
  <si>
    <t>18_H11T7_23.txt</t>
  </si>
  <si>
    <t>18_H11T7_24.txt</t>
  </si>
  <si>
    <t>18_H11T7_25.txt</t>
  </si>
  <si>
    <t>18_H11T7_26.txt</t>
  </si>
  <si>
    <t>18_H11T7_27.txt</t>
  </si>
  <si>
    <t>18_H11T7_28.txt</t>
  </si>
  <si>
    <t>18_H11T7_29.txt</t>
  </si>
  <si>
    <t>18_H11T7_30.txt</t>
  </si>
  <si>
    <t>18_H11T7_31.txt</t>
  </si>
  <si>
    <t>18_H10T8_1.txt</t>
  </si>
  <si>
    <t>18_H10T8_10.txt</t>
  </si>
  <si>
    <t>18_H10T8_11.txt</t>
  </si>
  <si>
    <t>18_H10T8_12.txt</t>
  </si>
  <si>
    <t>18_H10T8_13.txt</t>
  </si>
  <si>
    <t>18_H10T8_14.txt</t>
  </si>
  <si>
    <t>18_H10T8_15.txt</t>
  </si>
  <si>
    <t>18_H10T8_16.txt</t>
  </si>
  <si>
    <t>18_H10T8_17.txt</t>
  </si>
  <si>
    <t>18_H10T8_18.txt</t>
  </si>
  <si>
    <t>18_H10T8_19.txt</t>
  </si>
  <si>
    <t>18_H10T8_2.txt</t>
  </si>
  <si>
    <t>18_H10T8_20.txt</t>
  </si>
  <si>
    <t>18_H10T8_21.txt</t>
  </si>
  <si>
    <t>18_H10T8_22.txt</t>
  </si>
  <si>
    <t>18_H10T8_23.txt</t>
  </si>
  <si>
    <t>18_H10T8_24.txt</t>
  </si>
  <si>
    <t>18_H10T8_25.txt</t>
  </si>
  <si>
    <t>18_H10T8_3.txt</t>
  </si>
  <si>
    <t>18_H10T8_4.txt</t>
  </si>
  <si>
    <t>18_H10T8_5.txt</t>
  </si>
  <si>
    <t>18_H10T8_6.txt</t>
  </si>
  <si>
    <t>18_H10T8_7.txt</t>
  </si>
  <si>
    <t>18_H10T8_8.txt</t>
  </si>
  <si>
    <t>18_H10T8_9.txt</t>
  </si>
  <si>
    <t>18_H10T8_26.txt</t>
  </si>
  <si>
    <t>18_H10T8_27.txt</t>
  </si>
  <si>
    <t>18_H10T8_28.txt</t>
  </si>
  <si>
    <t>18_H10T8_29.txt</t>
  </si>
  <si>
    <t>18_H10T8_30.txt</t>
  </si>
  <si>
    <t>18_H10T8_31.txt</t>
  </si>
  <si>
    <t>18_H10T8_32.txt</t>
  </si>
  <si>
    <t>18_H10T8_33.txt</t>
  </si>
  <si>
    <t>18_H10T8_34.txt</t>
  </si>
  <si>
    <t>18_H10T8_35.txt</t>
  </si>
  <si>
    <t>18_H10T8_36.txt</t>
  </si>
  <si>
    <t>18_H10T8_37.txt</t>
  </si>
  <si>
    <t>18_H10T8_38.txt</t>
  </si>
  <si>
    <t>18_H10T8_39.txt</t>
  </si>
  <si>
    <t>18_H10T8_40.txt</t>
  </si>
  <si>
    <t>18_H10T8_41.txt</t>
  </si>
  <si>
    <t>18_H10T8_42.txt</t>
  </si>
  <si>
    <t>18_H10T8_43.txt</t>
  </si>
  <si>
    <t>18_H9T9_1.txt</t>
  </si>
  <si>
    <t>18_H9T9_10.txt</t>
  </si>
  <si>
    <t>18_H9T9_11.txt</t>
  </si>
  <si>
    <t>18_H9T9_12.txt</t>
  </si>
  <si>
    <t>18_H9T9_13.txt</t>
  </si>
  <si>
    <t>18_H9T9_14.txt</t>
  </si>
  <si>
    <t>18_H9T9_15.txt</t>
  </si>
  <si>
    <t>18_H9T9_16.txt</t>
  </si>
  <si>
    <t>18_H9T9_17.txt</t>
  </si>
  <si>
    <t>18_H9T9_18.txt</t>
  </si>
  <si>
    <t>18_H9T9_19.txt</t>
  </si>
  <si>
    <t>18_H9T9_2.txt</t>
  </si>
  <si>
    <t>18_H9T9_20.txt</t>
  </si>
  <si>
    <t>18_H9T9_21.txt</t>
  </si>
  <si>
    <t>18_H9T9_22.txt</t>
  </si>
  <si>
    <t>18_H9T9_23.txt</t>
  </si>
  <si>
    <t>18_H9T9_24.txt</t>
  </si>
  <si>
    <t>18_H9T9_25.txt</t>
  </si>
  <si>
    <t>18_H9T9_26.txt</t>
  </si>
  <si>
    <t>18_H9T9_27.txt</t>
  </si>
  <si>
    <t>18_H9T9_28.txt</t>
  </si>
  <si>
    <t>18_H9T9_3.txt</t>
  </si>
  <si>
    <t>18_H9T9_4.txt</t>
  </si>
  <si>
    <t>18_H9T9_5.txt</t>
  </si>
  <si>
    <t>18_H9T9_6.txt</t>
  </si>
  <si>
    <t>18_H9T9_7.txt</t>
  </si>
  <si>
    <t>18_H9T9_8.txt</t>
  </si>
  <si>
    <t>18_H9T9_9.txt</t>
  </si>
  <si>
    <t>18_H9T9_29.txt</t>
  </si>
  <si>
    <t>18_H9T9_30.txt</t>
  </si>
  <si>
    <t>18_H9T9_31.txt</t>
  </si>
  <si>
    <t>18_H9T9_32.txt</t>
  </si>
  <si>
    <t>18_H9T9_33.txt</t>
  </si>
  <si>
    <t>18_H9T9_34.txt</t>
  </si>
  <si>
    <t>18_H9T9_35.txt</t>
  </si>
  <si>
    <t>18_H9T9_36.txt</t>
  </si>
  <si>
    <t>18_H9T9_37.txt</t>
  </si>
  <si>
    <t>18_H9T9_38.txt</t>
  </si>
  <si>
    <t>18_H9T9_39.txt</t>
  </si>
  <si>
    <t>18_H9T9_40.txt</t>
  </si>
  <si>
    <t>18_H9T9_41.txt</t>
  </si>
  <si>
    <t>18_H9T9_42.txt</t>
  </si>
  <si>
    <t>18_H9T9_43.txt</t>
  </si>
  <si>
    <t>18_H9T9_44.txt</t>
  </si>
  <si>
    <t>18_H9T9_45.txt</t>
  </si>
  <si>
    <t>18_H9T9_46.txt</t>
  </si>
  <si>
    <t>18_H9T9_47.txt</t>
  </si>
  <si>
    <t>18_H9T9_48.txt</t>
  </si>
  <si>
    <t>18_H8T10_1.txt</t>
  </si>
  <si>
    <t>18_H8T10_10.txt</t>
  </si>
  <si>
    <t>18_H8T10_11.txt</t>
  </si>
  <si>
    <t>18_H8T10_12.txt</t>
  </si>
  <si>
    <t>18_H8T10_13.txt</t>
  </si>
  <si>
    <t>18_H8T10_14.txt</t>
  </si>
  <si>
    <t>18_H8T10_15.txt</t>
  </si>
  <si>
    <t>18_H8T10_16.txt</t>
  </si>
  <si>
    <t>18_H8T10_17.txt</t>
  </si>
  <si>
    <t>18_H8T10_18.txt</t>
  </si>
  <si>
    <t>18_H8T10_19.txt</t>
  </si>
  <si>
    <t>18_H8T10_2.txt</t>
  </si>
  <si>
    <t>18_H8T10_20.txt</t>
  </si>
  <si>
    <t>18_H8T10_21.txt</t>
  </si>
  <si>
    <t>18_H8T10_22.txt</t>
  </si>
  <si>
    <t>18_H8T10_23.txt</t>
  </si>
  <si>
    <t>18_H8T10_24.txt</t>
  </si>
  <si>
    <t>18_H8T10_25.txt</t>
  </si>
  <si>
    <t>18_H8T10_3.txt</t>
  </si>
  <si>
    <t>18_H8T10_4.txt</t>
  </si>
  <si>
    <t>18_H8T10_5.txt</t>
  </si>
  <si>
    <t>18_H8T10_6.txt</t>
  </si>
  <si>
    <t>18_H8T10_7.txt</t>
  </si>
  <si>
    <t>18_H8T10_8.txt</t>
  </si>
  <si>
    <t>18_H8T10_9.txt</t>
  </si>
  <si>
    <t>18_H8T10_26.txt</t>
  </si>
  <si>
    <t>18_H8T10_27.txt</t>
  </si>
  <si>
    <t>18_H8T10_28.txt</t>
  </si>
  <si>
    <t>18_H8T10_29.txt</t>
  </si>
  <si>
    <t>18_H8T10_30.txt</t>
  </si>
  <si>
    <t>18_H8T10_31.txt</t>
  </si>
  <si>
    <t>18_H8T10_32.txt</t>
  </si>
  <si>
    <t>18_H8T10_33.txt</t>
  </si>
  <si>
    <t>18_H8T10_34.txt</t>
  </si>
  <si>
    <t>18_H8T10_35.txt</t>
  </si>
  <si>
    <t>18_H8T10_36.txt</t>
  </si>
  <si>
    <t>18_H8T10_37.txt</t>
  </si>
  <si>
    <t>18_H8T10_38.txt</t>
  </si>
  <si>
    <t>18_H8T10_39.txt</t>
  </si>
  <si>
    <t>18_H8T10_40.txt</t>
  </si>
  <si>
    <t>18_H8T10_41.txt</t>
  </si>
  <si>
    <t>18_H8T10_42.txt</t>
  </si>
  <si>
    <t>18_H8T10_43.txt</t>
  </si>
  <si>
    <t>18_H7T11_1.txt</t>
  </si>
  <si>
    <t>18_H7T11_10.txt</t>
  </si>
  <si>
    <t>18_H7T11_11.txt</t>
  </si>
  <si>
    <t>18_H7T11_12.txt</t>
  </si>
  <si>
    <t>18_H7T11_13.txt</t>
  </si>
  <si>
    <t>18_H7T11_14.txt</t>
  </si>
  <si>
    <t>18_H7T11_15.txt</t>
  </si>
  <si>
    <t>18_H7T11_16.txt</t>
  </si>
  <si>
    <t>18_H7T11_17.txt</t>
  </si>
  <si>
    <t>18_H7T11_18.txt</t>
  </si>
  <si>
    <t>18_H7T11_2.txt</t>
  </si>
  <si>
    <t>18_H7T11_3.txt</t>
  </si>
  <si>
    <t>18_H7T11_4.txt</t>
  </si>
  <si>
    <t>18_H7T11_5.txt</t>
  </si>
  <si>
    <t>18_H7T11_6.txt</t>
  </si>
  <si>
    <t>18_H7T11_7.txt</t>
  </si>
  <si>
    <t>18_H7T11_8.txt</t>
  </si>
  <si>
    <t>18_H7T11_9.txt</t>
  </si>
  <si>
    <t>18_H7T11_19.txt</t>
  </si>
  <si>
    <t>18_H7T11_20.txt</t>
  </si>
  <si>
    <t>18_H7T11_21.txt</t>
  </si>
  <si>
    <t>18_H7T11_22.txt</t>
  </si>
  <si>
    <t>18_H7T11_23.txt</t>
  </si>
  <si>
    <t>18_H7T11_24.txt</t>
  </si>
  <si>
    <t>18_H7T11_25.txt</t>
  </si>
  <si>
    <t>18_H7T11_26.txt</t>
  </si>
  <si>
    <t>18_H7T11_27.txt</t>
  </si>
  <si>
    <t>18_H7T11_28.txt</t>
  </si>
  <si>
    <t>18_H7T11_29.txt</t>
  </si>
  <si>
    <t>18_H7T11_30.txt</t>
  </si>
  <si>
    <t>18_H7T11_31.txt</t>
  </si>
  <si>
    <t>18_H6T12_1.txt</t>
  </si>
  <si>
    <t>18_H6T12_10.txt</t>
  </si>
  <si>
    <t>18_H6T12_11.txt</t>
  </si>
  <si>
    <t>18_H6T12_2.txt</t>
  </si>
  <si>
    <t>18_H6T12_3.txt</t>
  </si>
  <si>
    <t>18_H6T12_4.txt</t>
  </si>
  <si>
    <t>18_H6T12_5.txt</t>
  </si>
  <si>
    <t>18_H6T12_6.txt</t>
  </si>
  <si>
    <t>18_H6T12_7.txt</t>
  </si>
  <si>
    <t>18_H6T12_8.txt</t>
  </si>
  <si>
    <t>18_H6T12_9.txt</t>
  </si>
  <si>
    <t>18_H6T12_12.txt</t>
  </si>
  <si>
    <t>18_H6T12_13.txt</t>
  </si>
  <si>
    <t>18_H6T12_14.txt</t>
  </si>
  <si>
    <t>18_H6T12_15.txt</t>
  </si>
  <si>
    <t>18_H6T12_16.txt</t>
  </si>
  <si>
    <t>18_H6T12_17.txt</t>
  </si>
  <si>
    <t>18_H6T12_18.txt</t>
  </si>
  <si>
    <t>18_H6T12_19.txt</t>
  </si>
  <si>
    <t>18_H5T13_1.txt</t>
  </si>
  <si>
    <t>18_H5T13_2.txt</t>
  </si>
  <si>
    <t>18_H5T13_3.txt</t>
  </si>
  <si>
    <t>18_H5T13_4.txt</t>
  </si>
  <si>
    <t>18_H5T13_5.txt</t>
  </si>
  <si>
    <t>18_H5T13_6.txt</t>
  </si>
  <si>
    <t>18_H5T13_7.txt</t>
  </si>
  <si>
    <t>18_H5T13_8.txt</t>
  </si>
  <si>
    <t>18_H5T13_9.txt</t>
  </si>
  <si>
    <t>18_H4T14_1.txt</t>
  </si>
  <si>
    <t>18_H4T14_2.txt</t>
  </si>
  <si>
    <t>18_H4T14_3.txt</t>
  </si>
  <si>
    <t>18_H4T14_4.txt</t>
  </si>
  <si>
    <t>18_H4T14_5.txt</t>
  </si>
  <si>
    <t>18_H3T15_1.txt</t>
  </si>
  <si>
    <t>18_H3T15_2.txt</t>
  </si>
  <si>
    <t>18_H3T15_3.txt</t>
  </si>
  <si>
    <t>18_H3T15_4.txt</t>
  </si>
  <si>
    <t>18_H3T15_5.txt</t>
  </si>
  <si>
    <t>18_H2T16_1.txt</t>
  </si>
  <si>
    <t>18_H2T16_2.txt</t>
  </si>
  <si>
    <t>18_H2T16_3.txt</t>
  </si>
  <si>
    <t>18_H2T16_4.txt</t>
  </si>
  <si>
    <t>18_H2T16_5.txt</t>
  </si>
  <si>
    <t>18_H1T17_1.txt</t>
  </si>
  <si>
    <t>18_H1T17_2.txt</t>
  </si>
  <si>
    <t>18_H1T17_3.txt</t>
  </si>
  <si>
    <t>18_H1T17_4.txt</t>
  </si>
  <si>
    <t>18_H0T18_1.txt</t>
  </si>
  <si>
    <t>111111211111111111</t>
  </si>
  <si>
    <t>111111111111111112</t>
  </si>
  <si>
    <t>111111111111111211</t>
  </si>
  <si>
    <t>111111112111111111</t>
  </si>
  <si>
    <t>111111121111111111</t>
  </si>
  <si>
    <t>111112111111111111</t>
  </si>
  <si>
    <t>111121111111111111</t>
  </si>
  <si>
    <t>111211111111111111</t>
  </si>
  <si>
    <t>121111111111111111</t>
  </si>
  <si>
    <t>211111111111111211</t>
  </si>
  <si>
    <t>111111111111111122</t>
  </si>
  <si>
    <t>111111121111111121</t>
  </si>
  <si>
    <t>211111111111111112</t>
  </si>
  <si>
    <t>111111112211111111</t>
  </si>
  <si>
    <t>121111112121111111</t>
  </si>
  <si>
    <t>111111111111111222</t>
  </si>
  <si>
    <t>111211111111212111</t>
  </si>
  <si>
    <t>221111111111111112</t>
  </si>
  <si>
    <t>111111122211111111</t>
  </si>
  <si>
    <t>111111211111122211</t>
  </si>
  <si>
    <t>111111112121111122</t>
  </si>
  <si>
    <t>111111111111112222</t>
  </si>
  <si>
    <t>121111221111111112</t>
  </si>
  <si>
    <t>221111111111111122</t>
  </si>
  <si>
    <t>111111122221111111</t>
  </si>
  <si>
    <t>121112112111112112</t>
  </si>
  <si>
    <t>122111111111111222</t>
  </si>
  <si>
    <t>111111222212111111</t>
  </si>
  <si>
    <t>111112122111112112</t>
  </si>
  <si>
    <t>111211111111221212</t>
  </si>
  <si>
    <t>111111111221222111</t>
  </si>
  <si>
    <t>111211211111212211</t>
  </si>
  <si>
    <t>111211221111112112</t>
  </si>
  <si>
    <t>111111111111122222</t>
  </si>
  <si>
    <t>211211221111121112</t>
  </si>
  <si>
    <t>111122111111121222</t>
  </si>
  <si>
    <t>111111221211121122</t>
  </si>
  <si>
    <t>122211111122112111</t>
  </si>
  <si>
    <t>212121211111212111</t>
  </si>
  <si>
    <t>112211111112211221</t>
  </si>
  <si>
    <t>122211111211111212</t>
  </si>
  <si>
    <t>111112221111121221</t>
  </si>
  <si>
    <t>121211211111212112</t>
  </si>
  <si>
    <t>221112121122111111</t>
  </si>
  <si>
    <t>112211111111122212</t>
  </si>
  <si>
    <t>122111221211111112</t>
  </si>
  <si>
    <t>122112111212111112</t>
  </si>
  <si>
    <t>111211122211111221</t>
  </si>
  <si>
    <t>121111121121121221</t>
  </si>
  <si>
    <t>112112212211111112</t>
  </si>
  <si>
    <t>112111122121111122</t>
  </si>
  <si>
    <t>111221112211211121</t>
  </si>
  <si>
    <t>111111111111222222</t>
  </si>
  <si>
    <t>211121121121211212</t>
  </si>
  <si>
    <t>212212111111221112</t>
  </si>
  <si>
    <t>111121222121111221</t>
  </si>
  <si>
    <t>221221211112111112</t>
  </si>
  <si>
    <t>112122111121121212</t>
  </si>
  <si>
    <t>212211211112112211</t>
  </si>
  <si>
    <t>211121122211112121</t>
  </si>
  <si>
    <t>111211112211212122</t>
  </si>
  <si>
    <t>111211211121112222</t>
  </si>
  <si>
    <t>122122112111211112</t>
  </si>
  <si>
    <t>122121211111221121</t>
  </si>
  <si>
    <t>212111112112121212</t>
  </si>
  <si>
    <t>211211222111112121</t>
  </si>
  <si>
    <t>212111212211111221</t>
  </si>
  <si>
    <t>122111211221121121</t>
  </si>
  <si>
    <t>121211112212121112</t>
  </si>
  <si>
    <t>221111212211112211</t>
  </si>
  <si>
    <t>212111212112121112</t>
  </si>
  <si>
    <t>211122111211121122</t>
  </si>
  <si>
    <t>111221121212211112</t>
  </si>
  <si>
    <t>111211121222111212</t>
  </si>
  <si>
    <t>111112221212211211</t>
  </si>
  <si>
    <t>111111111222112222</t>
  </si>
  <si>
    <t>122111111121211222</t>
  </si>
  <si>
    <t>211112212121111122</t>
  </si>
  <si>
    <t>211111122112221112</t>
  </si>
  <si>
    <t>111112211122122211</t>
  </si>
  <si>
    <t>111122211221121112</t>
  </si>
  <si>
    <t>112212111221111122</t>
  </si>
  <si>
    <t>121121221211111122</t>
  </si>
  <si>
    <t>111111111112222222</t>
  </si>
  <si>
    <t>111222112122112121</t>
  </si>
  <si>
    <t>121211221221111212</t>
  </si>
  <si>
    <t>121121111211222212</t>
  </si>
  <si>
    <t>211121122121212112</t>
  </si>
  <si>
    <t>212221121211121112</t>
  </si>
  <si>
    <t>222111111121121222</t>
  </si>
  <si>
    <t>211211111122222112</t>
  </si>
  <si>
    <t>111121122221122211</t>
  </si>
  <si>
    <t>122111212211122121</t>
  </si>
  <si>
    <t>211121222212111211</t>
  </si>
  <si>
    <t>211112122121112122</t>
  </si>
  <si>
    <t>111121221211221122</t>
  </si>
  <si>
    <t>222121112121212111</t>
  </si>
  <si>
    <t>211212111222211112</t>
  </si>
  <si>
    <t>112222211122121111</t>
  </si>
  <si>
    <t>111211221112222121</t>
  </si>
  <si>
    <t>211211221121221121</t>
  </si>
  <si>
    <t>221112121212111122</t>
  </si>
  <si>
    <t>111122221221121112</t>
  </si>
  <si>
    <t>212111211221222111</t>
  </si>
  <si>
    <t>121112122112112221</t>
  </si>
  <si>
    <t>221111211222112211</t>
  </si>
  <si>
    <t>122122111122211211</t>
  </si>
  <si>
    <t>122111211212121221</t>
  </si>
  <si>
    <t>111111222111222221</t>
  </si>
  <si>
    <t>122222211111121112</t>
  </si>
  <si>
    <t>221112211112112122</t>
  </si>
  <si>
    <t>112211112212212211</t>
  </si>
  <si>
    <t>211212111121122122</t>
  </si>
  <si>
    <t>111211221122122211</t>
  </si>
  <si>
    <t>221122111211112122</t>
  </si>
  <si>
    <t>211121121221111222</t>
  </si>
  <si>
    <t>211122211111212212</t>
  </si>
  <si>
    <t>111112221121122212</t>
  </si>
  <si>
    <t>211111221112121222</t>
  </si>
  <si>
    <t>111211112222212112</t>
  </si>
  <si>
    <t>121221212111221112</t>
  </si>
  <si>
    <t>211112211122121122</t>
  </si>
  <si>
    <t>121111212211222112</t>
  </si>
  <si>
    <t>121122111111212222</t>
  </si>
  <si>
    <t>221112111122112122</t>
  </si>
  <si>
    <t>122212121112121112</t>
  </si>
  <si>
    <t>111111111122222222</t>
  </si>
  <si>
    <t>122111122122122121</t>
  </si>
  <si>
    <t>211122211121221122</t>
  </si>
  <si>
    <t>121211122121222112</t>
  </si>
  <si>
    <t>112122122221121121</t>
  </si>
  <si>
    <t>112222121211121122</t>
  </si>
  <si>
    <t>212111122122212121</t>
  </si>
  <si>
    <t>212211121212211122</t>
  </si>
  <si>
    <t>122121111221221212</t>
  </si>
  <si>
    <t>121112121211222122</t>
  </si>
  <si>
    <t>211221112212212121</t>
  </si>
  <si>
    <t>222111221112121212</t>
  </si>
  <si>
    <t>212121211122121221</t>
  </si>
  <si>
    <t>212122122112122111</t>
  </si>
  <si>
    <t>222212112211112112</t>
  </si>
  <si>
    <t>212211222211111221</t>
  </si>
  <si>
    <t>211222112112112212</t>
  </si>
  <si>
    <t>212112121121122221</t>
  </si>
  <si>
    <t>111121221221221221</t>
  </si>
  <si>
    <t>121121122121222211</t>
  </si>
  <si>
    <t>221222121211112121</t>
  </si>
  <si>
    <t>212212222112112111</t>
  </si>
  <si>
    <t>212111212221211221</t>
  </si>
  <si>
    <t>211122221122221111</t>
  </si>
  <si>
    <t>112121121212122221</t>
  </si>
  <si>
    <t>211222121221211121</t>
  </si>
  <si>
    <t>221222211111121212</t>
  </si>
  <si>
    <t>121121211122221122</t>
  </si>
  <si>
    <t>111221111121222222</t>
  </si>
  <si>
    <t>122122212121112112</t>
  </si>
  <si>
    <t>112211222112211212</t>
  </si>
  <si>
    <t>211121212112222112</t>
  </si>
  <si>
    <t>122211212111221212</t>
  </si>
  <si>
    <t>112121221121112222</t>
  </si>
  <si>
    <t>112211222221111212</t>
  </si>
  <si>
    <t>211111221222211212</t>
  </si>
  <si>
    <t>111111211222122222</t>
  </si>
  <si>
    <t>122122121121112212</t>
  </si>
  <si>
    <t>122111211221212122</t>
  </si>
  <si>
    <t>112212222212111112</t>
  </si>
  <si>
    <t>122222112211111122</t>
  </si>
  <si>
    <t>121212122111122122</t>
  </si>
  <si>
    <t>122111122122211212</t>
  </si>
  <si>
    <t>111211222222121121</t>
  </si>
  <si>
    <t>112112122211121222</t>
  </si>
  <si>
    <t>112212211222112112</t>
  </si>
  <si>
    <t>211112122211122212</t>
  </si>
  <si>
    <t>111122122212212121</t>
  </si>
  <si>
    <t>111111111222222222</t>
  </si>
  <si>
    <t>222122212121121121</t>
  </si>
  <si>
    <t>221221112112222121</t>
  </si>
  <si>
    <t>122122122112211122</t>
  </si>
  <si>
    <t>111222221221222111</t>
  </si>
  <si>
    <t>221112222222121111</t>
  </si>
  <si>
    <t>221211211122222112</t>
  </si>
  <si>
    <t>212121112121222212</t>
  </si>
  <si>
    <t>212222111212221112</t>
  </si>
  <si>
    <t>121211222121212221</t>
  </si>
  <si>
    <t>122121221121122221</t>
  </si>
  <si>
    <t>212121121121122222</t>
  </si>
  <si>
    <t>121222212221121121</t>
  </si>
  <si>
    <t>112221122211122122</t>
  </si>
  <si>
    <t>111211222212221212</t>
  </si>
  <si>
    <t>212212211212122121</t>
  </si>
  <si>
    <t>212111222222121211</t>
  </si>
  <si>
    <t>222122221211112121</t>
  </si>
  <si>
    <t>222211112112222112</t>
  </si>
  <si>
    <t>112112222122112221</t>
  </si>
  <si>
    <t>222121111212122122</t>
  </si>
  <si>
    <t>221111112222212221</t>
  </si>
  <si>
    <t>221212112211122212</t>
  </si>
  <si>
    <t>212222122112121112</t>
  </si>
  <si>
    <t>122222112211121212</t>
  </si>
  <si>
    <t>221222112112211212</t>
  </si>
  <si>
    <t>121121222211122221</t>
  </si>
  <si>
    <t>112222111222212112</t>
  </si>
  <si>
    <t>121111222222212121</t>
  </si>
  <si>
    <t>122112211122122221</t>
  </si>
  <si>
    <t>122111221122212221</t>
  </si>
  <si>
    <t>121121121222222121</t>
  </si>
  <si>
    <t>122212212212112112</t>
  </si>
  <si>
    <t>121222211122121221</t>
  </si>
  <si>
    <t>111122221221212122</t>
  </si>
  <si>
    <t>212212212111122212</t>
  </si>
  <si>
    <t>212212221111211222</t>
  </si>
  <si>
    <t>112222221122112121</t>
  </si>
  <si>
    <t>112121112211222222</t>
  </si>
  <si>
    <t>111222112222211221</t>
  </si>
  <si>
    <t>111221222221221211</t>
  </si>
  <si>
    <t>122122122122121112</t>
  </si>
  <si>
    <t>121222211212121122</t>
  </si>
  <si>
    <t>222222222211111111</t>
  </si>
  <si>
    <t>122112212211222122</t>
  </si>
  <si>
    <t>221112122222121122</t>
  </si>
  <si>
    <t>212222211121221122</t>
  </si>
  <si>
    <t>222211222211211221</t>
  </si>
  <si>
    <t>122211221211222212</t>
  </si>
  <si>
    <t>222121121122112222</t>
  </si>
  <si>
    <t>112121222211221222</t>
  </si>
  <si>
    <t>222222111112112222</t>
  </si>
  <si>
    <t>122112121212222221</t>
  </si>
  <si>
    <t>212222222121112211</t>
  </si>
  <si>
    <t>112211221222212122</t>
  </si>
  <si>
    <t>222121112212221212</t>
  </si>
  <si>
    <t>222212211121221212</t>
  </si>
  <si>
    <t>221121222212122112</t>
  </si>
  <si>
    <t>112222222221111221</t>
  </si>
  <si>
    <t>111222122112221222</t>
  </si>
  <si>
    <t>121212222212211212</t>
  </si>
  <si>
    <t>121222122112212122</t>
  </si>
  <si>
    <t>211121212212222122</t>
  </si>
  <si>
    <t>112222121212212122</t>
  </si>
  <si>
    <t>212112122212212122</t>
  </si>
  <si>
    <t>212212222212111122</t>
  </si>
  <si>
    <t>121211221212212222</t>
  </si>
  <si>
    <t>221122212112121222</t>
  </si>
  <si>
    <t>112121222221221221</t>
  </si>
  <si>
    <t>212212221221111222</t>
  </si>
  <si>
    <t>111222221212212221</t>
  </si>
  <si>
    <t>222121112122112222</t>
  </si>
  <si>
    <t>112212112222122122</t>
  </si>
  <si>
    <t>121212211122221222</t>
  </si>
  <si>
    <t>222222222221111111</t>
  </si>
  <si>
    <t>222222112222121121</t>
  </si>
  <si>
    <t>221122112122122222</t>
  </si>
  <si>
    <t>222221222221112211</t>
  </si>
  <si>
    <t>121122122222221212</t>
  </si>
  <si>
    <t>222221212211212221</t>
  </si>
  <si>
    <t>212222212221212112</t>
  </si>
  <si>
    <t>212122221221222112</t>
  </si>
  <si>
    <t>222211122121222221</t>
  </si>
  <si>
    <t>212222212122112212</t>
  </si>
  <si>
    <t>122221211221222212</t>
  </si>
  <si>
    <t>122122122221222112</t>
  </si>
  <si>
    <t>212122221212112222</t>
  </si>
  <si>
    <t>212112211222221222</t>
  </si>
  <si>
    <t>212222221111221222</t>
  </si>
  <si>
    <t>112212222212212122</t>
  </si>
  <si>
    <t>221121122221122222</t>
  </si>
  <si>
    <t>222222222222111111</t>
  </si>
  <si>
    <t>211122221222222221</t>
  </si>
  <si>
    <t>222212122212222121</t>
  </si>
  <si>
    <t>222111212222122222</t>
  </si>
  <si>
    <t>212122222112212222</t>
  </si>
  <si>
    <t>221212222121212222</t>
  </si>
  <si>
    <t>121211222222212222</t>
  </si>
  <si>
    <t>212122222221211222</t>
  </si>
  <si>
    <t>122212222211212222</t>
  </si>
  <si>
    <t>222222222222211111</t>
  </si>
  <si>
    <t>222221122122222221</t>
  </si>
  <si>
    <t>222122222122222211</t>
  </si>
  <si>
    <t>211222222122221222</t>
  </si>
  <si>
    <t>222222222222221111</t>
  </si>
  <si>
    <t>112222222222222211</t>
  </si>
  <si>
    <t>222221212222122222</t>
  </si>
  <si>
    <t>222222222222222111</t>
  </si>
  <si>
    <t>212212221222222222</t>
  </si>
  <si>
    <t>222222211122222222</t>
  </si>
  <si>
    <t>112222222222222221</t>
  </si>
  <si>
    <t>222222222112222222</t>
  </si>
  <si>
    <t>222222222222222211</t>
  </si>
  <si>
    <t>221222222222222122</t>
  </si>
  <si>
    <t>222222221122222222</t>
  </si>
  <si>
    <t>122222222222222221</t>
  </si>
  <si>
    <t>222222122222222222</t>
  </si>
  <si>
    <t>222222222222222221</t>
  </si>
  <si>
    <t>221222222222222222</t>
  </si>
  <si>
    <t>222222221222222222</t>
  </si>
  <si>
    <t>14_H14T0_1.txt</t>
  </si>
  <si>
    <t>14_H13T1_1.txt</t>
  </si>
  <si>
    <t>14_H13T1_2.txt</t>
  </si>
  <si>
    <t>14_H12T2_1.txt</t>
  </si>
  <si>
    <t>14_H12T2_2.txt</t>
  </si>
  <si>
    <t>14_H12T2_3.txt</t>
  </si>
  <si>
    <t>14_H12T2_4.txt</t>
  </si>
  <si>
    <t>14_H11T3_1.txt</t>
  </si>
  <si>
    <t>14_H11T3_2.txt</t>
  </si>
  <si>
    <t>14_H11T3_3.txt</t>
  </si>
  <si>
    <t>14_H11T3_4.txt</t>
  </si>
  <si>
    <t>14_H10T4_1.txt</t>
  </si>
  <si>
    <t>14_H10T4_2.txt</t>
  </si>
  <si>
    <t>14_H10T4_3.txt</t>
  </si>
  <si>
    <t>14_H10T4_4.txt</t>
  </si>
  <si>
    <t>14_H10T4_5.txt</t>
  </si>
  <si>
    <t>14_H10T4_6.txt</t>
  </si>
  <si>
    <t>14_H9T5_1.txt</t>
  </si>
  <si>
    <t>14_H9T5_2.txt</t>
  </si>
  <si>
    <t>14_H9T5_3.txt</t>
  </si>
  <si>
    <t>14_H9T5_4.txt</t>
  </si>
  <si>
    <t>14_H9T5_5.txt</t>
  </si>
  <si>
    <t>14_H9T5_6.txt</t>
  </si>
  <si>
    <t>14_H9T5_7.txt</t>
  </si>
  <si>
    <t>14_H9T5_8.txt</t>
  </si>
  <si>
    <t>14_H9T5_9.txt</t>
  </si>
  <si>
    <t>14_H8T6_1.txt</t>
  </si>
  <si>
    <t>14_H8T6_2.txt</t>
  </si>
  <si>
    <t>14_H8T6_3.txt</t>
  </si>
  <si>
    <t>14_H8T6_4.txt</t>
  </si>
  <si>
    <t>14_H8T6_5.txt</t>
  </si>
  <si>
    <t>14_H8T6_6.txt</t>
  </si>
  <si>
    <t>14_H8T6_7.txt</t>
  </si>
  <si>
    <t>14_H8T6_8.txt</t>
  </si>
  <si>
    <t>14_H8T6_9.txt</t>
  </si>
  <si>
    <t>14_H8T6_10.txt</t>
  </si>
  <si>
    <t>14_H8T6_11.txt</t>
  </si>
  <si>
    <t>14_H8T6_12.txt</t>
  </si>
  <si>
    <t>14_H7T7_1.txt</t>
  </si>
  <si>
    <t>14_H7T7_2.txt</t>
  </si>
  <si>
    <t>14_H7T7_3.txt</t>
  </si>
  <si>
    <t>14_H7T7_4.txt</t>
  </si>
  <si>
    <t>14_H7T7_5.txt</t>
  </si>
  <si>
    <t>14_H7T7_6.txt</t>
  </si>
  <si>
    <t>14_H7T7_7.txt</t>
  </si>
  <si>
    <t>14_H7T7_8.txt</t>
  </si>
  <si>
    <t>14_H7T7_9.txt</t>
  </si>
  <si>
    <t>14_H7T7_10.txt</t>
  </si>
  <si>
    <t>14_H7T7_11.txt</t>
  </si>
  <si>
    <t>14_H7T7_12.txt</t>
  </si>
  <si>
    <t>14_H7T7_13.txt</t>
  </si>
  <si>
    <t>14_H6T8_1.txt</t>
  </si>
  <si>
    <t>14_H6T8_2.txt</t>
  </si>
  <si>
    <t>14_H6T8_3.txt</t>
  </si>
  <si>
    <t>14_H6T8_4.txt</t>
  </si>
  <si>
    <t>14_H6T8_5.txt</t>
  </si>
  <si>
    <t>14_H6T8_6.txt</t>
  </si>
  <si>
    <t>14_H6T8_7.txt</t>
  </si>
  <si>
    <t>14_H6T8_8.txt</t>
  </si>
  <si>
    <t>14_H6T8_9.txt</t>
  </si>
  <si>
    <t>14_H6T8_10.txt</t>
  </si>
  <si>
    <t>14_H6T8_11.txt</t>
  </si>
  <si>
    <t>14_H6T8_12.txt</t>
  </si>
  <si>
    <t>14_H5T9_1.txt</t>
  </si>
  <si>
    <t>14_H5T9_2.txt</t>
  </si>
  <si>
    <t>14_H5T9_3.txt</t>
  </si>
  <si>
    <t>14_H5T9_4.txt</t>
  </si>
  <si>
    <t>14_H5T9_5.txt</t>
  </si>
  <si>
    <t>14_H5T9_6.txt</t>
  </si>
  <si>
    <t>14_H5T9_7.txt</t>
  </si>
  <si>
    <t>14_H5T9_8.txt</t>
  </si>
  <si>
    <t>14_H5T9_9.txt</t>
  </si>
  <si>
    <t>14_H4T10_1.txt</t>
  </si>
  <si>
    <t>14_H4T10_2.txt</t>
  </si>
  <si>
    <t>14_H4T10_3.txt</t>
  </si>
  <si>
    <t>14_H4T10_4.txt</t>
  </si>
  <si>
    <t>14_H4T10_5.txt</t>
  </si>
  <si>
    <t>14_H4T10_6.txt</t>
  </si>
  <si>
    <t>14_H3T11_1.txt</t>
  </si>
  <si>
    <t>14_H3T11_2.txt</t>
  </si>
  <si>
    <t>14_H3T11_3.txt</t>
  </si>
  <si>
    <t>14_H3T11_4.txt</t>
  </si>
  <si>
    <t>14_H2T12_1.txt</t>
  </si>
  <si>
    <t>14_H2T12_2.txt</t>
  </si>
  <si>
    <t>14_H2T12_3.txt</t>
  </si>
  <si>
    <t>14_H2T12_4.txt</t>
  </si>
  <si>
    <t>14_H1T13_1.txt</t>
  </si>
  <si>
    <t>14_H1T13_2.txt</t>
  </si>
  <si>
    <t>14_H0T14_1.txt</t>
  </si>
  <si>
    <t>11111121111111</t>
  </si>
  <si>
    <t>11111111111112</t>
  </si>
  <si>
    <t>11111111111212</t>
  </si>
  <si>
    <t>11111111111122</t>
  </si>
  <si>
    <t>21111111111112</t>
  </si>
  <si>
    <t>11111122111111</t>
  </si>
  <si>
    <t>12111121111121</t>
  </si>
  <si>
    <t>11111111111222</t>
  </si>
  <si>
    <t>11111122211111</t>
  </si>
  <si>
    <t>22111111111112</t>
  </si>
  <si>
    <t>21211111111221</t>
  </si>
  <si>
    <t>12221111211111</t>
  </si>
  <si>
    <t>11211121111221</t>
  </si>
  <si>
    <t>11111111112222</t>
  </si>
  <si>
    <t>11111222211111</t>
  </si>
  <si>
    <t>22111111111122</t>
  </si>
  <si>
    <t>12112121121211</t>
  </si>
  <si>
    <t>11122111121212</t>
  </si>
  <si>
    <t>11122121112211</t>
  </si>
  <si>
    <t>22111211121211</t>
  </si>
  <si>
    <t>11121212121112</t>
  </si>
  <si>
    <t>11122211121211</t>
  </si>
  <si>
    <t>11111111122222</t>
  </si>
  <si>
    <t>11111222221111</t>
  </si>
  <si>
    <t>22211111111122</t>
  </si>
  <si>
    <t>11211221211122</t>
  </si>
  <si>
    <t>11122122212111</t>
  </si>
  <si>
    <t>12112121221211</t>
  </si>
  <si>
    <t>22221121111121</t>
  </si>
  <si>
    <t>21111212221121</t>
  </si>
  <si>
    <t>12212112211211</t>
  </si>
  <si>
    <t>12222221111111</t>
  </si>
  <si>
    <t>12112112112221</t>
  </si>
  <si>
    <t>21111222111212</t>
  </si>
  <si>
    <t>11111111222222</t>
  </si>
  <si>
    <t>11112222221111</t>
  </si>
  <si>
    <t>22211111111222</t>
  </si>
  <si>
    <t>12112121121222</t>
  </si>
  <si>
    <t>22211112221121</t>
  </si>
  <si>
    <t>11212112122122</t>
  </si>
  <si>
    <t>21122121211221</t>
  </si>
  <si>
    <t>12211221122211</t>
  </si>
  <si>
    <t>21121112222121</t>
  </si>
  <si>
    <t>12212111221212</t>
  </si>
  <si>
    <t>21122222211111</t>
  </si>
  <si>
    <t>11222121221112</t>
  </si>
  <si>
    <t>21111222121212</t>
  </si>
  <si>
    <t>11111112222222</t>
  </si>
  <si>
    <t>11112222222111</t>
  </si>
  <si>
    <t>22221111111222</t>
  </si>
  <si>
    <t>22112212122211</t>
  </si>
  <si>
    <t>12221121121222</t>
  </si>
  <si>
    <t>11122222211212</t>
  </si>
  <si>
    <t>12111222212221</t>
  </si>
  <si>
    <t>11221112222221</t>
  </si>
  <si>
    <t>22111121222212</t>
  </si>
  <si>
    <t>12122221112122</t>
  </si>
  <si>
    <t>21121212121222</t>
  </si>
  <si>
    <t>22111211221222</t>
  </si>
  <si>
    <t>11111122222222</t>
  </si>
  <si>
    <t>11122222222111</t>
  </si>
  <si>
    <t>22221111112222</t>
  </si>
  <si>
    <t>12211222222121</t>
  </si>
  <si>
    <t>22112222112122</t>
  </si>
  <si>
    <t>12221122122221</t>
  </si>
  <si>
    <t>21122222212121</t>
  </si>
  <si>
    <t>12211221212222</t>
  </si>
  <si>
    <t>21222121222121</t>
  </si>
  <si>
    <t>11111222222222</t>
  </si>
  <si>
    <t>11222222222111</t>
  </si>
  <si>
    <t>22222111112222</t>
  </si>
  <si>
    <t>12222121222122</t>
  </si>
  <si>
    <t>21212222112222</t>
  </si>
  <si>
    <t>12122122221222</t>
  </si>
  <si>
    <t>11112222222222</t>
  </si>
  <si>
    <t>11222222222211</t>
  </si>
  <si>
    <t>22222111122222</t>
  </si>
  <si>
    <t>22212122221222</t>
  </si>
  <si>
    <t>11122222222222</t>
  </si>
  <si>
    <t>12222222222211</t>
  </si>
  <si>
    <t>22222211122222</t>
  </si>
  <si>
    <t>22221222222122</t>
  </si>
  <si>
    <t>11222222222222</t>
  </si>
  <si>
    <t>12222222222221</t>
  </si>
  <si>
    <t>22222211222222</t>
  </si>
  <si>
    <t>12222222222222</t>
  </si>
  <si>
    <t>22222212222222</t>
  </si>
  <si>
    <t>24_H24T0_1.txt</t>
  </si>
  <si>
    <t>111111111111111111111111</t>
  </si>
  <si>
    <t>24_H23T1_1.txt</t>
  </si>
  <si>
    <t>111111111111111111111112</t>
  </si>
  <si>
    <t>24_H23T1_2.txt</t>
  </si>
  <si>
    <t>111111111112111111111111</t>
  </si>
  <si>
    <t>24_H22T2_1.txt</t>
  </si>
  <si>
    <t>111111111111111111111122</t>
  </si>
  <si>
    <t>24_H22T2_2.txt</t>
  </si>
  <si>
    <t>111111111112211111111111</t>
  </si>
  <si>
    <t>24_H22T2_3.txt</t>
  </si>
  <si>
    <t>211111111111111111111112</t>
  </si>
  <si>
    <t>24_H22T2_4.txt</t>
  </si>
  <si>
    <t>111121111111121111111111</t>
  </si>
  <si>
    <t>24_H21T3_1.txt</t>
  </si>
  <si>
    <t>111111111111111111111222</t>
  </si>
  <si>
    <t>24_H21T3_2.txt</t>
  </si>
  <si>
    <t>111111111122211111111111</t>
  </si>
  <si>
    <t>24_H21T3_3.txt</t>
  </si>
  <si>
    <t>211111111111111111111122</t>
  </si>
  <si>
    <t>24_H21T3_4.txt</t>
  </si>
  <si>
    <t>121111111211111112111111</t>
  </si>
  <si>
    <t>24_H20T4_1.txt</t>
  </si>
  <si>
    <t>111111111111111111112222</t>
  </si>
  <si>
    <t>24_H20T4_2.txt</t>
  </si>
  <si>
    <t>111111111122221111111111</t>
  </si>
  <si>
    <t>24_H20T4_3.txt</t>
  </si>
  <si>
    <t>221111111111111111111122</t>
  </si>
  <si>
    <t>24_H20T4_4.txt</t>
  </si>
  <si>
    <t>211111112211111112111111</t>
  </si>
  <si>
    <t>24_H19T5_1.txt</t>
  </si>
  <si>
    <t>111111111111111111122222</t>
  </si>
  <si>
    <t>24_H19T5_2.txt</t>
  </si>
  <si>
    <t>111111111222221111111111</t>
  </si>
  <si>
    <t>24_H19T5_3.txt</t>
  </si>
  <si>
    <t>221111111111111111111222</t>
  </si>
  <si>
    <t>24_H19T5_4.txt</t>
  </si>
  <si>
    <t>121211111111121111211112</t>
  </si>
  <si>
    <t>24_H18T6_1.txt</t>
  </si>
  <si>
    <t>111111111111111111222222</t>
  </si>
  <si>
    <t>24_H18T6_2.txt</t>
  </si>
  <si>
    <t>111111111222222111111111</t>
  </si>
  <si>
    <t>24_H18T6_3.txt</t>
  </si>
  <si>
    <t>222111111111111111111222</t>
  </si>
  <si>
    <t>24_H18T6_4.txt</t>
  </si>
  <si>
    <t>121112211111112211111112</t>
  </si>
  <si>
    <t>24_H17T7_1.txt</t>
  </si>
  <si>
    <t>111111111111111112222222</t>
  </si>
  <si>
    <t>24_H17T7_2.txt</t>
  </si>
  <si>
    <t>111111112222222111111111</t>
  </si>
  <si>
    <t>24_H17T7_3.txt</t>
  </si>
  <si>
    <t>222111111111111111112222</t>
  </si>
  <si>
    <t>24_H17T7_4.txt</t>
  </si>
  <si>
    <t>111111222112211112111112</t>
  </si>
  <si>
    <t>24_H16T8_1.txt</t>
  </si>
  <si>
    <t>111111111111111122222222</t>
  </si>
  <si>
    <t>24_H16T8_2.txt</t>
  </si>
  <si>
    <t>111111112222222211111111</t>
  </si>
  <si>
    <t>24_H16T8_3.txt</t>
  </si>
  <si>
    <t>222211111111111111112222</t>
  </si>
  <si>
    <t>24_H16T8_4.txt</t>
  </si>
  <si>
    <t>111112221122122121111111</t>
  </si>
  <si>
    <t>24_H15T9_1.txt</t>
  </si>
  <si>
    <t>111111111111111222222222</t>
  </si>
  <si>
    <t>24_H15T9_2.txt</t>
  </si>
  <si>
    <t>111111122222222211111111</t>
  </si>
  <si>
    <t>24_H15T9_3.txt</t>
  </si>
  <si>
    <t>222211111111111111122222</t>
  </si>
  <si>
    <t>24_H15T9_4.txt</t>
  </si>
  <si>
    <t>121121112111221212112121</t>
  </si>
  <si>
    <t>24_H14T10_1.txt</t>
  </si>
  <si>
    <t>111111111111112222222222</t>
  </si>
  <si>
    <t>24_H14T10_2.txt</t>
  </si>
  <si>
    <t>111111122222222221111111</t>
  </si>
  <si>
    <t>24_H14T10_3.txt</t>
  </si>
  <si>
    <t>222221111111111111122222</t>
  </si>
  <si>
    <t>24_H14T10_4.txt</t>
  </si>
  <si>
    <t>222121121211122221111111</t>
  </si>
  <si>
    <t>24_H14T10_5.txt</t>
  </si>
  <si>
    <t>211121222111221121112211</t>
  </si>
  <si>
    <t>24_H14T10_6.txt</t>
  </si>
  <si>
    <t>222221111221221111111112</t>
  </si>
  <si>
    <t>24_H13T11_1.txt</t>
  </si>
  <si>
    <t>111111111111122222222222</t>
  </si>
  <si>
    <t>24_H13T11_2.txt</t>
  </si>
  <si>
    <t>111111222222222221111111</t>
  </si>
  <si>
    <t>24_H13T11_3.txt</t>
  </si>
  <si>
    <t>222221111111111111222222</t>
  </si>
  <si>
    <t>24_H13T11_4.txt</t>
  </si>
  <si>
    <t>121112112211111122122222</t>
  </si>
  <si>
    <t>24_H13T11_5.txt</t>
  </si>
  <si>
    <t>211121121111222121121222</t>
  </si>
  <si>
    <t>24_H13T11_6.txt</t>
  </si>
  <si>
    <t>221111112112222212121121</t>
  </si>
  <si>
    <t>24_H13T11_7.txt</t>
  </si>
  <si>
    <t>112111222111212221212112</t>
  </si>
  <si>
    <t>24_H12T12_1.txt</t>
  </si>
  <si>
    <t>111111111111222222222222</t>
  </si>
  <si>
    <t>24_H12T12_2.txt</t>
  </si>
  <si>
    <t>111111222222222222111111</t>
  </si>
  <si>
    <t>24_H12T12_3.txt</t>
  </si>
  <si>
    <t>222222111111111111222222</t>
  </si>
  <si>
    <t>24_H12T12_4.txt</t>
  </si>
  <si>
    <t>212121111222111221122212</t>
  </si>
  <si>
    <t>24_H12T12_5.txt</t>
  </si>
  <si>
    <t>122211221221212112112211</t>
  </si>
  <si>
    <t>24_H12T12_6.txt</t>
  </si>
  <si>
    <t>121112221122211122211221</t>
  </si>
  <si>
    <t>24_H12T12_7.txt</t>
  </si>
  <si>
    <t>121111121222221211212221</t>
  </si>
  <si>
    <t>24_H12T12_8.txt</t>
  </si>
  <si>
    <t>222222111212121211211211</t>
  </si>
  <si>
    <t>24_H11T13_1.txt</t>
  </si>
  <si>
    <t>111111111112222222222222</t>
  </si>
  <si>
    <t>24_H11T13_2.txt</t>
  </si>
  <si>
    <t>111112222222222222111111</t>
  </si>
  <si>
    <t>24_H11T13_3.txt</t>
  </si>
  <si>
    <t>222222111111111112222222</t>
  </si>
  <si>
    <t>24_H11T13_4.txt</t>
  </si>
  <si>
    <t>222212221211121111221212</t>
  </si>
  <si>
    <t>24_H11T13_5.txt</t>
  </si>
  <si>
    <t>121221212121211221211222</t>
  </si>
  <si>
    <t>24_H11T13_6.txt</t>
  </si>
  <si>
    <t>122222122211111121212221</t>
  </si>
  <si>
    <t>24_H11T13_7.txt</t>
  </si>
  <si>
    <t>111222211211222122112122</t>
  </si>
  <si>
    <t>24_H10T14_1.txt</t>
  </si>
  <si>
    <t>111111111122222222222222</t>
  </si>
  <si>
    <t>24_H10T14_2.txt</t>
  </si>
  <si>
    <t>111112222222222222211111</t>
  </si>
  <si>
    <t>24_H10T14_3.txt</t>
  </si>
  <si>
    <t>222222211111111112222222</t>
  </si>
  <si>
    <t>24_H10T14_4.txt</t>
  </si>
  <si>
    <t>122222211221112221112212</t>
  </si>
  <si>
    <t>24_H10T14_5.txt</t>
  </si>
  <si>
    <t>122111121222222122121122</t>
  </si>
  <si>
    <t>24_H10T14_6.txt</t>
  </si>
  <si>
    <t>112111222212221221221221</t>
  </si>
  <si>
    <t>24_H9T15_1.txt</t>
  </si>
  <si>
    <t>111111111222222222222222</t>
  </si>
  <si>
    <t>24_H9T15_2.txt</t>
  </si>
  <si>
    <t>111122222222222222211111</t>
  </si>
  <si>
    <t>24_H9T15_3.txt</t>
  </si>
  <si>
    <t>222222211111111122222222</t>
  </si>
  <si>
    <t>24_H9T15_4.txt</t>
  </si>
  <si>
    <t>212112122212221222211221</t>
  </si>
  <si>
    <t>24_H8T16_1.txt</t>
  </si>
  <si>
    <t>111111112222222222222222</t>
  </si>
  <si>
    <t>24_H8T16_2.txt</t>
  </si>
  <si>
    <t>111122222222222222221111</t>
  </si>
  <si>
    <t>24_H8T16_3.txt</t>
  </si>
  <si>
    <t>222222221111111122222222</t>
  </si>
  <si>
    <t>24_H8T16_4.txt</t>
  </si>
  <si>
    <t>212222112211212122212222</t>
  </si>
  <si>
    <t>24_H7T17_1.txt</t>
  </si>
  <si>
    <t>111111122222222222222222</t>
  </si>
  <si>
    <t>24_H7T17_2.txt</t>
  </si>
  <si>
    <t>111222222222222222221111</t>
  </si>
  <si>
    <t>24_H7T17_3.txt</t>
  </si>
  <si>
    <t>222222221111111222222222</t>
  </si>
  <si>
    <t>24_H7T17_4.txt</t>
  </si>
  <si>
    <t>122122122222121222122122</t>
  </si>
  <si>
    <t>24_H6T18_1.txt</t>
  </si>
  <si>
    <t>111111222222222222222222</t>
  </si>
  <si>
    <t>24_H6T18_2.txt</t>
  </si>
  <si>
    <t>111222222222222222222111</t>
  </si>
  <si>
    <t>24_H6T18_3.txt</t>
  </si>
  <si>
    <t>222222222111111222222222</t>
  </si>
  <si>
    <t>24_H6T18_4.txt</t>
  </si>
  <si>
    <t>222221222122122222122112</t>
  </si>
  <si>
    <t>24_H5T19_1.txt</t>
  </si>
  <si>
    <t>111112222222222222222222</t>
  </si>
  <si>
    <t>24_H5T19_2.txt</t>
  </si>
  <si>
    <t>112222222222222222222111</t>
  </si>
  <si>
    <t>24_H5T19_3.txt</t>
  </si>
  <si>
    <t>222222222111112222222222</t>
  </si>
  <si>
    <t>24_H5T19_4.txt</t>
  </si>
  <si>
    <t>212222222212221222212122</t>
  </si>
  <si>
    <t>24_H4T20_1.txt</t>
  </si>
  <si>
    <t>111122222222222222222222</t>
  </si>
  <si>
    <t>24_H4T20_2.txt</t>
  </si>
  <si>
    <t>112222222222222222222211</t>
  </si>
  <si>
    <t>24_H4T20_3.txt</t>
  </si>
  <si>
    <t>222222222211112222222222</t>
  </si>
  <si>
    <t>24_H4T20_4.txt</t>
  </si>
  <si>
    <t>222222222221222221122221</t>
  </si>
  <si>
    <t>24_H3T21_1.txt</t>
  </si>
  <si>
    <t>111222222222222222222222</t>
  </si>
  <si>
    <t>24_H3T21_2.txt</t>
  </si>
  <si>
    <t>122222222222222222222211</t>
  </si>
  <si>
    <t>24_H3T21_3.txt</t>
  </si>
  <si>
    <t>222222222211122222222222</t>
  </si>
  <si>
    <t>24_H3T21_4.txt</t>
  </si>
  <si>
    <t>222222222222221222221212</t>
  </si>
  <si>
    <t>24_H2T22_1.txt</t>
  </si>
  <si>
    <t>112222222222222222222222</t>
  </si>
  <si>
    <t>24_H2T22_2.txt</t>
  </si>
  <si>
    <t>122222222222222222222221</t>
  </si>
  <si>
    <t>24_H2T22_3.txt</t>
  </si>
  <si>
    <t>222222222221122222222222</t>
  </si>
  <si>
    <t>24_H2T22_4.txt</t>
  </si>
  <si>
    <t>222122222222222222212222</t>
  </si>
  <si>
    <t>24_H1T23_1.txt</t>
  </si>
  <si>
    <t>122222222222222222222222</t>
  </si>
  <si>
    <t>24_H1T23_2.txt</t>
  </si>
  <si>
    <t>222222222221222222222222</t>
  </si>
  <si>
    <t>24_H0T24_1.txt</t>
  </si>
  <si>
    <t>222222222222222222222222</t>
  </si>
  <si>
    <t>111111111111111111</t>
  </si>
  <si>
    <t>222222222222222222</t>
  </si>
  <si>
    <t>11111111111111</t>
  </si>
  <si>
    <t>22222222222222</t>
  </si>
  <si>
    <t> T </t>
  </si>
  <si>
    <t>± </t>
  </si>
  <si>
    <t>T err</t>
  </si>
  <si>
    <t>φ err</t>
  </si>
  <si>
    <t>seq_1</t>
  </si>
  <si>
    <t>111111111111111111111111111111111111111111222222</t>
  </si>
  <si>
    <t> 4.2938</t>
  </si>
  <si>
    <t>0.0004 </t>
  </si>
  <si>
    <t>seq_2</t>
  </si>
  <si>
    <t>111111111111111111111111111111111111222222111111</t>
  </si>
  <si>
    <t>0.0001 </t>
  </si>
  <si>
    <t>seq_3</t>
  </si>
  <si>
    <t>111111111111111111111111111111222222111111111111</t>
  </si>
  <si>
    <t>seq_4</t>
  </si>
  <si>
    <t>111111111111111111111111222222111111111111111111</t>
  </si>
  <si>
    <t>0.0000 </t>
  </si>
  <si>
    <t>222222222222222222222222222222222222222222111111</t>
  </si>
  <si>
    <t>222222222222222222222222222222222222111111222222</t>
  </si>
  <si>
    <t>222222222222222222222222222222111111222222222222</t>
  </si>
  <si>
    <t>0.0002 </t>
  </si>
  <si>
    <t>222222222222222222222222111111222222222222222222</t>
  </si>
  <si>
    <t>111111111111111111111111111111111111111111111111111111111111111111111111111111111111222222222222</t>
  </si>
  <si>
    <t>111111111111111111111111111111111111111111111111111111111111111111111111222222222222111111111111</t>
  </si>
  <si>
    <t>111111111111111111111111111111111111111111111111111111111111222222222222111111111111111111111111</t>
  </si>
  <si>
    <t>111111111111111111111111111111111111111111111111222222222222111111111111111111111111111111111111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</si>
</sst>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</font>
    <font>
      <b/>
      <sz val="12"/>
      <color rgb="FF000000"/>
      <name val="Aptos Narrow"/>
    </font>
    <font>
      <b/>
      <sz val="12"/>
      <name val="Aptos Narrow"/>
    </font>
    <font>
      <sz val="12"/>
      <color theme="1"/>
      <name val="Aptos Narrow"/>
    </font>
    <font>
      <sz val="12"/>
      <name val="Aptos Narrow"/>
    </font>
    <font>
      <b/>
      <sz val="12"/>
      <color theme="1"/>
      <name val="Aptos Narrow"/>
    </font>
    <font>
      <b/>
      <sz val="12"/>
      <color rgb="FF000000"/>
      <name val="Calibri"/>
      <family val="2"/>
      <scheme val="minor"/>
    </font>
    <font>
      <b/>
      <sz val="12"/>
      <color rgb="FF000000"/>
      <name val="Menlo"/>
      <family val="2"/>
    </font>
    <font>
      <sz val="12"/>
      <color rgb="FF000000"/>
      <name val="Calibri"/>
      <family val="2"/>
      <scheme val="minor"/>
    </font>
    <font>
      <sz val="12"/>
      <color rgb="FF000000"/>
      <name val="Aptos"/>
    </font>
    <font>
      <sz val="12"/>
      <color rgb="FF000000"/>
      <name val="Aptos Display"/>
      <charset val="1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BEDFB"/>
        <bgColor rgb="FF000000"/>
      </patternFill>
    </fill>
    <fill>
      <patternFill patternType="solid">
        <fgColor rgb="FFCBEDFB"/>
        <bgColor indexed="64"/>
      </patternFill>
    </fill>
  </fills>
  <borders count="18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8">
    <xf numFmtId="0" fontId="0" fillId="0" borderId="0" xfId="0"/>
    <xf numFmtId="164" fontId="2" fillId="5" borderId="1" xfId="0" applyNumberFormat="1" applyFont="1" applyFill="1" applyBorder="1"/>
    <xf numFmtId="164" fontId="2" fillId="4" borderId="2" xfId="0" applyNumberFormat="1" applyFont="1" applyFill="1" applyBorder="1"/>
    <xf numFmtId="0" fontId="4" fillId="0" borderId="0" xfId="0" applyFont="1" applyAlignment="1">
      <alignment horizontal="center" vertical="top"/>
    </xf>
    <xf numFmtId="0" fontId="5" fillId="0" borderId="0" xfId="0" applyFont="1"/>
    <xf numFmtId="0" fontId="5" fillId="5" borderId="1" xfId="0" applyFont="1" applyFill="1" applyBorder="1"/>
    <xf numFmtId="0" fontId="5" fillId="2" borderId="1" xfId="0" applyFont="1" applyFill="1" applyBorder="1"/>
    <xf numFmtId="0" fontId="5" fillId="0" borderId="1" xfId="0" applyFont="1" applyBorder="1"/>
    <xf numFmtId="164" fontId="5" fillId="2" borderId="1" xfId="0" applyNumberFormat="1" applyFont="1" applyFill="1" applyBorder="1"/>
    <xf numFmtId="0" fontId="5" fillId="4" borderId="2" xfId="0" applyFont="1" applyFill="1" applyBorder="1"/>
    <xf numFmtId="0" fontId="5" fillId="0" borderId="2" xfId="0" applyFont="1" applyBorder="1"/>
    <xf numFmtId="164" fontId="5" fillId="4" borderId="2" xfId="0" applyNumberFormat="1" applyFont="1" applyFill="1" applyBorder="1"/>
    <xf numFmtId="164" fontId="5" fillId="5" borderId="1" xfId="0" applyNumberFormat="1" applyFont="1" applyFill="1" applyBorder="1"/>
    <xf numFmtId="164" fontId="5" fillId="0" borderId="2" xfId="0" applyNumberFormat="1" applyFont="1" applyBorder="1"/>
    <xf numFmtId="0" fontId="5" fillId="6" borderId="2" xfId="0" applyFont="1" applyFill="1" applyBorder="1"/>
    <xf numFmtId="164" fontId="5" fillId="6" borderId="2" xfId="0" applyNumberFormat="1" applyFont="1" applyFill="1" applyBorder="1"/>
    <xf numFmtId="0" fontId="5" fillId="7" borderId="1" xfId="0" applyFont="1" applyFill="1" applyBorder="1"/>
    <xf numFmtId="0" fontId="6" fillId="2" borderId="3" xfId="0" applyFont="1" applyFill="1" applyBorder="1"/>
    <xf numFmtId="0" fontId="5" fillId="0" borderId="4" xfId="0" applyFont="1" applyBorder="1"/>
    <xf numFmtId="0" fontId="5" fillId="5" borderId="5" xfId="0" applyFont="1" applyFill="1" applyBorder="1"/>
    <xf numFmtId="0" fontId="5" fillId="5" borderId="0" xfId="0" applyFont="1" applyFill="1"/>
    <xf numFmtId="164" fontId="5" fillId="5" borderId="0" xfId="0" applyNumberFormat="1" applyFont="1" applyFill="1"/>
    <xf numFmtId="0" fontId="5" fillId="0" borderId="6" xfId="0" applyFont="1" applyBorder="1"/>
    <xf numFmtId="0" fontId="5" fillId="0" borderId="5" xfId="0" applyFont="1" applyBorder="1"/>
    <xf numFmtId="164" fontId="5" fillId="0" borderId="0" xfId="0" applyNumberFormat="1" applyFont="1"/>
    <xf numFmtId="0" fontId="5" fillId="4" borderId="7" xfId="0" applyFont="1" applyFill="1" applyBorder="1"/>
    <xf numFmtId="0" fontId="5" fillId="0" borderId="8" xfId="0" applyFont="1" applyBorder="1"/>
    <xf numFmtId="0" fontId="5" fillId="5" borderId="3" xfId="0" applyFont="1" applyFill="1" applyBorder="1"/>
    <xf numFmtId="0" fontId="5" fillId="4" borderId="5" xfId="0" applyFont="1" applyFill="1" applyBorder="1"/>
    <xf numFmtId="0" fontId="5" fillId="4" borderId="0" xfId="0" applyFont="1" applyFill="1"/>
    <xf numFmtId="164" fontId="5" fillId="4" borderId="0" xfId="0" applyNumberFormat="1" applyFont="1" applyFill="1"/>
    <xf numFmtId="164" fontId="2" fillId="5" borderId="0" xfId="0" applyNumberFormat="1" applyFont="1" applyFill="1"/>
    <xf numFmtId="164" fontId="2" fillId="4" borderId="0" xfId="0" applyNumberFormat="1" applyFont="1" applyFill="1"/>
    <xf numFmtId="0" fontId="5" fillId="6" borderId="5" xfId="0" applyFont="1" applyFill="1" applyBorder="1"/>
    <xf numFmtId="0" fontId="5" fillId="6" borderId="0" xfId="0" applyFont="1" applyFill="1"/>
    <xf numFmtId="0" fontId="2" fillId="6" borderId="0" xfId="0" applyFont="1" applyFill="1" applyAlignment="1">
      <alignment horizontal="right"/>
    </xf>
    <xf numFmtId="164" fontId="2" fillId="0" borderId="0" xfId="0" applyNumberFormat="1" applyFont="1"/>
    <xf numFmtId="0" fontId="5" fillId="0" borderId="7" xfId="0" applyFont="1" applyBorder="1"/>
    <xf numFmtId="0" fontId="2" fillId="6" borderId="0" xfId="0" applyFont="1" applyFill="1"/>
    <xf numFmtId="0" fontId="2" fillId="0" borderId="0" xfId="0" applyFont="1"/>
    <xf numFmtId="164" fontId="5" fillId="6" borderId="0" xfId="0" applyNumberFormat="1" applyFont="1" applyFill="1"/>
    <xf numFmtId="0" fontId="2" fillId="4" borderId="0" xfId="0" applyFont="1" applyFill="1"/>
    <xf numFmtId="0" fontId="2" fillId="5" borderId="0" xfId="0" applyFont="1" applyFill="1"/>
    <xf numFmtId="164" fontId="2" fillId="6" borderId="0" xfId="0" applyNumberFormat="1" applyFont="1" applyFill="1"/>
    <xf numFmtId="0" fontId="5" fillId="3" borderId="5" xfId="0" applyFont="1" applyFill="1" applyBorder="1"/>
    <xf numFmtId="0" fontId="5" fillId="3" borderId="0" xfId="0" applyFont="1" applyFill="1"/>
    <xf numFmtId="164" fontId="5" fillId="3" borderId="0" xfId="0" applyNumberFormat="1" applyFont="1" applyFill="1"/>
    <xf numFmtId="164" fontId="2" fillId="3" borderId="0" xfId="0" applyNumberFormat="1" applyFont="1" applyFill="1"/>
    <xf numFmtId="0" fontId="2" fillId="3" borderId="0" xfId="0" applyFont="1" applyFill="1"/>
    <xf numFmtId="0" fontId="2" fillId="6" borderId="5" xfId="0" applyFont="1" applyFill="1" applyBorder="1"/>
    <xf numFmtId="0" fontId="5" fillId="6" borderId="7" xfId="0" applyFont="1" applyFill="1" applyBorder="1"/>
    <xf numFmtId="0" fontId="5" fillId="2" borderId="3" xfId="0" applyFont="1" applyFill="1" applyBorder="1"/>
    <xf numFmtId="0" fontId="5" fillId="7" borderId="5" xfId="0" applyFont="1" applyFill="1" applyBorder="1"/>
    <xf numFmtId="0" fontId="5" fillId="7" borderId="0" xfId="0" applyFont="1" applyFill="1"/>
    <xf numFmtId="0" fontId="5" fillId="7" borderId="9" xfId="0" applyFont="1" applyFill="1" applyBorder="1"/>
    <xf numFmtId="0" fontId="5" fillId="7" borderId="10" xfId="0" applyFont="1" applyFill="1" applyBorder="1"/>
    <xf numFmtId="0" fontId="5" fillId="0" borderId="10" xfId="0" applyFont="1" applyBorder="1"/>
    <xf numFmtId="0" fontId="5" fillId="0" borderId="11" xfId="0" applyFont="1" applyBorder="1"/>
    <xf numFmtId="164" fontId="2" fillId="0" borderId="2" xfId="0" applyNumberFormat="1" applyFont="1" applyBorder="1"/>
    <xf numFmtId="164" fontId="2" fillId="6" borderId="2" xfId="0" applyNumberFormat="1" applyFont="1" applyFill="1" applyBorder="1"/>
    <xf numFmtId="1" fontId="2" fillId="4" borderId="2" xfId="0" applyNumberFormat="1" applyFont="1" applyFill="1" applyBorder="1"/>
    <xf numFmtId="2" fontId="2" fillId="4" borderId="2" xfId="0" applyNumberFormat="1" applyFont="1" applyFill="1" applyBorder="1"/>
    <xf numFmtId="1" fontId="2" fillId="5" borderId="1" xfId="0" applyNumberFormat="1" applyFont="1" applyFill="1" applyBorder="1"/>
    <xf numFmtId="2" fontId="2" fillId="5" borderId="1" xfId="0" applyNumberFormat="1" applyFont="1" applyFill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" fontId="2" fillId="3" borderId="1" xfId="0" applyNumberFormat="1" applyFont="1" applyFill="1" applyBorder="1"/>
    <xf numFmtId="1" fontId="5" fillId="2" borderId="1" xfId="0" applyNumberFormat="1" applyFont="1" applyFill="1" applyBorder="1"/>
    <xf numFmtId="2" fontId="5" fillId="2" borderId="1" xfId="0" applyNumberFormat="1" applyFont="1" applyFill="1" applyBorder="1"/>
    <xf numFmtId="1" fontId="5" fillId="0" borderId="1" xfId="0" applyNumberFormat="1" applyFont="1" applyBorder="1"/>
    <xf numFmtId="1" fontId="5" fillId="4" borderId="2" xfId="0" applyNumberFormat="1" applyFont="1" applyFill="1" applyBorder="1"/>
    <xf numFmtId="2" fontId="5" fillId="4" borderId="2" xfId="0" applyNumberFormat="1" applyFont="1" applyFill="1" applyBorder="1"/>
    <xf numFmtId="1" fontId="5" fillId="0" borderId="2" xfId="0" applyNumberFormat="1" applyFont="1" applyBorder="1"/>
    <xf numFmtId="1" fontId="5" fillId="5" borderId="1" xfId="0" applyNumberFormat="1" applyFont="1" applyFill="1" applyBorder="1"/>
    <xf numFmtId="2" fontId="5" fillId="5" borderId="1" xfId="0" applyNumberFormat="1" applyFont="1" applyFill="1" applyBorder="1"/>
    <xf numFmtId="2" fontId="5" fillId="0" borderId="2" xfId="0" applyNumberFormat="1" applyFont="1" applyBorder="1"/>
    <xf numFmtId="1" fontId="5" fillId="3" borderId="1" xfId="0" applyNumberFormat="1" applyFont="1" applyFill="1" applyBorder="1"/>
    <xf numFmtId="2" fontId="5" fillId="3" borderId="1" xfId="0" applyNumberFormat="1" applyFont="1" applyFill="1" applyBorder="1"/>
    <xf numFmtId="1" fontId="5" fillId="6" borderId="2" xfId="0" applyNumberFormat="1" applyFont="1" applyFill="1" applyBorder="1"/>
    <xf numFmtId="2" fontId="5" fillId="6" borderId="2" xfId="0" applyNumberFormat="1" applyFont="1" applyFill="1" applyBorder="1"/>
    <xf numFmtId="1" fontId="5" fillId="5" borderId="0" xfId="0" applyNumberFormat="1" applyFont="1" applyFill="1"/>
    <xf numFmtId="2" fontId="5" fillId="5" borderId="0" xfId="0" applyNumberFormat="1" applyFont="1" applyFill="1"/>
    <xf numFmtId="1" fontId="5" fillId="0" borderId="0" xfId="0" applyNumberFormat="1" applyFont="1"/>
    <xf numFmtId="2" fontId="5" fillId="0" borderId="0" xfId="0" applyNumberFormat="1" applyFont="1"/>
    <xf numFmtId="1" fontId="5" fillId="4" borderId="0" xfId="0" applyNumberFormat="1" applyFont="1" applyFill="1"/>
    <xf numFmtId="2" fontId="5" fillId="4" borderId="0" xfId="0" applyNumberFormat="1" applyFont="1" applyFill="1"/>
    <xf numFmtId="0" fontId="2" fillId="5" borderId="5" xfId="0" applyFont="1" applyFill="1" applyBorder="1"/>
    <xf numFmtId="1" fontId="2" fillId="5" borderId="0" xfId="0" applyNumberFormat="1" applyFont="1" applyFill="1"/>
    <xf numFmtId="2" fontId="2" fillId="5" borderId="0" xfId="0" applyNumberFormat="1" applyFont="1" applyFill="1"/>
    <xf numFmtId="0" fontId="2" fillId="0" borderId="5" xfId="0" applyFont="1" applyBorder="1"/>
    <xf numFmtId="1" fontId="2" fillId="0" borderId="0" xfId="0" applyNumberFormat="1" applyFont="1"/>
    <xf numFmtId="2" fontId="2" fillId="0" borderId="0" xfId="0" applyNumberFormat="1" applyFont="1"/>
    <xf numFmtId="0" fontId="2" fillId="4" borderId="5" xfId="0" applyFont="1" applyFill="1" applyBorder="1"/>
    <xf numFmtId="1" fontId="2" fillId="4" borderId="0" xfId="0" applyNumberFormat="1" applyFont="1" applyFill="1"/>
    <xf numFmtId="2" fontId="2" fillId="4" borderId="0" xfId="0" applyNumberFormat="1" applyFont="1" applyFill="1"/>
    <xf numFmtId="0" fontId="2" fillId="0" borderId="7" xfId="0" applyFont="1" applyBorder="1"/>
    <xf numFmtId="164" fontId="2" fillId="4" borderId="0" xfId="0" applyNumberFormat="1" applyFont="1" applyFill="1" applyAlignment="1">
      <alignment horizontal="right"/>
    </xf>
    <xf numFmtId="1" fontId="5" fillId="6" borderId="0" xfId="0" applyNumberFormat="1" applyFont="1" applyFill="1"/>
    <xf numFmtId="2" fontId="5" fillId="6" borderId="0" xfId="0" applyNumberFormat="1" applyFont="1" applyFill="1"/>
    <xf numFmtId="165" fontId="5" fillId="0" borderId="0" xfId="0" applyNumberFormat="1" applyFont="1"/>
    <xf numFmtId="1" fontId="2" fillId="6" borderId="0" xfId="0" applyNumberFormat="1" applyFont="1" applyFill="1"/>
    <xf numFmtId="0" fontId="2" fillId="4" borderId="7" xfId="0" applyFont="1" applyFill="1" applyBorder="1"/>
    <xf numFmtId="0" fontId="5" fillId="3" borderId="3" xfId="0" applyFont="1" applyFill="1" applyBorder="1"/>
    <xf numFmtId="1" fontId="5" fillId="3" borderId="0" xfId="0" applyNumberFormat="1" applyFont="1" applyFill="1"/>
    <xf numFmtId="2" fontId="5" fillId="3" borderId="0" xfId="0" applyNumberFormat="1" applyFont="1" applyFill="1"/>
    <xf numFmtId="0" fontId="2" fillId="3" borderId="1" xfId="0" applyFont="1" applyFill="1" applyBorder="1"/>
    <xf numFmtId="0" fontId="2" fillId="0" borderId="2" xfId="0" applyFont="1" applyBorder="1"/>
    <xf numFmtId="0" fontId="2" fillId="4" borderId="2" xfId="0" applyFont="1" applyFill="1" applyBorder="1"/>
    <xf numFmtId="0" fontId="1" fillId="0" borderId="0" xfId="0" applyFont="1" applyAlignment="1">
      <alignment horizontal="center" vertical="top"/>
    </xf>
    <xf numFmtId="0" fontId="5" fillId="2" borderId="5" xfId="0" applyFont="1" applyFill="1" applyBorder="1"/>
    <xf numFmtId="1" fontId="5" fillId="2" borderId="0" xfId="0" applyNumberFormat="1" applyFont="1" applyFill="1"/>
    <xf numFmtId="2" fontId="5" fillId="2" borderId="0" xfId="0" applyNumberFormat="1" applyFont="1" applyFill="1"/>
    <xf numFmtId="164" fontId="5" fillId="2" borderId="0" xfId="0" applyNumberFormat="1" applyFont="1" applyFill="1"/>
    <xf numFmtId="0" fontId="5" fillId="2" borderId="0" xfId="0" applyFont="1" applyFill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/>
    <xf numFmtId="0" fontId="2" fillId="0" borderId="13" xfId="0" applyFont="1" applyBorder="1"/>
    <xf numFmtId="49" fontId="5" fillId="5" borderId="1" xfId="0" applyNumberFormat="1" applyFont="1" applyFill="1" applyBorder="1"/>
    <xf numFmtId="0" fontId="5" fillId="3" borderId="1" xfId="0" applyFont="1" applyFill="1" applyBorder="1"/>
    <xf numFmtId="49" fontId="5" fillId="4" borderId="2" xfId="0" applyNumberFormat="1" applyFont="1" applyFill="1" applyBorder="1"/>
    <xf numFmtId="49" fontId="5" fillId="0" borderId="2" xfId="0" applyNumberFormat="1" applyFont="1" applyBorder="1"/>
    <xf numFmtId="49" fontId="5" fillId="3" borderId="2" xfId="0" applyNumberFormat="1" applyFont="1" applyFill="1" applyBorder="1"/>
    <xf numFmtId="0" fontId="5" fillId="3" borderId="2" xfId="0" applyFont="1" applyFill="1" applyBorder="1"/>
    <xf numFmtId="2" fontId="5" fillId="3" borderId="2" xfId="0" applyNumberFormat="1" applyFont="1" applyFill="1" applyBorder="1"/>
    <xf numFmtId="0" fontId="2" fillId="8" borderId="1" xfId="0" applyFont="1" applyFill="1" applyBorder="1"/>
    <xf numFmtId="49" fontId="5" fillId="3" borderId="1" xfId="0" applyNumberFormat="1" applyFont="1" applyFill="1" applyBorder="1"/>
    <xf numFmtId="49" fontId="5" fillId="6" borderId="2" xfId="0" applyNumberFormat="1" applyFont="1" applyFill="1" applyBorder="1"/>
    <xf numFmtId="2" fontId="5" fillId="5" borderId="2" xfId="0" applyNumberFormat="1" applyFont="1" applyFill="1" applyBorder="1"/>
    <xf numFmtId="49" fontId="5" fillId="0" borderId="0" xfId="0" applyNumberFormat="1" applyFont="1"/>
    <xf numFmtId="49" fontId="5" fillId="4" borderId="0" xfId="0" applyNumberFormat="1" applyFont="1" applyFill="1"/>
    <xf numFmtId="49" fontId="5" fillId="5" borderId="0" xfId="0" applyNumberFormat="1" applyFont="1" applyFill="1"/>
    <xf numFmtId="49" fontId="5" fillId="3" borderId="0" xfId="0" applyNumberFormat="1" applyFont="1" applyFill="1"/>
    <xf numFmtId="0" fontId="2" fillId="3" borderId="5" xfId="0" applyFont="1" applyFill="1" applyBorder="1"/>
    <xf numFmtId="0" fontId="5" fillId="3" borderId="7" xfId="0" applyFont="1" applyFill="1" applyBorder="1"/>
    <xf numFmtId="0" fontId="2" fillId="0" borderId="4" xfId="0" applyFont="1" applyBorder="1"/>
    <xf numFmtId="0" fontId="2" fillId="8" borderId="0" xfId="0" applyFont="1" applyFill="1"/>
    <xf numFmtId="0" fontId="2" fillId="0" borderId="6" xfId="0" applyFont="1" applyBorder="1"/>
    <xf numFmtId="49" fontId="5" fillId="6" borderId="0" xfId="0" applyNumberFormat="1" applyFont="1" applyFill="1"/>
    <xf numFmtId="0" fontId="5" fillId="0" borderId="9" xfId="0" applyFont="1" applyBorder="1"/>
    <xf numFmtId="0" fontId="5" fillId="2" borderId="10" xfId="0" applyFont="1" applyFill="1" applyBorder="1"/>
    <xf numFmtId="0" fontId="5" fillId="2" borderId="9" xfId="0" applyFont="1" applyFill="1" applyBorder="1"/>
    <xf numFmtId="0" fontId="2" fillId="6" borderId="10" xfId="0" applyFont="1" applyFill="1" applyBorder="1"/>
    <xf numFmtId="0" fontId="2" fillId="0" borderId="10" xfId="0" applyFont="1" applyBorder="1"/>
    <xf numFmtId="0" fontId="5" fillId="0" borderId="17" xfId="0" applyFont="1" applyBorder="1"/>
    <xf numFmtId="0" fontId="5" fillId="3" borderId="16" xfId="0" applyFont="1" applyFill="1" applyBorder="1"/>
    <xf numFmtId="0" fontId="5" fillId="4" borderId="10" xfId="0" applyFont="1" applyFill="1" applyBorder="1"/>
    <xf numFmtId="0" fontId="2" fillId="4" borderId="9" xfId="0" applyFont="1" applyFill="1" applyBorder="1"/>
    <xf numFmtId="0" fontId="2" fillId="6" borderId="9" xfId="0" applyFont="1" applyFill="1" applyBorder="1"/>
    <xf numFmtId="0" fontId="5" fillId="6" borderId="10" xfId="0" applyFont="1" applyFill="1" applyBorder="1"/>
    <xf numFmtId="0" fontId="5" fillId="0" borderId="16" xfId="0" applyFont="1" applyBorder="1"/>
    <xf numFmtId="0" fontId="5" fillId="3" borderId="15" xfId="0" applyFont="1" applyFill="1" applyBorder="1"/>
    <xf numFmtId="2" fontId="5" fillId="3" borderId="16" xfId="0" applyNumberFormat="1" applyFont="1" applyFill="1" applyBorder="1" applyAlignment="1">
      <alignment horizontal="right"/>
    </xf>
    <xf numFmtId="1" fontId="5" fillId="3" borderId="16" xfId="0" applyNumberFormat="1" applyFont="1" applyFill="1" applyBorder="1"/>
    <xf numFmtId="2" fontId="5" fillId="3" borderId="16" xfId="0" applyNumberFormat="1" applyFont="1" applyFill="1" applyBorder="1"/>
    <xf numFmtId="1" fontId="5" fillId="0" borderId="10" xfId="0" applyNumberFormat="1" applyFont="1" applyBorder="1" applyAlignment="1">
      <alignment horizontal="left"/>
    </xf>
    <xf numFmtId="2" fontId="5" fillId="0" borderId="10" xfId="0" applyNumberFormat="1" applyFont="1" applyBorder="1" applyAlignment="1">
      <alignment horizontal="right"/>
    </xf>
    <xf numFmtId="0" fontId="5" fillId="4" borderId="9" xfId="0" applyFont="1" applyFill="1" applyBorder="1"/>
    <xf numFmtId="1" fontId="5" fillId="4" borderId="10" xfId="0" applyNumberFormat="1" applyFont="1" applyFill="1" applyBorder="1" applyAlignment="1">
      <alignment horizontal="left"/>
    </xf>
    <xf numFmtId="2" fontId="5" fillId="4" borderId="10" xfId="0" applyNumberFormat="1" applyFont="1" applyFill="1" applyBorder="1"/>
    <xf numFmtId="1" fontId="5" fillId="6" borderId="10" xfId="0" applyNumberFormat="1" applyFont="1" applyFill="1" applyBorder="1" applyAlignment="1">
      <alignment horizontal="left"/>
    </xf>
    <xf numFmtId="2" fontId="5" fillId="6" borderId="10" xfId="0" applyNumberFormat="1" applyFont="1" applyFill="1" applyBorder="1" applyAlignment="1">
      <alignment horizontal="right"/>
    </xf>
    <xf numFmtId="0" fontId="5" fillId="6" borderId="9" xfId="0" applyFont="1" applyFill="1" applyBorder="1"/>
    <xf numFmtId="1" fontId="5" fillId="3" borderId="16" xfId="0" applyNumberFormat="1" applyFont="1" applyFill="1" applyBorder="1" applyAlignment="1">
      <alignment horizontal="left"/>
    </xf>
    <xf numFmtId="2" fontId="5" fillId="2" borderId="0" xfId="0" applyNumberFormat="1" applyFont="1" applyFill="1" applyAlignment="1">
      <alignment horizontal="right"/>
    </xf>
    <xf numFmtId="2" fontId="5" fillId="0" borderId="0" xfId="0" applyNumberFormat="1" applyFont="1" applyAlignment="1">
      <alignment horizontal="right"/>
    </xf>
    <xf numFmtId="2" fontId="5" fillId="4" borderId="0" xfId="0" applyNumberFormat="1" applyFont="1" applyFill="1" applyAlignment="1">
      <alignment horizontal="right"/>
    </xf>
    <xf numFmtId="2" fontId="5" fillId="6" borderId="0" xfId="0" applyNumberFormat="1" applyFont="1" applyFill="1" applyAlignment="1">
      <alignment horizontal="right"/>
    </xf>
    <xf numFmtId="1" fontId="5" fillId="3" borderId="0" xfId="0" applyNumberFormat="1" applyFont="1" applyFill="1" applyAlignment="1">
      <alignment horizontal="left"/>
    </xf>
    <xf numFmtId="2" fontId="5" fillId="3" borderId="0" xfId="0" applyNumberFormat="1" applyFont="1" applyFill="1" applyAlignment="1">
      <alignment horizontal="right"/>
    </xf>
    <xf numFmtId="1" fontId="5" fillId="0" borderId="0" xfId="0" applyNumberFormat="1" applyFont="1" applyAlignment="1">
      <alignment horizontal="left"/>
    </xf>
    <xf numFmtId="1" fontId="5" fillId="4" borderId="0" xfId="0" applyNumberFormat="1" applyFont="1" applyFill="1" applyAlignment="1">
      <alignment horizontal="left"/>
    </xf>
    <xf numFmtId="0" fontId="2" fillId="9" borderId="0" xfId="0" applyFont="1" applyFill="1"/>
    <xf numFmtId="2" fontId="2" fillId="3" borderId="0" xfId="0" applyNumberFormat="1" applyFont="1" applyFill="1"/>
    <xf numFmtId="1" fontId="5" fillId="6" borderId="0" xfId="0" applyNumberFormat="1" applyFont="1" applyFill="1" applyAlignment="1">
      <alignment horizontal="left"/>
    </xf>
    <xf numFmtId="0" fontId="2" fillId="6" borderId="2" xfId="0" applyFont="1" applyFill="1" applyBorder="1"/>
    <xf numFmtId="1" fontId="5" fillId="3" borderId="1" xfId="0" applyNumberFormat="1" applyFont="1" applyFill="1" applyBorder="1" applyAlignment="1">
      <alignment horizontal="left"/>
    </xf>
    <xf numFmtId="1" fontId="5" fillId="5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right"/>
    </xf>
    <xf numFmtId="0" fontId="7" fillId="0" borderId="13" xfId="0" applyFont="1" applyBorder="1"/>
    <xf numFmtId="0" fontId="7" fillId="0" borderId="14" xfId="0" applyFont="1" applyBorder="1"/>
    <xf numFmtId="0" fontId="8" fillId="0" borderId="12" xfId="0" applyFont="1" applyBorder="1"/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/>
    <xf numFmtId="0" fontId="9" fillId="0" borderId="13" xfId="0" applyFont="1" applyBorder="1"/>
    <xf numFmtId="0" fontId="10" fillId="0" borderId="13" xfId="0" applyFont="1" applyBorder="1"/>
    <xf numFmtId="0" fontId="8" fillId="0" borderId="14" xfId="0" applyFont="1" applyBorder="1"/>
    <xf numFmtId="0" fontId="10" fillId="0" borderId="0" xfId="0" applyFont="1"/>
    <xf numFmtId="0" fontId="10" fillId="10" borderId="0" xfId="0" applyFont="1" applyFill="1"/>
    <xf numFmtId="49" fontId="10" fillId="10" borderId="0" xfId="0" applyNumberFormat="1" applyFont="1" applyFill="1"/>
    <xf numFmtId="0" fontId="11" fillId="10" borderId="0" xfId="0" applyFont="1" applyFill="1"/>
    <xf numFmtId="0" fontId="11" fillId="0" borderId="0" xfId="0" applyFont="1"/>
    <xf numFmtId="0" fontId="10" fillId="8" borderId="0" xfId="0" applyFont="1" applyFill="1"/>
    <xf numFmtId="49" fontId="10" fillId="8" borderId="0" xfId="0" applyNumberFormat="1" applyFont="1" applyFill="1"/>
    <xf numFmtId="0" fontId="11" fillId="8" borderId="0" xfId="0" applyFont="1" applyFill="1"/>
    <xf numFmtId="0" fontId="11" fillId="0" borderId="0" xfId="0" applyFont="1" applyAlignment="1">
      <alignment horizontal="right"/>
    </xf>
    <xf numFmtId="49" fontId="10" fillId="0" borderId="0" xfId="0" applyNumberFormat="1" applyFont="1"/>
    <xf numFmtId="0" fontId="12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8" borderId="0" xfId="0" applyFont="1" applyFill="1"/>
    <xf numFmtId="0" fontId="10" fillId="9" borderId="0" xfId="0" applyFont="1" applyFill="1"/>
    <xf numFmtId="49" fontId="10" fillId="9" borderId="0" xfId="0" applyNumberFormat="1" applyFont="1" applyFill="1"/>
    <xf numFmtId="0" fontId="11" fillId="9" borderId="0" xfId="0" applyFont="1" applyFill="1"/>
    <xf numFmtId="0" fontId="10" fillId="11" borderId="0" xfId="0" applyFont="1" applyFill="1"/>
    <xf numFmtId="49" fontId="10" fillId="11" borderId="0" xfId="0" applyNumberFormat="1" applyFont="1" applyFill="1"/>
    <xf numFmtId="0" fontId="11" fillId="11" borderId="0" xfId="0" applyFont="1" applyFill="1"/>
    <xf numFmtId="0" fontId="12" fillId="0" borderId="0" xfId="0" applyFont="1"/>
    <xf numFmtId="0" fontId="10" fillId="0" borderId="0" xfId="0" applyFont="1" applyFill="1"/>
    <xf numFmtId="49" fontId="10" fillId="0" borderId="0" xfId="0" applyNumberFormat="1" applyFont="1" applyFill="1"/>
    <xf numFmtId="0" fontId="11" fillId="0" borderId="0" xfId="0" applyFont="1" applyFill="1"/>
    <xf numFmtId="0" fontId="10" fillId="0" borderId="0" xfId="0" applyFont="1" applyFill="1" applyAlignment="1">
      <alignment horizontal="right"/>
    </xf>
    <xf numFmtId="0" fontId="12" fillId="0" borderId="0" xfId="0" applyFont="1" applyFill="1"/>
    <xf numFmtId="0" fontId="10" fillId="12" borderId="0" xfId="0" applyFont="1" applyFill="1"/>
    <xf numFmtId="49" fontId="10" fillId="12" borderId="0" xfId="0" applyNumberFormat="1" applyFont="1" applyFill="1"/>
    <xf numFmtId="0" fontId="10" fillId="13" borderId="0" xfId="0" applyFont="1" applyFill="1"/>
    <xf numFmtId="49" fontId="10" fillId="13" borderId="0" xfId="0" applyNumberFormat="1" applyFont="1" applyFill="1"/>
    <xf numFmtId="0" fontId="11" fillId="12" borderId="0" xfId="0" applyFont="1" applyFill="1"/>
    <xf numFmtId="0" fontId="12" fillId="1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BED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5"/>
  <sheetViews>
    <sheetView zoomScale="48" workbookViewId="0">
      <selection activeCell="I204" sqref="I204"/>
    </sheetView>
  </sheetViews>
  <sheetFormatPr baseColWidth="10" defaultColWidth="8.83203125" defaultRowHeight="16"/>
  <cols>
    <col min="1" max="1" width="17" style="4" customWidth="1"/>
    <col min="2" max="2" width="21.5" style="4" customWidth="1"/>
    <col min="3" max="3" width="19.33203125" style="4" customWidth="1"/>
    <col min="4" max="21" width="9" style="4" bestFit="1" customWidth="1"/>
    <col min="22" max="22" width="9.1640625" style="4" bestFit="1" customWidth="1"/>
    <col min="23" max="26" width="9" style="4" bestFit="1" customWidth="1"/>
    <col min="27" max="16384" width="8.83203125" style="4"/>
  </cols>
  <sheetData>
    <row r="1" spans="1:26" ht="17" thickBot="1">
      <c r="A1" s="114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6" t="s">
        <v>1712</v>
      </c>
      <c r="I1" s="179" t="s">
        <v>1714</v>
      </c>
      <c r="J1" s="116" t="s">
        <v>7</v>
      </c>
      <c r="K1" s="116" t="s">
        <v>1713</v>
      </c>
      <c r="L1" s="116" t="s">
        <v>8</v>
      </c>
      <c r="M1" s="116" t="s">
        <v>1713</v>
      </c>
      <c r="N1" s="116" t="s">
        <v>9</v>
      </c>
      <c r="O1" s="116" t="s">
        <v>1713</v>
      </c>
      <c r="P1" s="116" t="s">
        <v>10</v>
      </c>
      <c r="Q1" s="116" t="s">
        <v>1713</v>
      </c>
      <c r="R1" s="117" t="s">
        <v>11</v>
      </c>
      <c r="S1" s="180" t="s">
        <v>1715</v>
      </c>
      <c r="T1" s="3"/>
      <c r="U1" s="3"/>
      <c r="V1" s="3"/>
      <c r="W1" s="3"/>
      <c r="X1" s="3"/>
      <c r="Y1" s="3"/>
      <c r="Z1" s="3"/>
    </row>
    <row r="2" spans="1:26" ht="17" thickTop="1">
      <c r="A2" s="17" t="s">
        <v>12</v>
      </c>
      <c r="B2" s="6">
        <v>11111111</v>
      </c>
      <c r="C2" s="6" t="s">
        <v>13</v>
      </c>
      <c r="D2" s="6">
        <v>0</v>
      </c>
      <c r="E2" s="7">
        <v>8</v>
      </c>
      <c r="F2" s="7">
        <v>0</v>
      </c>
      <c r="G2" s="7">
        <v>15</v>
      </c>
      <c r="H2" s="8">
        <v>5.9393000000000002</v>
      </c>
      <c r="I2" s="7">
        <v>8.9999999999999998E-4</v>
      </c>
      <c r="J2" s="6">
        <v>-30.228200000000001</v>
      </c>
      <c r="K2" s="7">
        <v>1.9E-3</v>
      </c>
      <c r="L2" s="7">
        <v>0.03</v>
      </c>
      <c r="M2" s="7">
        <v>5.0000000000000001E-3</v>
      </c>
      <c r="N2" s="7">
        <v>-6.4000000000000003E-3</v>
      </c>
      <c r="O2" s="7">
        <v>2.0000000000000001E-4</v>
      </c>
      <c r="P2" s="7">
        <v>129.74</v>
      </c>
      <c r="Q2" s="7">
        <v>0.26</v>
      </c>
      <c r="R2" s="6">
        <f t="shared" ref="R2" si="0">P2*E2/G2^3</f>
        <v>0.30753185185185189</v>
      </c>
      <c r="S2" s="18">
        <f t="shared" ref="S2:S65" si="1">Q2*E2/G2^3</f>
        <v>6.1629629629629632E-4</v>
      </c>
    </row>
    <row r="3" spans="1:26">
      <c r="A3" s="19" t="s">
        <v>12</v>
      </c>
      <c r="B3" s="20">
        <v>11111111</v>
      </c>
      <c r="C3" s="20" t="s">
        <v>13</v>
      </c>
      <c r="D3" s="20">
        <v>0.25</v>
      </c>
      <c r="E3" s="4">
        <v>8</v>
      </c>
      <c r="F3" s="4">
        <v>0</v>
      </c>
      <c r="G3" s="4">
        <v>15</v>
      </c>
      <c r="H3" s="21">
        <v>4.4539999999999997</v>
      </c>
      <c r="I3" s="4">
        <v>5.0000000000000001E-4</v>
      </c>
      <c r="J3" s="20">
        <v>-22.6723</v>
      </c>
      <c r="K3" s="4">
        <v>5.0000000000000001E-4</v>
      </c>
      <c r="L3" s="4">
        <v>3.7999999999999999E-2</v>
      </c>
      <c r="M3" s="4">
        <v>8.0000000000000002E-3</v>
      </c>
      <c r="N3" s="4">
        <v>-9.1000000000000004E-3</v>
      </c>
      <c r="O3" s="4">
        <v>2.9999999999999997E-4</v>
      </c>
      <c r="P3" s="4">
        <v>129.47999999999999</v>
      </c>
      <c r="Q3" s="4">
        <v>0.17</v>
      </c>
      <c r="R3" s="20">
        <f>P3*E3/G3^3</f>
        <v>0.30691555555555555</v>
      </c>
      <c r="S3" s="22">
        <f t="shared" si="1"/>
        <v>4.0296296296296299E-4</v>
      </c>
    </row>
    <row r="4" spans="1:26">
      <c r="A4" s="23" t="s">
        <v>12</v>
      </c>
      <c r="B4" s="4">
        <v>11111111</v>
      </c>
      <c r="C4" s="4" t="s">
        <v>13</v>
      </c>
      <c r="D4" s="4">
        <v>0.5</v>
      </c>
      <c r="E4" s="4">
        <v>8</v>
      </c>
      <c r="F4" s="4">
        <v>0</v>
      </c>
      <c r="G4" s="4">
        <v>15</v>
      </c>
      <c r="H4" s="24">
        <v>2.97</v>
      </c>
      <c r="I4" s="4">
        <v>2.0000000000000001E-4</v>
      </c>
      <c r="J4" s="4">
        <v>-15.1142</v>
      </c>
      <c r="K4" s="4">
        <v>4.0000000000000002E-4</v>
      </c>
      <c r="L4" s="4">
        <v>3.6999999999999998E-2</v>
      </c>
      <c r="M4" s="4">
        <v>0.01</v>
      </c>
      <c r="N4" s="4">
        <v>-1.29E-2</v>
      </c>
      <c r="O4" s="4">
        <v>8.0000000000000004E-4</v>
      </c>
      <c r="P4" s="4">
        <v>129.72999999999999</v>
      </c>
      <c r="Q4" s="4">
        <v>0.19</v>
      </c>
      <c r="R4" s="4">
        <f t="shared" ref="R4:R171" si="2">P4*E4/G4^3</f>
        <v>0.30750814814814814</v>
      </c>
      <c r="S4" s="22">
        <f t="shared" si="1"/>
        <v>4.503703703703704E-4</v>
      </c>
    </row>
    <row r="5" spans="1:26" ht="17" thickBot="1">
      <c r="A5" s="25" t="s">
        <v>12</v>
      </c>
      <c r="B5" s="9">
        <v>11111111</v>
      </c>
      <c r="C5" s="9" t="s">
        <v>13</v>
      </c>
      <c r="D5" s="9">
        <v>0.75</v>
      </c>
      <c r="E5" s="10">
        <v>8</v>
      </c>
      <c r="F5" s="10">
        <v>0</v>
      </c>
      <c r="G5" s="10">
        <v>15</v>
      </c>
      <c r="H5" s="11">
        <v>1.4849000000000001</v>
      </c>
      <c r="I5" s="10">
        <v>2.9999999999999997E-4</v>
      </c>
      <c r="J5" s="9">
        <v>-7.5571000000000002</v>
      </c>
      <c r="K5" s="10">
        <v>4.0000000000000002E-4</v>
      </c>
      <c r="L5" s="10">
        <v>3.9E-2</v>
      </c>
      <c r="M5" s="10">
        <v>7.0000000000000001E-3</v>
      </c>
      <c r="N5" s="10">
        <v>-2.52E-2</v>
      </c>
      <c r="O5" s="10">
        <v>8.9999999999999998E-4</v>
      </c>
      <c r="P5" s="10">
        <v>129.75</v>
      </c>
      <c r="Q5" s="10">
        <v>0.23</v>
      </c>
      <c r="R5" s="9">
        <f t="shared" si="2"/>
        <v>0.30755555555555558</v>
      </c>
      <c r="S5" s="26">
        <f t="shared" si="1"/>
        <v>5.4518518518518523E-4</v>
      </c>
    </row>
    <row r="6" spans="1:26" ht="17" thickTop="1">
      <c r="A6" s="27" t="s">
        <v>14</v>
      </c>
      <c r="B6" s="5">
        <v>11111211</v>
      </c>
      <c r="C6" s="5"/>
      <c r="D6" s="5">
        <v>0.25</v>
      </c>
      <c r="E6" s="7">
        <v>8</v>
      </c>
      <c r="F6" s="7">
        <v>1</v>
      </c>
      <c r="G6" s="7">
        <v>15</v>
      </c>
      <c r="H6" s="1">
        <v>4.4987000000000004</v>
      </c>
      <c r="I6" s="7">
        <v>5.0000000000000001E-4</v>
      </c>
      <c r="J6" s="5">
        <v>-22.8841</v>
      </c>
      <c r="K6" s="7">
        <v>8.0000000000000004E-4</v>
      </c>
      <c r="L6" s="7">
        <v>3.2000000000000001E-2</v>
      </c>
      <c r="M6" s="7">
        <v>5.0000000000000001E-3</v>
      </c>
      <c r="N6" s="7">
        <v>-8.9999999999999993E-3</v>
      </c>
      <c r="O6" s="7">
        <v>2.9999999999999997E-4</v>
      </c>
      <c r="P6" s="7">
        <v>129.66</v>
      </c>
      <c r="Q6" s="7">
        <v>0.15</v>
      </c>
      <c r="R6" s="5">
        <f t="shared" si="2"/>
        <v>0.30734222222222224</v>
      </c>
      <c r="S6" s="18">
        <f t="shared" si="1"/>
        <v>3.5555555555555552E-4</v>
      </c>
    </row>
    <row r="7" spans="1:26">
      <c r="A7" s="23" t="s">
        <v>14</v>
      </c>
      <c r="B7" s="4">
        <v>11111211</v>
      </c>
      <c r="D7" s="4">
        <v>0.5</v>
      </c>
      <c r="E7" s="4">
        <v>8</v>
      </c>
      <c r="F7" s="4">
        <v>1</v>
      </c>
      <c r="G7" s="4">
        <v>15</v>
      </c>
      <c r="H7" s="24">
        <v>3.0598000000000001</v>
      </c>
      <c r="I7" s="4">
        <v>5.9999999999999995E-4</v>
      </c>
      <c r="J7" s="4">
        <v>-15.555099999999999</v>
      </c>
      <c r="K7" s="4">
        <v>5.9999999999999995E-4</v>
      </c>
      <c r="L7" s="4">
        <v>3.3000000000000002E-2</v>
      </c>
      <c r="M7" s="4">
        <v>1.2999999999999999E-2</v>
      </c>
      <c r="N7" s="4">
        <v>-1.29E-2</v>
      </c>
      <c r="O7" s="4">
        <v>8.9999999999999998E-4</v>
      </c>
      <c r="P7" s="4">
        <v>129.44999999999999</v>
      </c>
      <c r="Q7" s="4">
        <v>0.21</v>
      </c>
      <c r="R7" s="4">
        <f t="shared" si="2"/>
        <v>0.30684444444444442</v>
      </c>
      <c r="S7" s="22">
        <f t="shared" si="1"/>
        <v>4.9777777777777776E-4</v>
      </c>
    </row>
    <row r="8" spans="1:26">
      <c r="A8" s="28" t="s">
        <v>14</v>
      </c>
      <c r="B8" s="29">
        <v>11111211</v>
      </c>
      <c r="C8" s="29"/>
      <c r="D8" s="29">
        <v>0.75</v>
      </c>
      <c r="E8" s="4">
        <v>8</v>
      </c>
      <c r="F8" s="4">
        <v>1</v>
      </c>
      <c r="G8" s="4">
        <v>15</v>
      </c>
      <c r="H8" s="30">
        <v>1.6291</v>
      </c>
      <c r="I8" s="4">
        <v>5.0000000000000001E-4</v>
      </c>
      <c r="J8" s="29">
        <v>-8.2949999999999999</v>
      </c>
      <c r="K8" s="4">
        <v>8.0000000000000004E-4</v>
      </c>
      <c r="L8" s="4">
        <v>4.3999999999999997E-2</v>
      </c>
      <c r="M8" s="4">
        <v>8.9999999999999993E-3</v>
      </c>
      <c r="N8" s="4">
        <v>-2.6499999999999999E-2</v>
      </c>
      <c r="O8" s="4">
        <v>1.8E-3</v>
      </c>
      <c r="P8" s="4">
        <v>127.71</v>
      </c>
      <c r="Q8" s="4">
        <v>0.47</v>
      </c>
      <c r="R8" s="29">
        <f t="shared" si="2"/>
        <v>0.30271999999999999</v>
      </c>
      <c r="S8" s="22">
        <f t="shared" si="1"/>
        <v>1.114074074074074E-3</v>
      </c>
    </row>
    <row r="9" spans="1:26">
      <c r="A9" s="19" t="s">
        <v>15</v>
      </c>
      <c r="B9" s="20">
        <v>12111111</v>
      </c>
      <c r="C9" s="20"/>
      <c r="D9" s="20">
        <v>0.25</v>
      </c>
      <c r="E9" s="4">
        <v>8</v>
      </c>
      <c r="F9" s="4">
        <v>1</v>
      </c>
      <c r="G9" s="4">
        <v>15</v>
      </c>
      <c r="H9" s="31">
        <v>4.5018000000000002</v>
      </c>
      <c r="I9" s="4">
        <v>2.9999999999999997E-4</v>
      </c>
      <c r="J9" s="20">
        <v>-22.891500000000001</v>
      </c>
      <c r="K9" s="4">
        <v>2.0000000000000001E-4</v>
      </c>
      <c r="L9" s="4">
        <v>3.5000000000000003E-2</v>
      </c>
      <c r="M9" s="4">
        <v>4.0000000000000001E-3</v>
      </c>
      <c r="N9" s="4">
        <v>-8.9999999999999993E-3</v>
      </c>
      <c r="O9" s="4">
        <v>1E-4</v>
      </c>
      <c r="P9" s="4">
        <v>129.54</v>
      </c>
      <c r="Q9" s="4">
        <v>0.01</v>
      </c>
      <c r="R9" s="20">
        <f t="shared" si="2"/>
        <v>0.30705777777777776</v>
      </c>
      <c r="S9" s="22">
        <f t="shared" si="1"/>
        <v>2.3703703703703703E-5</v>
      </c>
    </row>
    <row r="10" spans="1:26">
      <c r="A10" s="23" t="s">
        <v>15</v>
      </c>
      <c r="B10" s="4">
        <v>12111111</v>
      </c>
      <c r="D10" s="4">
        <v>0.5</v>
      </c>
      <c r="E10" s="4">
        <v>8</v>
      </c>
      <c r="F10" s="4">
        <v>1</v>
      </c>
      <c r="G10" s="4">
        <v>15</v>
      </c>
      <c r="H10" s="24">
        <v>3.0663</v>
      </c>
      <c r="I10" s="4">
        <v>1E-4</v>
      </c>
      <c r="J10" s="4">
        <v>-15.5715</v>
      </c>
      <c r="K10" s="4">
        <v>4.0000000000000002E-4</v>
      </c>
      <c r="L10" s="4">
        <v>3.7999999999999999E-2</v>
      </c>
      <c r="M10" s="4">
        <v>3.0000000000000001E-3</v>
      </c>
      <c r="N10" s="4">
        <v>-1.32E-2</v>
      </c>
      <c r="O10" s="4">
        <v>5.9999999999999995E-4</v>
      </c>
      <c r="P10" s="4">
        <v>129.32</v>
      </c>
      <c r="Q10" s="4">
        <v>0.18</v>
      </c>
      <c r="R10" s="4">
        <f t="shared" si="2"/>
        <v>0.30653629629629631</v>
      </c>
      <c r="S10" s="22">
        <f t="shared" si="1"/>
        <v>4.2666666666666667E-4</v>
      </c>
    </row>
    <row r="11" spans="1:26">
      <c r="A11" s="28" t="s">
        <v>15</v>
      </c>
      <c r="B11" s="29">
        <v>12111111</v>
      </c>
      <c r="C11" s="29"/>
      <c r="D11" s="29">
        <v>0.75</v>
      </c>
      <c r="E11" s="4">
        <v>8</v>
      </c>
      <c r="F11" s="4">
        <v>1</v>
      </c>
      <c r="G11" s="4">
        <v>15</v>
      </c>
      <c r="H11" s="30">
        <v>1.6417999999999999</v>
      </c>
      <c r="I11" s="4">
        <v>5.0000000000000001E-4</v>
      </c>
      <c r="J11" s="29">
        <v>-8.3295999999999992</v>
      </c>
      <c r="K11" s="4">
        <v>1E-3</v>
      </c>
      <c r="L11" s="4">
        <v>0.05</v>
      </c>
      <c r="M11" s="4">
        <v>4.7E-2</v>
      </c>
      <c r="N11" s="4">
        <v>-2.3900000000000001E-2</v>
      </c>
      <c r="O11" s="4">
        <v>5.4999999999999997E-3</v>
      </c>
      <c r="P11" s="4">
        <v>127.58</v>
      </c>
      <c r="Q11" s="4">
        <v>0.93</v>
      </c>
      <c r="R11" s="29">
        <f t="shared" si="2"/>
        <v>0.30241185185185182</v>
      </c>
      <c r="S11" s="22">
        <f t="shared" si="1"/>
        <v>2.2044444444444446E-3</v>
      </c>
    </row>
    <row r="12" spans="1:26">
      <c r="A12" s="19" t="s">
        <v>16</v>
      </c>
      <c r="B12" s="20">
        <v>11111112</v>
      </c>
      <c r="C12" s="20" t="s">
        <v>17</v>
      </c>
      <c r="D12" s="20">
        <v>0.25</v>
      </c>
      <c r="E12" s="4">
        <v>8</v>
      </c>
      <c r="F12" s="4">
        <v>1</v>
      </c>
      <c r="G12" s="4">
        <v>15</v>
      </c>
      <c r="H12" s="21">
        <v>4.5091999999999999</v>
      </c>
      <c r="I12" s="4">
        <v>4.0000000000000002E-4</v>
      </c>
      <c r="J12" s="20">
        <v>-22.909500000000001</v>
      </c>
      <c r="K12" s="4">
        <v>1E-3</v>
      </c>
      <c r="L12" s="4">
        <v>3.6999999999999998E-2</v>
      </c>
      <c r="M12" s="4">
        <v>6.0000000000000001E-3</v>
      </c>
      <c r="N12" s="4">
        <v>-8.9999999999999993E-3</v>
      </c>
      <c r="O12" s="4">
        <v>2.0000000000000001E-4</v>
      </c>
      <c r="P12" s="4">
        <v>129.47</v>
      </c>
      <c r="Q12" s="4">
        <v>0.15</v>
      </c>
      <c r="R12" s="20">
        <f t="shared" si="2"/>
        <v>0.30689185185185186</v>
      </c>
      <c r="S12" s="22">
        <f t="shared" si="1"/>
        <v>3.5555555555555552E-4</v>
      </c>
    </row>
    <row r="13" spans="1:26">
      <c r="A13" s="23" t="s">
        <v>16</v>
      </c>
      <c r="B13" s="4">
        <v>11111112</v>
      </c>
      <c r="C13" s="4" t="s">
        <v>17</v>
      </c>
      <c r="D13" s="4">
        <v>0.5</v>
      </c>
      <c r="E13" s="4">
        <v>8</v>
      </c>
      <c r="F13" s="4">
        <v>1</v>
      </c>
      <c r="G13" s="4">
        <v>15</v>
      </c>
      <c r="H13" s="24">
        <v>3.081</v>
      </c>
      <c r="I13" s="4">
        <v>5.9999999999999995E-4</v>
      </c>
      <c r="J13" s="4">
        <v>-15.610200000000001</v>
      </c>
      <c r="K13" s="4">
        <v>2.9999999999999997E-4</v>
      </c>
      <c r="L13" s="4">
        <v>3.5999999999999997E-2</v>
      </c>
      <c r="M13" s="4">
        <v>4.0000000000000001E-3</v>
      </c>
      <c r="N13" s="4">
        <v>-1.2500000000000001E-2</v>
      </c>
      <c r="O13" s="4">
        <v>5.0000000000000001E-4</v>
      </c>
      <c r="P13" s="4">
        <v>129.34</v>
      </c>
      <c r="Q13" s="4">
        <v>0.22</v>
      </c>
      <c r="R13" s="4">
        <f t="shared" si="2"/>
        <v>0.30658370370370369</v>
      </c>
      <c r="S13" s="22">
        <f t="shared" si="1"/>
        <v>5.2148148148148149E-4</v>
      </c>
    </row>
    <row r="14" spans="1:26">
      <c r="A14" s="28" t="s">
        <v>16</v>
      </c>
      <c r="B14" s="29">
        <v>11111112</v>
      </c>
      <c r="C14" s="29" t="s">
        <v>17</v>
      </c>
      <c r="D14" s="29">
        <v>0.75</v>
      </c>
      <c r="E14" s="4">
        <v>8</v>
      </c>
      <c r="F14" s="4">
        <v>1</v>
      </c>
      <c r="G14" s="4">
        <v>15</v>
      </c>
      <c r="H14" s="30">
        <v>1.6713</v>
      </c>
      <c r="I14" s="4">
        <v>8.9999999999999998E-4</v>
      </c>
      <c r="J14" s="29">
        <v>-8.4168000000000003</v>
      </c>
      <c r="K14" s="4">
        <v>1.2999999999999999E-3</v>
      </c>
      <c r="L14" s="4">
        <v>4.4999999999999998E-2</v>
      </c>
      <c r="M14" s="4">
        <v>7.0000000000000001E-3</v>
      </c>
      <c r="N14" s="4">
        <v>-2.6499999999999999E-2</v>
      </c>
      <c r="O14" s="4">
        <v>2E-3</v>
      </c>
      <c r="P14" s="4">
        <v>126.98</v>
      </c>
      <c r="Q14" s="4">
        <v>0.72</v>
      </c>
      <c r="R14" s="29">
        <f t="shared" si="2"/>
        <v>0.30098962962962966</v>
      </c>
      <c r="S14" s="22">
        <f t="shared" si="1"/>
        <v>1.7066666666666667E-3</v>
      </c>
    </row>
    <row r="15" spans="1:26">
      <c r="A15" s="19" t="s">
        <v>18</v>
      </c>
      <c r="B15" s="20">
        <v>11121111</v>
      </c>
      <c r="C15" s="20" t="s">
        <v>19</v>
      </c>
      <c r="D15" s="20">
        <v>0.25</v>
      </c>
      <c r="E15" s="4">
        <v>8</v>
      </c>
      <c r="F15" s="4">
        <v>1</v>
      </c>
      <c r="G15" s="4">
        <v>15</v>
      </c>
      <c r="H15" s="21">
        <v>4.4973000000000001</v>
      </c>
      <c r="I15" s="4">
        <v>4.0000000000000002E-4</v>
      </c>
      <c r="J15" s="20">
        <v>-22.8811</v>
      </c>
      <c r="K15" s="4">
        <v>1E-3</v>
      </c>
      <c r="L15" s="4">
        <v>3.4000000000000002E-2</v>
      </c>
      <c r="M15" s="4">
        <v>6.0000000000000001E-3</v>
      </c>
      <c r="N15" s="4">
        <v>-8.9999999999999993E-3</v>
      </c>
      <c r="O15" s="4">
        <v>2.0000000000000001E-4</v>
      </c>
      <c r="P15" s="4">
        <v>129.53</v>
      </c>
      <c r="Q15" s="4">
        <v>0.13</v>
      </c>
      <c r="R15" s="20">
        <f t="shared" si="2"/>
        <v>0.30703407407407407</v>
      </c>
      <c r="S15" s="22">
        <f t="shared" si="1"/>
        <v>3.0814814814814816E-4</v>
      </c>
    </row>
    <row r="16" spans="1:26">
      <c r="A16" s="23" t="s">
        <v>18</v>
      </c>
      <c r="B16" s="4">
        <v>11121111</v>
      </c>
      <c r="C16" s="4" t="s">
        <v>19</v>
      </c>
      <c r="D16" s="4">
        <v>0.5</v>
      </c>
      <c r="E16" s="4">
        <v>8</v>
      </c>
      <c r="F16" s="4">
        <v>1</v>
      </c>
      <c r="G16" s="4">
        <v>15</v>
      </c>
      <c r="H16" s="24">
        <v>3.0566</v>
      </c>
      <c r="I16" s="4">
        <v>8.0000000000000004E-4</v>
      </c>
      <c r="J16" s="4">
        <v>-15.5481</v>
      </c>
      <c r="K16" s="4">
        <v>2.0999999999999999E-3</v>
      </c>
      <c r="L16" s="4">
        <v>4.7E-2</v>
      </c>
      <c r="M16" s="4">
        <v>2.5999999999999999E-2</v>
      </c>
      <c r="N16" s="4">
        <v>-1.3599999999999999E-2</v>
      </c>
      <c r="O16" s="4">
        <v>2.2000000000000001E-3</v>
      </c>
      <c r="P16" s="4">
        <v>129.18</v>
      </c>
      <c r="Q16" s="4">
        <v>0.71</v>
      </c>
      <c r="R16" s="4">
        <f t="shared" si="2"/>
        <v>0.30620444444444445</v>
      </c>
      <c r="S16" s="22">
        <f t="shared" si="1"/>
        <v>1.6829629629629629E-3</v>
      </c>
    </row>
    <row r="17" spans="1:19" ht="17" thickBot="1">
      <c r="A17" s="25" t="s">
        <v>18</v>
      </c>
      <c r="B17" s="9">
        <v>11121111</v>
      </c>
      <c r="C17" s="9" t="s">
        <v>19</v>
      </c>
      <c r="D17" s="9">
        <v>0.75</v>
      </c>
      <c r="E17" s="10">
        <v>8</v>
      </c>
      <c r="F17" s="10">
        <v>1</v>
      </c>
      <c r="G17" s="10">
        <v>15</v>
      </c>
      <c r="H17" s="11">
        <v>1.6235999999999999</v>
      </c>
      <c r="I17" s="10">
        <v>6.9999999999999999E-4</v>
      </c>
      <c r="J17" s="9">
        <v>-8.2804000000000002</v>
      </c>
      <c r="K17" s="10">
        <v>8.9999999999999998E-4</v>
      </c>
      <c r="L17" s="10">
        <v>5.6000000000000001E-2</v>
      </c>
      <c r="M17" s="10">
        <v>1.2999999999999999E-2</v>
      </c>
      <c r="N17" s="10">
        <v>-2.7099999999999999E-2</v>
      </c>
      <c r="O17" s="10">
        <v>2.8999999999999998E-3</v>
      </c>
      <c r="P17" s="10">
        <v>127.57</v>
      </c>
      <c r="Q17" s="10">
        <v>0.67</v>
      </c>
      <c r="R17" s="9">
        <f t="shared" si="2"/>
        <v>0.30238814814814813</v>
      </c>
      <c r="S17" s="26">
        <f t="shared" si="1"/>
        <v>1.5881481481481482E-3</v>
      </c>
    </row>
    <row r="18" spans="1:19" ht="17" thickTop="1">
      <c r="A18" s="27" t="s">
        <v>20</v>
      </c>
      <c r="B18" s="5">
        <v>21121111</v>
      </c>
      <c r="C18" s="5"/>
      <c r="D18" s="5">
        <v>0.25</v>
      </c>
      <c r="E18" s="7">
        <v>8</v>
      </c>
      <c r="F18" s="7">
        <v>2</v>
      </c>
      <c r="G18" s="7">
        <v>15</v>
      </c>
      <c r="H18" s="12">
        <v>4.6467000000000001</v>
      </c>
      <c r="I18" s="7">
        <v>1E-3</v>
      </c>
      <c r="J18" s="5">
        <v>-23.634799999999998</v>
      </c>
      <c r="K18" s="7">
        <v>1.1000000000000001E-3</v>
      </c>
      <c r="L18" s="7">
        <v>3.6999999999999998E-2</v>
      </c>
      <c r="M18" s="7">
        <v>7.0000000000000001E-3</v>
      </c>
      <c r="N18" s="7">
        <v>-8.0999999999999996E-3</v>
      </c>
      <c r="O18" s="7">
        <v>4.0000000000000002E-4</v>
      </c>
      <c r="P18" s="7">
        <v>129.6</v>
      </c>
      <c r="Q18" s="7">
        <v>0.19</v>
      </c>
      <c r="R18" s="5">
        <f t="shared" si="2"/>
        <v>0.30719999999999997</v>
      </c>
      <c r="S18" s="18">
        <f t="shared" si="1"/>
        <v>4.503703703703704E-4</v>
      </c>
    </row>
    <row r="19" spans="1:19">
      <c r="A19" s="23" t="s">
        <v>20</v>
      </c>
      <c r="B19" s="4">
        <v>21121111</v>
      </c>
      <c r="D19" s="4">
        <v>0.5</v>
      </c>
      <c r="E19" s="4">
        <v>8</v>
      </c>
      <c r="F19" s="4">
        <v>2</v>
      </c>
      <c r="G19" s="4">
        <v>15</v>
      </c>
      <c r="H19" s="24">
        <v>3.3549000000000002</v>
      </c>
      <c r="I19" s="4">
        <v>8.9999999999999998E-4</v>
      </c>
      <c r="J19" s="4">
        <v>-17.1004</v>
      </c>
      <c r="K19" s="4">
        <v>4.0000000000000002E-4</v>
      </c>
      <c r="L19" s="4">
        <v>3.7999999999999999E-2</v>
      </c>
      <c r="M19" s="4">
        <v>2E-3</v>
      </c>
      <c r="N19" s="4">
        <v>-1.2E-2</v>
      </c>
      <c r="O19" s="4">
        <v>5.0000000000000001E-4</v>
      </c>
      <c r="P19" s="4">
        <v>128.4</v>
      </c>
      <c r="Q19" s="4">
        <v>0.13</v>
      </c>
      <c r="R19" s="4">
        <f t="shared" si="2"/>
        <v>0.30435555555555555</v>
      </c>
      <c r="S19" s="22">
        <f t="shared" si="1"/>
        <v>3.0814814814814816E-4</v>
      </c>
    </row>
    <row r="20" spans="1:19">
      <c r="A20" s="28" t="s">
        <v>20</v>
      </c>
      <c r="B20" s="29">
        <v>21121111</v>
      </c>
      <c r="C20" s="29"/>
      <c r="D20" s="29">
        <v>0.75</v>
      </c>
      <c r="E20" s="4">
        <v>8</v>
      </c>
      <c r="F20" s="4">
        <v>2</v>
      </c>
      <c r="G20" s="4">
        <v>15</v>
      </c>
      <c r="H20" s="30">
        <v>2.0716999999999999</v>
      </c>
      <c r="I20" s="4">
        <v>4.0000000000000002E-4</v>
      </c>
      <c r="J20" s="29">
        <v>-10.801</v>
      </c>
      <c r="K20" s="4">
        <v>1.2999999999999999E-3</v>
      </c>
      <c r="L20" s="4">
        <v>9.9000000000000005E-2</v>
      </c>
      <c r="M20" s="4">
        <v>8.9999999999999993E-3</v>
      </c>
      <c r="N20" s="4">
        <v>-2.9600000000000001E-2</v>
      </c>
      <c r="O20" s="4">
        <v>1.6000000000000001E-3</v>
      </c>
      <c r="P20" s="4">
        <v>119.5</v>
      </c>
      <c r="Q20" s="4">
        <v>0.72</v>
      </c>
      <c r="R20" s="29">
        <f t="shared" si="2"/>
        <v>0.28325925925925927</v>
      </c>
      <c r="S20" s="22">
        <f t="shared" si="1"/>
        <v>1.7066666666666667E-3</v>
      </c>
    </row>
    <row r="21" spans="1:19">
      <c r="A21" s="19" t="s">
        <v>21</v>
      </c>
      <c r="B21" s="20">
        <v>12112111</v>
      </c>
      <c r="C21" s="20"/>
      <c r="D21" s="20">
        <v>0.25</v>
      </c>
      <c r="E21" s="4">
        <v>8</v>
      </c>
      <c r="F21" s="4">
        <v>2</v>
      </c>
      <c r="G21" s="4">
        <v>15</v>
      </c>
      <c r="H21" s="21">
        <v>4.6318999999999999</v>
      </c>
      <c r="I21" s="4">
        <v>5.9999999999999995E-4</v>
      </c>
      <c r="J21" s="20">
        <v>-23.593699999999998</v>
      </c>
      <c r="K21" s="4">
        <v>1.8E-3</v>
      </c>
      <c r="L21" s="4">
        <v>3.5999999999999997E-2</v>
      </c>
      <c r="M21" s="4">
        <v>7.0000000000000001E-3</v>
      </c>
      <c r="N21" s="4">
        <v>-8.2000000000000007E-3</v>
      </c>
      <c r="O21" s="4">
        <v>4.0000000000000002E-4</v>
      </c>
      <c r="P21" s="4">
        <v>129.63</v>
      </c>
      <c r="Q21" s="4">
        <v>0.25</v>
      </c>
      <c r="R21" s="20">
        <f t="shared" si="2"/>
        <v>0.30727111111111111</v>
      </c>
      <c r="S21" s="22">
        <f t="shared" si="1"/>
        <v>5.9259259259259258E-4</v>
      </c>
    </row>
    <row r="22" spans="1:19">
      <c r="A22" s="23" t="s">
        <v>21</v>
      </c>
      <c r="B22" s="4">
        <v>12112111</v>
      </c>
      <c r="D22" s="4">
        <v>0.5</v>
      </c>
      <c r="E22" s="4">
        <v>8</v>
      </c>
      <c r="F22" s="4">
        <v>2</v>
      </c>
      <c r="G22" s="4">
        <v>15</v>
      </c>
      <c r="H22" s="24">
        <v>3.3269000000000002</v>
      </c>
      <c r="I22" s="4">
        <v>1E-3</v>
      </c>
      <c r="J22" s="4">
        <v>-17.003799999999998</v>
      </c>
      <c r="K22" s="4">
        <v>1.6999999999999999E-3</v>
      </c>
      <c r="L22" s="4">
        <v>4.1000000000000002E-2</v>
      </c>
      <c r="M22" s="4">
        <v>3.0000000000000001E-3</v>
      </c>
      <c r="N22" s="4">
        <v>-1.2999999999999999E-2</v>
      </c>
      <c r="O22" s="4">
        <v>5.0000000000000001E-4</v>
      </c>
      <c r="P22" s="4">
        <v>128.62</v>
      </c>
      <c r="Q22" s="4">
        <v>0.25</v>
      </c>
      <c r="R22" s="4">
        <f t="shared" si="2"/>
        <v>0.30487703703703706</v>
      </c>
      <c r="S22" s="22">
        <f t="shared" si="1"/>
        <v>5.9259259259259258E-4</v>
      </c>
    </row>
    <row r="23" spans="1:19">
      <c r="A23" s="28" t="s">
        <v>21</v>
      </c>
      <c r="B23" s="29">
        <v>12112111</v>
      </c>
      <c r="C23" s="29"/>
      <c r="D23" s="29">
        <v>0.75</v>
      </c>
      <c r="E23" s="4">
        <v>8</v>
      </c>
      <c r="F23" s="4">
        <v>2</v>
      </c>
      <c r="G23" s="4">
        <v>15</v>
      </c>
      <c r="H23" s="30">
        <v>2.0251999999999999</v>
      </c>
      <c r="I23" s="4">
        <v>1E-4</v>
      </c>
      <c r="J23" s="29">
        <v>-10.577299999999999</v>
      </c>
      <c r="K23" s="4">
        <v>5.0000000000000001E-4</v>
      </c>
      <c r="L23" s="4">
        <v>7.6999999999999999E-2</v>
      </c>
      <c r="M23" s="4">
        <v>4.0000000000000001E-3</v>
      </c>
      <c r="N23" s="4">
        <v>-2.5100000000000001E-2</v>
      </c>
      <c r="O23" s="4">
        <v>8.9999999999999998E-4</v>
      </c>
      <c r="P23" s="4">
        <v>123.66</v>
      </c>
      <c r="Q23" s="4">
        <v>0.28999999999999998</v>
      </c>
      <c r="R23" s="29">
        <f t="shared" si="2"/>
        <v>0.29311999999999999</v>
      </c>
      <c r="S23" s="22">
        <f t="shared" si="1"/>
        <v>6.8740740740740741E-4</v>
      </c>
    </row>
    <row r="24" spans="1:19">
      <c r="A24" s="19" t="s">
        <v>22</v>
      </c>
      <c r="B24" s="20">
        <v>11211112</v>
      </c>
      <c r="C24" s="20"/>
      <c r="D24" s="20">
        <v>0.25</v>
      </c>
      <c r="E24" s="4">
        <v>8</v>
      </c>
      <c r="F24" s="4">
        <v>2</v>
      </c>
      <c r="G24" s="4">
        <v>15</v>
      </c>
      <c r="H24" s="21">
        <v>4.6500000000000004</v>
      </c>
      <c r="I24" s="4">
        <v>8.9999999999999998E-4</v>
      </c>
      <c r="J24" s="20">
        <v>-23.603300000000001</v>
      </c>
      <c r="K24" s="4">
        <v>8.9999999999999998E-4</v>
      </c>
      <c r="L24" s="4">
        <v>3.4000000000000002E-2</v>
      </c>
      <c r="M24" s="4">
        <v>6.0000000000000001E-3</v>
      </c>
      <c r="N24" s="4">
        <v>-8.8000000000000005E-3</v>
      </c>
      <c r="O24" s="4">
        <v>1E-4</v>
      </c>
      <c r="P24" s="4">
        <v>129.36000000000001</v>
      </c>
      <c r="Q24" s="4">
        <v>0.13</v>
      </c>
      <c r="R24" s="20">
        <f t="shared" si="2"/>
        <v>0.30663111111111113</v>
      </c>
      <c r="S24" s="22">
        <f t="shared" si="1"/>
        <v>3.0814814814814816E-4</v>
      </c>
    </row>
    <row r="25" spans="1:19">
      <c r="A25" s="23" t="s">
        <v>22</v>
      </c>
      <c r="B25" s="4">
        <v>11211112</v>
      </c>
      <c r="D25" s="4">
        <v>0.5</v>
      </c>
      <c r="E25" s="4">
        <v>8</v>
      </c>
      <c r="F25" s="4">
        <v>2</v>
      </c>
      <c r="G25" s="4">
        <v>15</v>
      </c>
      <c r="H25" s="24">
        <v>3.3624999999999998</v>
      </c>
      <c r="I25" s="4">
        <v>4.0000000000000002E-4</v>
      </c>
      <c r="J25" s="4">
        <v>-17.024799999999999</v>
      </c>
      <c r="K25" s="4">
        <v>8.9999999999999998E-4</v>
      </c>
      <c r="L25" s="4">
        <v>3.3000000000000002E-2</v>
      </c>
      <c r="M25" s="4">
        <v>4.0000000000000001E-3</v>
      </c>
      <c r="N25" s="4">
        <v>-1.2200000000000001E-2</v>
      </c>
      <c r="O25" s="4">
        <v>5.0000000000000001E-4</v>
      </c>
      <c r="P25" s="4">
        <v>128.62</v>
      </c>
      <c r="Q25" s="4">
        <v>0.25</v>
      </c>
      <c r="R25" s="4">
        <f t="shared" si="2"/>
        <v>0.30487703703703706</v>
      </c>
      <c r="S25" s="22">
        <f t="shared" si="1"/>
        <v>5.9259259259259258E-4</v>
      </c>
    </row>
    <row r="26" spans="1:19">
      <c r="A26" s="28" t="s">
        <v>22</v>
      </c>
      <c r="B26" s="29">
        <v>11211112</v>
      </c>
      <c r="C26" s="29"/>
      <c r="D26" s="29">
        <v>0.75</v>
      </c>
      <c r="E26" s="4">
        <v>8</v>
      </c>
      <c r="F26" s="4">
        <v>2</v>
      </c>
      <c r="G26" s="4">
        <v>15</v>
      </c>
      <c r="H26" s="30">
        <v>2.0893999999999999</v>
      </c>
      <c r="I26" s="4">
        <v>5.9999999999999995E-4</v>
      </c>
      <c r="J26" s="29">
        <v>-10.6097</v>
      </c>
      <c r="K26" s="4">
        <v>2.5000000000000001E-3</v>
      </c>
      <c r="L26" s="4">
        <v>6.4000000000000001E-2</v>
      </c>
      <c r="M26" s="4">
        <v>8.9999999999999993E-3</v>
      </c>
      <c r="N26" s="4">
        <v>-2.1899999999999999E-2</v>
      </c>
      <c r="O26" s="4">
        <v>1.5E-3</v>
      </c>
      <c r="P26" s="4">
        <v>124.07</v>
      </c>
      <c r="Q26" s="4">
        <v>0.69</v>
      </c>
      <c r="R26" s="29">
        <f t="shared" si="2"/>
        <v>0.29409185185185183</v>
      </c>
      <c r="S26" s="22">
        <f t="shared" si="1"/>
        <v>1.6355555555555555E-3</v>
      </c>
    </row>
    <row r="27" spans="1:19">
      <c r="A27" s="19" t="s">
        <v>23</v>
      </c>
      <c r="B27" s="20">
        <v>12111121</v>
      </c>
      <c r="C27" s="20"/>
      <c r="D27" s="20">
        <v>0.25</v>
      </c>
      <c r="E27" s="4">
        <v>8</v>
      </c>
      <c r="F27" s="4">
        <v>2</v>
      </c>
      <c r="G27" s="4">
        <v>15</v>
      </c>
      <c r="H27" s="21">
        <v>4.6417000000000002</v>
      </c>
      <c r="I27" s="4">
        <v>8.9999999999999998E-4</v>
      </c>
      <c r="J27" s="20">
        <v>-23.5776</v>
      </c>
      <c r="K27" s="4">
        <v>8.9999999999999998E-4</v>
      </c>
      <c r="L27" s="4">
        <v>0.03</v>
      </c>
      <c r="M27" s="4">
        <v>8.0000000000000002E-3</v>
      </c>
      <c r="N27" s="4">
        <v>-8.6E-3</v>
      </c>
      <c r="O27" s="4">
        <v>2.0000000000000001E-4</v>
      </c>
      <c r="P27" s="4">
        <v>129.46</v>
      </c>
      <c r="Q27" s="4">
        <v>0.21</v>
      </c>
      <c r="R27" s="20">
        <f t="shared" si="2"/>
        <v>0.30686814814814817</v>
      </c>
      <c r="S27" s="22">
        <f t="shared" si="1"/>
        <v>4.9777777777777776E-4</v>
      </c>
    </row>
    <row r="28" spans="1:19">
      <c r="A28" s="23" t="s">
        <v>23</v>
      </c>
      <c r="B28" s="4">
        <v>12111121</v>
      </c>
      <c r="D28" s="4">
        <v>0.5</v>
      </c>
      <c r="E28" s="4">
        <v>8</v>
      </c>
      <c r="F28" s="4">
        <v>2</v>
      </c>
      <c r="G28" s="4">
        <v>15</v>
      </c>
      <c r="H28" s="24">
        <v>3.3468</v>
      </c>
      <c r="I28" s="4">
        <v>6.9999999999999999E-4</v>
      </c>
      <c r="J28" s="4">
        <v>-16.9682</v>
      </c>
      <c r="K28" s="4">
        <v>2.0999999999999999E-3</v>
      </c>
      <c r="L28" s="4">
        <v>4.5999999999999999E-2</v>
      </c>
      <c r="M28" s="4">
        <v>0.01</v>
      </c>
      <c r="N28" s="4">
        <v>-1.17E-2</v>
      </c>
      <c r="O28" s="4">
        <v>1.1999999999999999E-3</v>
      </c>
      <c r="P28" s="4">
        <v>129.11000000000001</v>
      </c>
      <c r="Q28" s="4">
        <v>0.62</v>
      </c>
      <c r="R28" s="4">
        <f t="shared" si="2"/>
        <v>0.30603851851851854</v>
      </c>
      <c r="S28" s="22">
        <f t="shared" si="1"/>
        <v>1.4696296296296295E-3</v>
      </c>
    </row>
    <row r="29" spans="1:19">
      <c r="A29" s="28" t="s">
        <v>23</v>
      </c>
      <c r="B29" s="29">
        <v>12111121</v>
      </c>
      <c r="C29" s="29"/>
      <c r="D29" s="29">
        <v>0.75</v>
      </c>
      <c r="E29" s="4">
        <v>8</v>
      </c>
      <c r="F29" s="4">
        <v>2</v>
      </c>
      <c r="G29" s="4">
        <v>15</v>
      </c>
      <c r="H29" s="30">
        <v>2.0657999999999999</v>
      </c>
      <c r="I29" s="4">
        <v>4.0000000000000002E-4</v>
      </c>
      <c r="J29" s="29">
        <v>-10.4999</v>
      </c>
      <c r="K29" s="4">
        <v>5.0000000000000001E-4</v>
      </c>
      <c r="L29" s="4">
        <v>4.2000000000000003E-2</v>
      </c>
      <c r="M29" s="4">
        <v>6.0000000000000001E-3</v>
      </c>
      <c r="N29" s="4">
        <v>-2.2100000000000002E-2</v>
      </c>
      <c r="O29" s="4">
        <v>1.5E-3</v>
      </c>
      <c r="P29" s="4">
        <v>124.93</v>
      </c>
      <c r="Q29" s="4">
        <v>0.28000000000000003</v>
      </c>
      <c r="R29" s="29">
        <f t="shared" si="2"/>
        <v>0.29613037037037038</v>
      </c>
      <c r="S29" s="22">
        <f t="shared" si="1"/>
        <v>6.6370370370370379E-4</v>
      </c>
    </row>
    <row r="30" spans="1:19">
      <c r="A30" s="19" t="s">
        <v>24</v>
      </c>
      <c r="B30" s="20">
        <v>11122111</v>
      </c>
      <c r="C30" s="20" t="s">
        <v>19</v>
      </c>
      <c r="D30" s="20">
        <v>0.25</v>
      </c>
      <c r="E30" s="4">
        <v>8</v>
      </c>
      <c r="F30" s="4">
        <v>2</v>
      </c>
      <c r="G30" s="4">
        <v>15</v>
      </c>
      <c r="H30" s="21">
        <v>4.6243999999999996</v>
      </c>
      <c r="I30" s="4">
        <v>5.0000000000000001E-4</v>
      </c>
      <c r="J30" s="20">
        <v>-23.514700000000001</v>
      </c>
      <c r="K30" s="4">
        <v>8.0000000000000004E-4</v>
      </c>
      <c r="L30" s="4">
        <v>4.2000000000000003E-2</v>
      </c>
      <c r="M30" s="4">
        <v>7.0000000000000001E-3</v>
      </c>
      <c r="N30" s="4">
        <v>-8.6E-3</v>
      </c>
      <c r="O30" s="4">
        <v>2.9999999999999997E-4</v>
      </c>
      <c r="P30" s="4">
        <v>129.38999999999999</v>
      </c>
      <c r="Q30" s="4">
        <v>0.25</v>
      </c>
      <c r="R30" s="20">
        <f t="shared" si="2"/>
        <v>0.30670222222222221</v>
      </c>
      <c r="S30" s="22">
        <f t="shared" si="1"/>
        <v>5.9259259259259258E-4</v>
      </c>
    </row>
    <row r="31" spans="1:19">
      <c r="A31" s="23" t="s">
        <v>24</v>
      </c>
      <c r="B31" s="4">
        <v>11122111</v>
      </c>
      <c r="C31" s="4" t="s">
        <v>19</v>
      </c>
      <c r="D31" s="4">
        <v>0.5</v>
      </c>
      <c r="E31" s="4">
        <v>8</v>
      </c>
      <c r="F31" s="4">
        <v>2</v>
      </c>
      <c r="G31" s="4">
        <v>15</v>
      </c>
      <c r="H31" s="24">
        <v>3.3113000000000001</v>
      </c>
      <c r="I31" s="4">
        <v>5.9999999999999995E-4</v>
      </c>
      <c r="J31" s="4">
        <v>-16.881499999999999</v>
      </c>
      <c r="K31" s="4">
        <v>5.9999999999999995E-4</v>
      </c>
      <c r="L31" s="4">
        <v>4.4999999999999998E-2</v>
      </c>
      <c r="M31" s="4">
        <v>1.0999999999999999E-2</v>
      </c>
      <c r="N31" s="4">
        <v>-1.2500000000000001E-2</v>
      </c>
      <c r="O31" s="4">
        <v>5.0000000000000001E-4</v>
      </c>
      <c r="P31" s="4">
        <v>128.25</v>
      </c>
      <c r="Q31" s="4">
        <v>0.12</v>
      </c>
      <c r="R31" s="4">
        <f t="shared" si="2"/>
        <v>0.30399999999999999</v>
      </c>
      <c r="S31" s="22">
        <f t="shared" si="1"/>
        <v>2.8444444444444443E-4</v>
      </c>
    </row>
    <row r="32" spans="1:19">
      <c r="A32" s="28" t="s">
        <v>24</v>
      </c>
      <c r="B32" s="29">
        <v>11122111</v>
      </c>
      <c r="C32" s="29" t="s">
        <v>19</v>
      </c>
      <c r="D32" s="29">
        <v>0.75</v>
      </c>
      <c r="E32" s="4">
        <v>8</v>
      </c>
      <c r="F32" s="4">
        <v>2</v>
      </c>
      <c r="G32" s="4">
        <v>15</v>
      </c>
      <c r="H32" s="32">
        <v>2.0085000000000002</v>
      </c>
      <c r="I32" s="4">
        <v>2.0000000000000001E-4</v>
      </c>
      <c r="J32" s="29">
        <v>-10.6691</v>
      </c>
      <c r="K32" s="4">
        <v>5.9999999999999995E-4</v>
      </c>
      <c r="L32" s="4">
        <v>0.19500000000000001</v>
      </c>
      <c r="M32" s="4">
        <v>6.0000000000000001E-3</v>
      </c>
      <c r="N32" s="4">
        <v>-3.44E-2</v>
      </c>
      <c r="O32" s="4">
        <v>6.9999999999999999E-4</v>
      </c>
      <c r="P32" s="4">
        <v>115.18</v>
      </c>
      <c r="Q32" s="4">
        <v>0.39</v>
      </c>
      <c r="R32" s="29">
        <f t="shared" si="2"/>
        <v>0.27301925925925929</v>
      </c>
      <c r="S32" s="22">
        <f t="shared" si="1"/>
        <v>9.2444444444444442E-4</v>
      </c>
    </row>
    <row r="33" spans="1:19">
      <c r="A33" s="19" t="s">
        <v>25</v>
      </c>
      <c r="B33" s="20">
        <v>11111122</v>
      </c>
      <c r="C33" s="20" t="s">
        <v>17</v>
      </c>
      <c r="D33" s="20">
        <v>0.25</v>
      </c>
      <c r="E33" s="4">
        <v>8</v>
      </c>
      <c r="F33" s="4">
        <v>2</v>
      </c>
      <c r="G33" s="4">
        <v>15</v>
      </c>
      <c r="H33" s="21">
        <v>4.6581999999999999</v>
      </c>
      <c r="I33" s="4">
        <v>8.0000000000000004E-4</v>
      </c>
      <c r="J33" s="20">
        <v>-23.598400000000002</v>
      </c>
      <c r="K33" s="4">
        <v>1.6999999999999999E-3</v>
      </c>
      <c r="L33" s="4">
        <v>5.3999999999999999E-2</v>
      </c>
      <c r="M33" s="4">
        <v>1.7999999999999999E-2</v>
      </c>
      <c r="N33" s="4">
        <v>-8.5000000000000006E-3</v>
      </c>
      <c r="O33" s="4">
        <v>6.9999999999999999E-4</v>
      </c>
      <c r="P33" s="4">
        <v>129.02000000000001</v>
      </c>
      <c r="Q33" s="4">
        <v>0.5</v>
      </c>
      <c r="R33" s="20">
        <f t="shared" si="2"/>
        <v>0.3058251851851852</v>
      </c>
      <c r="S33" s="22">
        <f t="shared" si="1"/>
        <v>1.1851851851851852E-3</v>
      </c>
    </row>
    <row r="34" spans="1:19">
      <c r="A34" s="23" t="s">
        <v>25</v>
      </c>
      <c r="B34" s="4">
        <v>11111122</v>
      </c>
      <c r="C34" s="4" t="s">
        <v>17</v>
      </c>
      <c r="D34" s="4">
        <v>0.5</v>
      </c>
      <c r="E34" s="4">
        <v>8</v>
      </c>
      <c r="F34" s="4">
        <v>2</v>
      </c>
      <c r="G34" s="4">
        <v>15</v>
      </c>
      <c r="H34" s="24">
        <v>3.3877999999999999</v>
      </c>
      <c r="I34" s="4">
        <v>4.0000000000000002E-4</v>
      </c>
      <c r="J34" s="4">
        <v>-17.107700000000001</v>
      </c>
      <c r="K34" s="4">
        <v>1.1000000000000001E-3</v>
      </c>
      <c r="L34" s="4">
        <v>4.8000000000000001E-2</v>
      </c>
      <c r="M34" s="4">
        <v>2E-3</v>
      </c>
      <c r="N34" s="4">
        <v>-1.3100000000000001E-2</v>
      </c>
      <c r="O34" s="4">
        <v>2.9999999999999997E-4</v>
      </c>
      <c r="P34" s="4">
        <v>126.74</v>
      </c>
      <c r="Q34" s="4">
        <v>0.19</v>
      </c>
      <c r="R34" s="4">
        <f t="shared" si="2"/>
        <v>0.30042074074074071</v>
      </c>
      <c r="S34" s="22">
        <f t="shared" si="1"/>
        <v>4.503703703703704E-4</v>
      </c>
    </row>
    <row r="35" spans="1:19">
      <c r="A35" s="19" t="s">
        <v>26</v>
      </c>
      <c r="B35" s="20">
        <v>11221111</v>
      </c>
      <c r="C35" s="20"/>
      <c r="D35" s="20">
        <v>0.25</v>
      </c>
      <c r="E35" s="4">
        <v>8</v>
      </c>
      <c r="F35" s="4">
        <v>2</v>
      </c>
      <c r="G35" s="4">
        <v>15</v>
      </c>
      <c r="H35" s="21">
        <v>4.6265000000000001</v>
      </c>
      <c r="I35" s="4">
        <v>5.9999999999999995E-4</v>
      </c>
      <c r="J35" s="20">
        <v>-23.521799999999999</v>
      </c>
      <c r="K35" s="4">
        <v>6.9999999999999999E-4</v>
      </c>
      <c r="L35" s="4">
        <v>3.6999999999999998E-2</v>
      </c>
      <c r="M35" s="4">
        <v>4.0000000000000001E-3</v>
      </c>
      <c r="N35" s="4">
        <v>-8.8000000000000005E-3</v>
      </c>
      <c r="O35" s="4">
        <v>4.0000000000000002E-4</v>
      </c>
      <c r="P35" s="4">
        <v>129.37</v>
      </c>
      <c r="Q35" s="4">
        <v>0.15</v>
      </c>
      <c r="R35" s="20">
        <f t="shared" si="2"/>
        <v>0.30665481481481482</v>
      </c>
      <c r="S35" s="22">
        <f t="shared" si="1"/>
        <v>3.5555555555555552E-4</v>
      </c>
    </row>
    <row r="36" spans="1:19">
      <c r="A36" s="23" t="s">
        <v>26</v>
      </c>
      <c r="B36" s="4">
        <v>11221111</v>
      </c>
      <c r="D36" s="4">
        <v>0.5</v>
      </c>
      <c r="E36" s="4">
        <v>8</v>
      </c>
      <c r="F36" s="4">
        <v>2</v>
      </c>
      <c r="G36" s="4">
        <v>15</v>
      </c>
      <c r="H36" s="24">
        <v>3.3182</v>
      </c>
      <c r="I36" s="4">
        <v>4.0000000000000002E-4</v>
      </c>
      <c r="J36" s="4">
        <v>-16.899899999999999</v>
      </c>
      <c r="K36" s="4">
        <v>1.1000000000000001E-3</v>
      </c>
      <c r="L36" s="4">
        <v>4.2999999999999997E-2</v>
      </c>
      <c r="M36" s="4">
        <v>0.01</v>
      </c>
      <c r="N36" s="4">
        <v>-1.2999999999999999E-2</v>
      </c>
      <c r="O36" s="4">
        <v>1E-4</v>
      </c>
      <c r="P36" s="4">
        <v>127.82</v>
      </c>
      <c r="Q36" s="4">
        <v>0.11</v>
      </c>
      <c r="R36" s="4">
        <f t="shared" si="2"/>
        <v>0.30298074074074072</v>
      </c>
      <c r="S36" s="22">
        <f t="shared" si="1"/>
        <v>2.6074074074074075E-4</v>
      </c>
    </row>
    <row r="37" spans="1:19">
      <c r="A37" s="19" t="s">
        <v>27</v>
      </c>
      <c r="B37" s="20">
        <v>12121111</v>
      </c>
      <c r="C37" s="20"/>
      <c r="D37" s="20">
        <v>0.25</v>
      </c>
      <c r="E37" s="4">
        <v>8</v>
      </c>
      <c r="F37" s="4">
        <v>2</v>
      </c>
      <c r="G37" s="4">
        <v>15</v>
      </c>
      <c r="H37" s="21">
        <v>4.6332000000000004</v>
      </c>
      <c r="I37" s="4">
        <v>8.9999999999999998E-4</v>
      </c>
      <c r="J37" s="20">
        <v>-23.630400000000002</v>
      </c>
      <c r="K37" s="4">
        <v>1.2999999999999999E-3</v>
      </c>
      <c r="L37" s="4">
        <v>3.7999999999999999E-2</v>
      </c>
      <c r="M37" s="4">
        <v>0.01</v>
      </c>
      <c r="N37" s="4">
        <v>-8.3999999999999995E-3</v>
      </c>
      <c r="O37" s="4">
        <v>5.0000000000000001E-4</v>
      </c>
      <c r="P37" s="4">
        <v>129.52000000000001</v>
      </c>
      <c r="Q37" s="4">
        <v>0.39</v>
      </c>
      <c r="R37" s="20">
        <f t="shared" si="2"/>
        <v>0.30701037037037038</v>
      </c>
      <c r="S37" s="22">
        <f t="shared" si="1"/>
        <v>9.2444444444444442E-4</v>
      </c>
    </row>
    <row r="38" spans="1:19">
      <c r="A38" s="23" t="s">
        <v>27</v>
      </c>
      <c r="B38" s="4">
        <v>12121111</v>
      </c>
      <c r="D38" s="4">
        <v>0.5</v>
      </c>
      <c r="E38" s="4">
        <v>8</v>
      </c>
      <c r="F38" s="4">
        <v>2</v>
      </c>
      <c r="G38" s="4">
        <v>15</v>
      </c>
      <c r="H38" s="24">
        <v>3.3269000000000002</v>
      </c>
      <c r="I38" s="4">
        <v>5.0000000000000001E-4</v>
      </c>
      <c r="J38" s="4">
        <v>-17.095099999999999</v>
      </c>
      <c r="K38" s="4">
        <v>2.9999999999999997E-4</v>
      </c>
      <c r="L38" s="4">
        <v>4.2999999999999997E-2</v>
      </c>
      <c r="M38" s="4">
        <v>3.0000000000000001E-3</v>
      </c>
      <c r="N38" s="4">
        <v>-1.2999999999999999E-2</v>
      </c>
      <c r="O38" s="4">
        <v>5.9999999999999995E-4</v>
      </c>
      <c r="P38" s="4">
        <v>128.33000000000001</v>
      </c>
      <c r="Q38" s="4">
        <v>0.21</v>
      </c>
      <c r="R38" s="4">
        <f t="shared" si="2"/>
        <v>0.30418962962962964</v>
      </c>
      <c r="S38" s="22">
        <f t="shared" si="1"/>
        <v>4.9777777777777776E-4</v>
      </c>
    </row>
    <row r="39" spans="1:19">
      <c r="A39" s="28" t="s">
        <v>27</v>
      </c>
      <c r="B39" s="29">
        <v>12121111</v>
      </c>
      <c r="C39" s="29"/>
      <c r="D39" s="29">
        <v>0.75</v>
      </c>
      <c r="E39" s="4">
        <v>8</v>
      </c>
      <c r="F39" s="4">
        <v>2</v>
      </c>
      <c r="G39" s="4">
        <v>15</v>
      </c>
      <c r="H39" s="30">
        <v>2.0230999999999999</v>
      </c>
      <c r="I39" s="4">
        <v>5.9999999999999995E-4</v>
      </c>
      <c r="J39" s="29">
        <v>-10.811500000000001</v>
      </c>
      <c r="K39" s="4">
        <v>6.9999999999999999E-4</v>
      </c>
      <c r="L39" s="4">
        <v>0.113</v>
      </c>
      <c r="M39" s="4">
        <v>4.0000000000000001E-3</v>
      </c>
      <c r="N39" s="4">
        <v>-3.04E-2</v>
      </c>
      <c r="O39" s="4">
        <v>1.4E-3</v>
      </c>
      <c r="P39" s="4">
        <v>119.25</v>
      </c>
      <c r="Q39" s="4">
        <v>0.53</v>
      </c>
      <c r="R39" s="29">
        <f t="shared" si="2"/>
        <v>0.28266666666666668</v>
      </c>
      <c r="S39" s="22">
        <f t="shared" si="1"/>
        <v>1.2562962962962964E-3</v>
      </c>
    </row>
    <row r="40" spans="1:19">
      <c r="A40" s="19" t="s">
        <v>28</v>
      </c>
      <c r="B40" s="20">
        <v>11121211</v>
      </c>
      <c r="C40" s="20"/>
      <c r="D40" s="20">
        <v>0.25</v>
      </c>
      <c r="E40" s="4">
        <v>8</v>
      </c>
      <c r="F40" s="4">
        <v>2</v>
      </c>
      <c r="G40" s="4">
        <v>15</v>
      </c>
      <c r="H40" s="21">
        <v>4.6253000000000002</v>
      </c>
      <c r="I40" s="4">
        <v>8.9999999999999998E-4</v>
      </c>
      <c r="J40" s="20">
        <v>-23.6144</v>
      </c>
      <c r="K40" s="4">
        <v>5.9999999999999995E-4</v>
      </c>
      <c r="L40" s="4">
        <v>3.2000000000000001E-2</v>
      </c>
      <c r="M40" s="4">
        <v>2E-3</v>
      </c>
      <c r="N40" s="4">
        <v>-8.3999999999999995E-3</v>
      </c>
      <c r="O40" s="4">
        <v>2.0000000000000001E-4</v>
      </c>
      <c r="P40" s="4">
        <v>129.56</v>
      </c>
      <c r="Q40" s="4">
        <v>0.12</v>
      </c>
      <c r="R40" s="20">
        <f t="shared" si="2"/>
        <v>0.3071051851851852</v>
      </c>
      <c r="S40" s="22">
        <f t="shared" si="1"/>
        <v>2.8444444444444443E-4</v>
      </c>
    </row>
    <row r="41" spans="1:19">
      <c r="A41" s="23" t="s">
        <v>28</v>
      </c>
      <c r="B41" s="4">
        <v>11121211</v>
      </c>
      <c r="D41" s="4">
        <v>0.5</v>
      </c>
      <c r="E41" s="4">
        <v>8</v>
      </c>
      <c r="F41" s="4">
        <v>2</v>
      </c>
      <c r="G41" s="4">
        <v>15</v>
      </c>
      <c r="H41" s="24">
        <v>3.3121</v>
      </c>
      <c r="I41" s="4">
        <v>8.9999999999999998E-4</v>
      </c>
      <c r="J41" s="4">
        <v>-17.055299999999999</v>
      </c>
      <c r="K41" s="4">
        <v>5.0000000000000001E-4</v>
      </c>
      <c r="L41" s="4">
        <v>6.9000000000000006E-2</v>
      </c>
      <c r="M41" s="4">
        <v>0.01</v>
      </c>
      <c r="N41" s="4">
        <v>-1.3599999999999999E-2</v>
      </c>
      <c r="O41" s="4">
        <v>1E-3</v>
      </c>
      <c r="P41" s="4">
        <v>128.47999999999999</v>
      </c>
      <c r="Q41" s="4">
        <v>0.37</v>
      </c>
      <c r="R41" s="4">
        <f t="shared" si="2"/>
        <v>0.30454518518518514</v>
      </c>
      <c r="S41" s="22">
        <f t="shared" si="1"/>
        <v>8.7703703703703706E-4</v>
      </c>
    </row>
    <row r="42" spans="1:19">
      <c r="A42" s="28" t="s">
        <v>28</v>
      </c>
      <c r="B42" s="29">
        <v>11121211</v>
      </c>
      <c r="C42" s="29"/>
      <c r="D42" s="29">
        <v>0.75</v>
      </c>
      <c r="E42" s="4">
        <v>8</v>
      </c>
      <c r="F42" s="4">
        <v>2</v>
      </c>
      <c r="G42" s="4">
        <v>15</v>
      </c>
      <c r="H42" s="30">
        <v>2.0007000000000001</v>
      </c>
      <c r="I42" s="4">
        <v>5.0000000000000001E-4</v>
      </c>
      <c r="J42" s="29">
        <v>-10.708600000000001</v>
      </c>
      <c r="K42" s="4">
        <v>8.0000000000000004E-4</v>
      </c>
      <c r="L42" s="4">
        <v>0.111</v>
      </c>
      <c r="M42" s="4">
        <v>1.9E-2</v>
      </c>
      <c r="N42" s="4">
        <v>-2.64E-2</v>
      </c>
      <c r="O42" s="4">
        <v>5.9999999999999995E-4</v>
      </c>
      <c r="P42" s="4">
        <v>122.14</v>
      </c>
      <c r="Q42" s="4">
        <v>0.14000000000000001</v>
      </c>
      <c r="R42" s="29">
        <f t="shared" si="2"/>
        <v>0.28951703703703702</v>
      </c>
      <c r="S42" s="22">
        <f t="shared" si="1"/>
        <v>3.3185185185185189E-4</v>
      </c>
    </row>
    <row r="43" spans="1:19">
      <c r="A43" s="19" t="s">
        <v>29</v>
      </c>
      <c r="B43" s="20">
        <v>21111112</v>
      </c>
      <c r="C43" s="20" t="s">
        <v>30</v>
      </c>
      <c r="D43" s="20">
        <v>0.25</v>
      </c>
      <c r="E43" s="4">
        <v>8</v>
      </c>
      <c r="F43" s="4">
        <v>2</v>
      </c>
      <c r="G43" s="4">
        <v>15</v>
      </c>
      <c r="H43" s="21">
        <v>4.6699000000000002</v>
      </c>
      <c r="I43" s="4">
        <v>4.0000000000000002E-4</v>
      </c>
      <c r="J43" s="20">
        <v>-23.6387</v>
      </c>
      <c r="K43" s="4">
        <v>5.9999999999999995E-4</v>
      </c>
      <c r="L43" s="4">
        <v>3.6999999999999998E-2</v>
      </c>
      <c r="M43" s="4">
        <v>7.0000000000000001E-3</v>
      </c>
      <c r="N43" s="4">
        <v>-8.5000000000000006E-3</v>
      </c>
      <c r="O43" s="4">
        <v>5.0000000000000001E-4</v>
      </c>
      <c r="P43" s="4">
        <v>129.27000000000001</v>
      </c>
      <c r="Q43" s="4">
        <v>0.17</v>
      </c>
      <c r="R43" s="20">
        <f t="shared" si="2"/>
        <v>0.30641777777777779</v>
      </c>
      <c r="S43" s="22">
        <f t="shared" si="1"/>
        <v>4.0296296296296299E-4</v>
      </c>
    </row>
    <row r="44" spans="1:19">
      <c r="A44" s="23" t="s">
        <v>29</v>
      </c>
      <c r="B44" s="4">
        <v>21111112</v>
      </c>
      <c r="C44" s="4" t="s">
        <v>30</v>
      </c>
      <c r="D44" s="4">
        <v>0.5</v>
      </c>
      <c r="E44" s="4">
        <v>8</v>
      </c>
      <c r="F44" s="4">
        <v>2</v>
      </c>
      <c r="G44" s="4">
        <v>15</v>
      </c>
      <c r="H44" s="24">
        <v>3.403</v>
      </c>
      <c r="I44" s="4">
        <v>5.9999999999999995E-4</v>
      </c>
      <c r="J44" s="4">
        <v>-17.107299999999999</v>
      </c>
      <c r="K44" s="4">
        <v>1E-3</v>
      </c>
      <c r="L44" s="4">
        <v>3.6999999999999998E-2</v>
      </c>
      <c r="M44" s="4">
        <v>1.0999999999999999E-2</v>
      </c>
      <c r="N44" s="4">
        <v>-1.2E-2</v>
      </c>
      <c r="O44" s="4">
        <v>4.0000000000000002E-4</v>
      </c>
      <c r="P44" s="4">
        <v>128.31</v>
      </c>
      <c r="Q44" s="4">
        <v>0.09</v>
      </c>
      <c r="R44" s="4">
        <f t="shared" si="2"/>
        <v>0.3041422222222222</v>
      </c>
      <c r="S44" s="22">
        <f t="shared" si="1"/>
        <v>2.1333333333333333E-4</v>
      </c>
    </row>
    <row r="45" spans="1:19">
      <c r="A45" s="28" t="s">
        <v>29</v>
      </c>
      <c r="B45" s="29">
        <v>21111112</v>
      </c>
      <c r="C45" s="29" t="s">
        <v>30</v>
      </c>
      <c r="D45" s="29">
        <v>0.75</v>
      </c>
      <c r="E45" s="4">
        <v>8</v>
      </c>
      <c r="F45" s="4">
        <v>2</v>
      </c>
      <c r="G45" s="4">
        <v>15</v>
      </c>
      <c r="H45" s="30">
        <v>2.1637</v>
      </c>
      <c r="I45" s="4">
        <v>5.9999999999999995E-4</v>
      </c>
      <c r="J45" s="29">
        <v>-10.783799999999999</v>
      </c>
      <c r="K45" s="4">
        <v>2.9999999999999997E-4</v>
      </c>
      <c r="L45" s="4">
        <v>2.7E-2</v>
      </c>
      <c r="M45" s="4">
        <v>8.9999999999999993E-3</v>
      </c>
      <c r="N45" s="4">
        <v>-2.1899999999999999E-2</v>
      </c>
      <c r="O45" s="4">
        <v>8.0000000000000004E-4</v>
      </c>
      <c r="P45" s="4">
        <v>123.31</v>
      </c>
      <c r="Q45" s="4">
        <v>0.26</v>
      </c>
      <c r="R45" s="29">
        <f t="shared" si="2"/>
        <v>0.29229037037037037</v>
      </c>
      <c r="S45" s="22">
        <f t="shared" si="1"/>
        <v>6.1629629629629632E-4</v>
      </c>
    </row>
    <row r="46" spans="1:19">
      <c r="A46" s="19" t="s">
        <v>31</v>
      </c>
      <c r="B46" s="20">
        <v>12111112</v>
      </c>
      <c r="C46" s="20"/>
      <c r="D46" s="20">
        <v>0.25</v>
      </c>
      <c r="E46" s="4">
        <v>8</v>
      </c>
      <c r="F46" s="4">
        <v>2</v>
      </c>
      <c r="G46" s="4">
        <v>15</v>
      </c>
      <c r="H46" s="21">
        <v>4.6551999999999998</v>
      </c>
      <c r="I46" s="4">
        <v>8.0000000000000004E-4</v>
      </c>
      <c r="J46" s="20">
        <v>-23.6082</v>
      </c>
      <c r="K46" s="4">
        <v>1.1000000000000001E-3</v>
      </c>
      <c r="L46" s="4">
        <v>3.9E-2</v>
      </c>
      <c r="M46" s="4">
        <v>5.0000000000000001E-3</v>
      </c>
      <c r="N46" s="4">
        <v>-8.6999999999999994E-3</v>
      </c>
      <c r="O46" s="4">
        <v>1E-4</v>
      </c>
      <c r="P46" s="4">
        <v>129.30000000000001</v>
      </c>
      <c r="Q46" s="4">
        <v>0.19</v>
      </c>
      <c r="R46" s="20">
        <f t="shared" si="2"/>
        <v>0.30648888888888892</v>
      </c>
      <c r="S46" s="22">
        <f t="shared" si="1"/>
        <v>4.503703703703704E-4</v>
      </c>
    </row>
    <row r="47" spans="1:19">
      <c r="A47" s="23" t="s">
        <v>31</v>
      </c>
      <c r="B47" s="4">
        <v>12111112</v>
      </c>
      <c r="D47" s="4">
        <v>0.5</v>
      </c>
      <c r="E47" s="4">
        <v>8</v>
      </c>
      <c r="F47" s="4">
        <v>2</v>
      </c>
      <c r="G47" s="4">
        <v>15</v>
      </c>
      <c r="H47" s="24">
        <v>3.3761000000000001</v>
      </c>
      <c r="I47" s="4">
        <v>5.0000000000000001E-4</v>
      </c>
      <c r="J47" s="4">
        <v>-17.036999999999999</v>
      </c>
      <c r="K47" s="4">
        <v>2.5999999999999999E-3</v>
      </c>
      <c r="L47" s="4">
        <v>3.7999999999999999E-2</v>
      </c>
      <c r="M47" s="4">
        <v>1.6E-2</v>
      </c>
      <c r="N47" s="4">
        <v>-1.2200000000000001E-2</v>
      </c>
      <c r="O47" s="4">
        <v>1.2999999999999999E-3</v>
      </c>
      <c r="P47" s="4">
        <v>128.38</v>
      </c>
      <c r="Q47" s="4">
        <v>0.8</v>
      </c>
      <c r="R47" s="4">
        <f t="shared" si="2"/>
        <v>0.30430814814814816</v>
      </c>
      <c r="S47" s="22">
        <f t="shared" si="1"/>
        <v>1.8962962962962963E-3</v>
      </c>
    </row>
    <row r="48" spans="1:19">
      <c r="A48" s="28" t="s">
        <v>31</v>
      </c>
      <c r="B48" s="29">
        <v>12111112</v>
      </c>
      <c r="C48" s="29"/>
      <c r="D48" s="29">
        <v>0.75</v>
      </c>
      <c r="E48" s="4">
        <v>8</v>
      </c>
      <c r="F48" s="4">
        <v>2</v>
      </c>
      <c r="G48" s="4">
        <v>15</v>
      </c>
      <c r="H48" s="30">
        <v>2.1137999999999999</v>
      </c>
      <c r="I48" s="4">
        <v>5.9999999999999995E-4</v>
      </c>
      <c r="J48" s="29">
        <v>-10.6366</v>
      </c>
      <c r="K48" s="4">
        <v>6.9999999999999999E-4</v>
      </c>
      <c r="L48" s="4">
        <v>2.9000000000000001E-2</v>
      </c>
      <c r="M48" s="4">
        <v>6.0000000000000001E-3</v>
      </c>
      <c r="N48" s="4">
        <v>-2.1899999999999999E-2</v>
      </c>
      <c r="O48" s="4">
        <v>8.9999999999999998E-4</v>
      </c>
      <c r="P48" s="4">
        <v>123.96</v>
      </c>
      <c r="Q48" s="4">
        <v>0.3</v>
      </c>
      <c r="R48" s="29">
        <f t="shared" si="2"/>
        <v>0.2938311111111111</v>
      </c>
      <c r="S48" s="22">
        <f t="shared" si="1"/>
        <v>7.1111111111111104E-4</v>
      </c>
    </row>
    <row r="49" spans="1:19">
      <c r="A49" s="19" t="s">
        <v>32</v>
      </c>
      <c r="B49" s="20">
        <v>11211211</v>
      </c>
      <c r="C49" s="20"/>
      <c r="D49" s="20">
        <v>0.25</v>
      </c>
      <c r="E49" s="4">
        <v>8</v>
      </c>
      <c r="F49" s="4">
        <v>2</v>
      </c>
      <c r="G49" s="4">
        <v>15</v>
      </c>
      <c r="H49" s="21">
        <v>4.6284000000000001</v>
      </c>
      <c r="I49" s="4">
        <v>8.0000000000000004E-4</v>
      </c>
      <c r="J49" s="20">
        <v>-23.584099999999999</v>
      </c>
      <c r="K49" s="4">
        <v>8.0000000000000004E-4</v>
      </c>
      <c r="L49" s="4">
        <v>3.4000000000000002E-2</v>
      </c>
      <c r="M49" s="4">
        <v>2E-3</v>
      </c>
      <c r="N49" s="4">
        <v>-8.5000000000000006E-3</v>
      </c>
      <c r="O49" s="4">
        <v>2.9999999999999997E-4</v>
      </c>
      <c r="P49" s="4">
        <v>129.57</v>
      </c>
      <c r="Q49" s="4">
        <v>0.17</v>
      </c>
      <c r="R49" s="20">
        <f t="shared" si="2"/>
        <v>0.3071288888888889</v>
      </c>
      <c r="S49" s="22">
        <f t="shared" si="1"/>
        <v>4.0296296296296299E-4</v>
      </c>
    </row>
    <row r="50" spans="1:19">
      <c r="A50" s="23" t="s">
        <v>32</v>
      </c>
      <c r="B50" s="4">
        <v>11211211</v>
      </c>
      <c r="D50" s="4">
        <v>0.5</v>
      </c>
      <c r="E50" s="4">
        <v>8</v>
      </c>
      <c r="F50" s="4">
        <v>2</v>
      </c>
      <c r="G50" s="4">
        <v>15</v>
      </c>
      <c r="H50" s="24">
        <v>3.3191000000000002</v>
      </c>
      <c r="I50" s="4">
        <v>1E-3</v>
      </c>
      <c r="J50" s="4">
        <v>-16.982399999999998</v>
      </c>
      <c r="K50" s="4">
        <v>4.0000000000000002E-4</v>
      </c>
      <c r="L50" s="4">
        <v>5.5E-2</v>
      </c>
      <c r="M50" s="4">
        <v>8.9999999999999993E-3</v>
      </c>
      <c r="N50" s="4">
        <v>-1.2200000000000001E-2</v>
      </c>
      <c r="O50" s="4">
        <v>1.6000000000000001E-3</v>
      </c>
      <c r="P50" s="4">
        <v>129.35</v>
      </c>
      <c r="Q50" s="4">
        <v>0.53</v>
      </c>
      <c r="R50" s="4">
        <f t="shared" si="2"/>
        <v>0.30660740740740738</v>
      </c>
      <c r="S50" s="22">
        <f t="shared" si="1"/>
        <v>1.2562962962962964E-3</v>
      </c>
    </row>
    <row r="51" spans="1:19">
      <c r="A51" s="28" t="s">
        <v>32</v>
      </c>
      <c r="B51" s="29">
        <v>11211211</v>
      </c>
      <c r="C51" s="29"/>
      <c r="D51" s="29">
        <v>0.75</v>
      </c>
      <c r="E51" s="4">
        <v>8</v>
      </c>
      <c r="F51" s="4">
        <v>2</v>
      </c>
      <c r="G51" s="4">
        <v>15</v>
      </c>
      <c r="H51" s="30">
        <v>2.0145</v>
      </c>
      <c r="I51" s="4">
        <v>2.0000000000000001E-4</v>
      </c>
      <c r="J51" s="29">
        <v>-10.5275</v>
      </c>
      <c r="K51" s="4">
        <v>2.9999999999999997E-4</v>
      </c>
      <c r="L51" s="4">
        <v>6.9000000000000006E-2</v>
      </c>
      <c r="M51" s="4">
        <v>6.0000000000000001E-3</v>
      </c>
      <c r="N51" s="4">
        <v>-2.4299999999999999E-2</v>
      </c>
      <c r="O51" s="4">
        <v>1.1999999999999999E-3</v>
      </c>
      <c r="P51" s="4">
        <v>124.72</v>
      </c>
      <c r="Q51" s="4">
        <v>0.33</v>
      </c>
      <c r="R51" s="29">
        <f t="shared" si="2"/>
        <v>0.29563259259259261</v>
      </c>
      <c r="S51" s="22">
        <f t="shared" si="1"/>
        <v>7.8222222222222224E-4</v>
      </c>
    </row>
    <row r="52" spans="1:19">
      <c r="A52" s="19" t="s">
        <v>33</v>
      </c>
      <c r="B52" s="20">
        <v>11211121</v>
      </c>
      <c r="C52" s="20"/>
      <c r="D52" s="20">
        <v>0.25</v>
      </c>
      <c r="E52" s="4">
        <v>8</v>
      </c>
      <c r="F52" s="4">
        <v>2</v>
      </c>
      <c r="G52" s="4">
        <v>15</v>
      </c>
      <c r="H52" s="21">
        <v>4.6353999999999997</v>
      </c>
      <c r="I52" s="4">
        <v>8.9999999999999998E-4</v>
      </c>
      <c r="J52" s="20">
        <v>-23.575700000000001</v>
      </c>
      <c r="K52" s="4">
        <v>5.9999999999999995E-4</v>
      </c>
      <c r="L52" s="4">
        <v>3.6999999999999998E-2</v>
      </c>
      <c r="M52" s="4">
        <v>1E-3</v>
      </c>
      <c r="N52" s="4">
        <v>-8.6999999999999994E-3</v>
      </c>
      <c r="O52" s="4">
        <v>1E-4</v>
      </c>
      <c r="P52" s="4">
        <v>129.56</v>
      </c>
      <c r="Q52" s="4">
        <v>0.12</v>
      </c>
      <c r="R52" s="20">
        <f t="shared" si="2"/>
        <v>0.3071051851851852</v>
      </c>
      <c r="S52" s="22">
        <f t="shared" si="1"/>
        <v>2.8444444444444443E-4</v>
      </c>
    </row>
    <row r="53" spans="1:19">
      <c r="A53" s="23" t="s">
        <v>33</v>
      </c>
      <c r="B53" s="4">
        <v>11211121</v>
      </c>
      <c r="D53" s="4">
        <v>0.5</v>
      </c>
      <c r="E53" s="4">
        <v>8</v>
      </c>
      <c r="F53" s="4">
        <v>2</v>
      </c>
      <c r="G53" s="4">
        <v>15</v>
      </c>
      <c r="H53" s="24">
        <v>3.3340999999999998</v>
      </c>
      <c r="I53" s="4">
        <v>6.9999999999999999E-4</v>
      </c>
      <c r="J53" s="4">
        <v>-16.963799999999999</v>
      </c>
      <c r="K53" s="4">
        <v>1.1999999999999999E-3</v>
      </c>
      <c r="L53" s="4">
        <v>3.5000000000000003E-2</v>
      </c>
      <c r="M53" s="4">
        <v>6.0000000000000001E-3</v>
      </c>
      <c r="N53" s="4">
        <v>-1.23E-2</v>
      </c>
      <c r="O53" s="4">
        <v>2.9999999999999997E-4</v>
      </c>
      <c r="P53" s="4">
        <v>128.94999999999999</v>
      </c>
      <c r="Q53" s="4">
        <v>0.05</v>
      </c>
      <c r="R53" s="4">
        <f t="shared" si="2"/>
        <v>0.30565925925925924</v>
      </c>
      <c r="S53" s="22">
        <f t="shared" si="1"/>
        <v>1.1851851851851852E-4</v>
      </c>
    </row>
    <row r="54" spans="1:19">
      <c r="A54" s="28" t="s">
        <v>33</v>
      </c>
      <c r="B54" s="29">
        <v>11211121</v>
      </c>
      <c r="C54" s="29"/>
      <c r="D54" s="29">
        <v>0.75</v>
      </c>
      <c r="E54" s="4">
        <v>8</v>
      </c>
      <c r="F54" s="4">
        <v>2</v>
      </c>
      <c r="G54" s="4">
        <v>15</v>
      </c>
      <c r="H54" s="30">
        <v>2.0407999999999999</v>
      </c>
      <c r="I54" s="4">
        <v>2.9999999999999997E-4</v>
      </c>
      <c r="J54" s="29">
        <v>-10.489000000000001</v>
      </c>
      <c r="K54" s="4">
        <v>4.0000000000000002E-4</v>
      </c>
      <c r="L54" s="4">
        <v>5.5E-2</v>
      </c>
      <c r="M54" s="4">
        <v>6.0000000000000001E-3</v>
      </c>
      <c r="N54" s="4">
        <v>-2.29E-2</v>
      </c>
      <c r="O54" s="4">
        <v>8.9999999999999998E-4</v>
      </c>
      <c r="P54" s="4">
        <v>125.04</v>
      </c>
      <c r="Q54" s="4">
        <v>0.22</v>
      </c>
      <c r="R54" s="29">
        <f t="shared" si="2"/>
        <v>0.29639111111111111</v>
      </c>
      <c r="S54" s="22">
        <f t="shared" si="1"/>
        <v>5.2148148148148149E-4</v>
      </c>
    </row>
    <row r="55" spans="1:19">
      <c r="A55" s="19" t="s">
        <v>34</v>
      </c>
      <c r="B55" s="20">
        <v>11111212</v>
      </c>
      <c r="C55" s="20"/>
      <c r="D55" s="20">
        <v>0.25</v>
      </c>
      <c r="E55" s="4">
        <v>8</v>
      </c>
      <c r="F55" s="4">
        <v>2</v>
      </c>
      <c r="G55" s="4">
        <v>15</v>
      </c>
      <c r="H55" s="21">
        <v>4.6496000000000004</v>
      </c>
      <c r="I55" s="4">
        <v>1.1000000000000001E-3</v>
      </c>
      <c r="J55" s="20">
        <v>-23.6784</v>
      </c>
      <c r="K55" s="4">
        <v>5.0000000000000001E-4</v>
      </c>
      <c r="L55" s="4">
        <v>3.7999999999999999E-2</v>
      </c>
      <c r="M55" s="4">
        <v>4.0000000000000001E-3</v>
      </c>
      <c r="N55" s="4">
        <v>-8.5000000000000006E-3</v>
      </c>
      <c r="O55" s="4">
        <v>2.0000000000000001E-4</v>
      </c>
      <c r="P55" s="4">
        <v>129.34</v>
      </c>
      <c r="Q55" s="4">
        <v>7.0000000000000007E-2</v>
      </c>
      <c r="R55" s="20">
        <f t="shared" si="2"/>
        <v>0.30658370370370369</v>
      </c>
      <c r="S55" s="22">
        <f t="shared" si="1"/>
        <v>1.6592592592592595E-4</v>
      </c>
    </row>
    <row r="56" spans="1:19">
      <c r="A56" s="23" t="s">
        <v>34</v>
      </c>
      <c r="B56" s="4">
        <v>11111212</v>
      </c>
      <c r="D56" s="4">
        <v>0.5</v>
      </c>
      <c r="E56" s="4">
        <v>8</v>
      </c>
      <c r="F56" s="4">
        <v>2</v>
      </c>
      <c r="G56" s="4">
        <v>15</v>
      </c>
      <c r="H56" s="24">
        <v>3.3622999999999998</v>
      </c>
      <c r="I56" s="4">
        <v>8.0000000000000004E-4</v>
      </c>
      <c r="J56" s="4">
        <v>-17.213799999999999</v>
      </c>
      <c r="K56" s="4">
        <v>8.0000000000000004E-4</v>
      </c>
      <c r="L56" s="4">
        <v>3.5999999999999997E-2</v>
      </c>
      <c r="M56" s="4">
        <v>1.0999999999999999E-2</v>
      </c>
      <c r="N56" s="4">
        <v>-1.32E-2</v>
      </c>
      <c r="O56" s="4">
        <v>2.9999999999999997E-4</v>
      </c>
      <c r="P56" s="4">
        <v>127.5</v>
      </c>
      <c r="Q56" s="4">
        <v>0.16</v>
      </c>
      <c r="R56" s="4">
        <f t="shared" si="2"/>
        <v>0.30222222222222223</v>
      </c>
      <c r="S56" s="22">
        <f t="shared" si="1"/>
        <v>3.7925925925925925E-4</v>
      </c>
    </row>
    <row r="57" spans="1:19">
      <c r="A57" s="28" t="s">
        <v>34</v>
      </c>
      <c r="B57" s="29">
        <v>11111212</v>
      </c>
      <c r="C57" s="29"/>
      <c r="D57" s="29">
        <v>0.75</v>
      </c>
      <c r="E57" s="4">
        <v>8</v>
      </c>
      <c r="F57" s="4">
        <v>2</v>
      </c>
      <c r="G57" s="4">
        <v>15</v>
      </c>
      <c r="H57" s="30">
        <v>2.0941000000000001</v>
      </c>
      <c r="I57" s="4">
        <v>5.0000000000000001E-4</v>
      </c>
      <c r="J57" s="29">
        <v>-11.159800000000001</v>
      </c>
      <c r="K57" s="4">
        <v>5.0000000000000001E-4</v>
      </c>
      <c r="L57" s="4">
        <v>0.14299999999999999</v>
      </c>
      <c r="M57" s="4">
        <v>1.2E-2</v>
      </c>
      <c r="N57" s="4">
        <v>-3.8899999999999997E-2</v>
      </c>
      <c r="O57" s="4">
        <v>5.0000000000000001E-4</v>
      </c>
      <c r="P57" s="4">
        <v>110.39</v>
      </c>
      <c r="Q57" s="4">
        <v>0.21</v>
      </c>
      <c r="R57" s="29">
        <f t="shared" si="2"/>
        <v>0.26166518518518517</v>
      </c>
      <c r="S57" s="22">
        <f t="shared" si="1"/>
        <v>4.9777777777777776E-4</v>
      </c>
    </row>
    <row r="58" spans="1:19">
      <c r="A58" s="19" t="s">
        <v>35</v>
      </c>
      <c r="B58" s="20">
        <v>21112111</v>
      </c>
      <c r="C58" s="20"/>
      <c r="D58" s="20">
        <v>0.25</v>
      </c>
      <c r="E58" s="4">
        <v>8</v>
      </c>
      <c r="F58" s="4">
        <v>2</v>
      </c>
      <c r="G58" s="4">
        <v>15</v>
      </c>
      <c r="H58" s="21">
        <v>4.6471</v>
      </c>
      <c r="I58" s="4">
        <v>5.9999999999999995E-4</v>
      </c>
      <c r="J58" s="20">
        <v>-23.6097</v>
      </c>
      <c r="K58" s="4">
        <v>8.0000000000000004E-4</v>
      </c>
      <c r="L58" s="4">
        <v>3.1E-2</v>
      </c>
      <c r="M58" s="4">
        <v>6.0000000000000001E-3</v>
      </c>
      <c r="N58" s="4">
        <v>-8.6E-3</v>
      </c>
      <c r="O58" s="4">
        <v>2.9999999999999997E-4</v>
      </c>
      <c r="P58" s="4">
        <v>129.5</v>
      </c>
      <c r="Q58" s="4">
        <v>0.14000000000000001</v>
      </c>
      <c r="R58" s="20">
        <f t="shared" si="2"/>
        <v>0.30696296296296294</v>
      </c>
      <c r="S58" s="22">
        <f t="shared" si="1"/>
        <v>3.3185185185185189E-4</v>
      </c>
    </row>
    <row r="59" spans="1:19">
      <c r="A59" s="23" t="s">
        <v>35</v>
      </c>
      <c r="B59" s="4">
        <v>21112111</v>
      </c>
      <c r="D59" s="4">
        <v>0.5</v>
      </c>
      <c r="E59" s="4">
        <v>8</v>
      </c>
      <c r="F59" s="4">
        <v>2</v>
      </c>
      <c r="G59" s="4">
        <v>15</v>
      </c>
      <c r="H59" s="24">
        <v>3.3559000000000001</v>
      </c>
      <c r="I59" s="4">
        <v>8.0000000000000004E-4</v>
      </c>
      <c r="J59" s="4">
        <v>-17.0411</v>
      </c>
      <c r="K59" s="4">
        <v>5.0000000000000001E-4</v>
      </c>
      <c r="L59" s="4">
        <v>3.5999999999999997E-2</v>
      </c>
      <c r="M59" s="4">
        <v>3.0000000000000001E-3</v>
      </c>
      <c r="N59" s="4">
        <v>-1.24E-2</v>
      </c>
      <c r="O59" s="4">
        <v>2.0000000000000001E-4</v>
      </c>
      <c r="P59" s="4">
        <v>128.58000000000001</v>
      </c>
      <c r="Q59" s="4">
        <v>7.0000000000000007E-2</v>
      </c>
      <c r="R59" s="4">
        <f t="shared" si="2"/>
        <v>0.30478222222222223</v>
      </c>
      <c r="S59" s="22">
        <f t="shared" si="1"/>
        <v>1.6592592592592595E-4</v>
      </c>
    </row>
    <row r="60" spans="1:19">
      <c r="A60" s="28" t="s">
        <v>35</v>
      </c>
      <c r="B60" s="29">
        <v>21112111</v>
      </c>
      <c r="C60" s="29"/>
      <c r="D60" s="29">
        <v>0.75</v>
      </c>
      <c r="E60" s="4">
        <v>8</v>
      </c>
      <c r="F60" s="4">
        <v>2</v>
      </c>
      <c r="G60" s="4">
        <v>15</v>
      </c>
      <c r="H60" s="30">
        <v>2.0758000000000001</v>
      </c>
      <c r="I60" s="4">
        <v>8.0000000000000004E-4</v>
      </c>
      <c r="J60" s="29">
        <v>-10.652100000000001</v>
      </c>
      <c r="K60" s="4">
        <v>5.0000000000000001E-4</v>
      </c>
      <c r="L60" s="4">
        <v>5.0999999999999997E-2</v>
      </c>
      <c r="M60" s="4">
        <v>7.0000000000000001E-3</v>
      </c>
      <c r="N60" s="4">
        <v>-2.5100000000000001E-2</v>
      </c>
      <c r="O60" s="4">
        <v>1.5E-3</v>
      </c>
      <c r="P60" s="4">
        <v>122.75</v>
      </c>
      <c r="Q60" s="4">
        <v>0.39</v>
      </c>
      <c r="R60" s="29">
        <f t="shared" si="2"/>
        <v>0.29096296296296298</v>
      </c>
      <c r="S60" s="22">
        <f t="shared" si="1"/>
        <v>9.2444444444444442E-4</v>
      </c>
    </row>
    <row r="61" spans="1:19">
      <c r="A61" s="19" t="s">
        <v>36</v>
      </c>
      <c r="B61" s="20">
        <v>11111221</v>
      </c>
      <c r="C61" s="20"/>
      <c r="D61" s="20">
        <v>0.25</v>
      </c>
      <c r="E61" s="4">
        <v>8</v>
      </c>
      <c r="F61" s="4">
        <v>2</v>
      </c>
      <c r="G61" s="4">
        <v>15</v>
      </c>
      <c r="H61" s="21">
        <v>4.6371000000000002</v>
      </c>
      <c r="I61" s="4">
        <v>8.0000000000000004E-4</v>
      </c>
      <c r="J61" s="20">
        <v>-23.545000000000002</v>
      </c>
      <c r="K61" s="4">
        <v>4.0000000000000002E-4</v>
      </c>
      <c r="L61" s="4">
        <v>3.4000000000000002E-2</v>
      </c>
      <c r="M61" s="4">
        <v>5.0000000000000001E-3</v>
      </c>
      <c r="N61" s="4">
        <v>-8.5000000000000006E-3</v>
      </c>
      <c r="O61" s="4">
        <v>1E-4</v>
      </c>
      <c r="P61" s="4">
        <v>129.32</v>
      </c>
      <c r="Q61" s="4">
        <v>0.06</v>
      </c>
      <c r="R61" s="20">
        <f t="shared" si="2"/>
        <v>0.30653629629629631</v>
      </c>
      <c r="S61" s="22">
        <f t="shared" si="1"/>
        <v>1.4222222222222221E-4</v>
      </c>
    </row>
    <row r="62" spans="1:19">
      <c r="A62" s="23" t="s">
        <v>36</v>
      </c>
      <c r="B62" s="4">
        <v>11111221</v>
      </c>
      <c r="D62" s="4">
        <v>0.5</v>
      </c>
      <c r="E62" s="4">
        <v>8</v>
      </c>
      <c r="F62" s="4">
        <v>2</v>
      </c>
      <c r="G62" s="4">
        <v>15</v>
      </c>
      <c r="H62" s="24">
        <v>3.3386999999999998</v>
      </c>
      <c r="I62" s="4">
        <v>4.0000000000000002E-4</v>
      </c>
      <c r="J62" s="4">
        <v>-16.961300000000001</v>
      </c>
      <c r="K62" s="4">
        <v>2.2000000000000001E-3</v>
      </c>
      <c r="L62" s="4">
        <v>4.2000000000000003E-2</v>
      </c>
      <c r="M62" s="4">
        <v>8.0000000000000002E-3</v>
      </c>
      <c r="N62" s="4">
        <v>-1.2500000000000001E-2</v>
      </c>
      <c r="O62" s="4">
        <v>1.5E-3</v>
      </c>
      <c r="P62" s="4">
        <v>127.58</v>
      </c>
      <c r="Q62" s="4">
        <v>0.52</v>
      </c>
      <c r="R62" s="4">
        <f>P62*E62/G62^3</f>
        <v>0.30241185185185182</v>
      </c>
      <c r="S62" s="22">
        <f>Q62*E62/G62^3</f>
        <v>1.2325925925925926E-3</v>
      </c>
    </row>
    <row r="63" spans="1:19" ht="17" thickBot="1">
      <c r="A63" s="25" t="s">
        <v>36</v>
      </c>
      <c r="B63" s="9">
        <v>11111221</v>
      </c>
      <c r="C63" s="9"/>
      <c r="D63" s="9">
        <v>0.75</v>
      </c>
      <c r="E63" s="10">
        <v>8</v>
      </c>
      <c r="F63" s="10">
        <v>2</v>
      </c>
      <c r="G63" s="10">
        <v>15</v>
      </c>
      <c r="H63" s="2">
        <v>2.0661</v>
      </c>
      <c r="I63" s="10">
        <v>4.0000000000000002E-4</v>
      </c>
      <c r="J63" s="9">
        <v>-10.957100000000001</v>
      </c>
      <c r="K63" s="10">
        <v>5.0000000000000001E-4</v>
      </c>
      <c r="L63" s="10">
        <v>0.17899999999999999</v>
      </c>
      <c r="M63" s="10">
        <v>8.9999999999999993E-3</v>
      </c>
      <c r="N63" s="10">
        <v>-4.3499999999999997E-2</v>
      </c>
      <c r="O63" s="10">
        <v>5.0000000000000001E-4</v>
      </c>
      <c r="P63" s="10">
        <v>106.11</v>
      </c>
      <c r="Q63" s="10">
        <v>0.23</v>
      </c>
      <c r="R63" s="9">
        <f t="shared" ref="R63" si="3">P63*E63/G63^3</f>
        <v>0.25152000000000002</v>
      </c>
      <c r="S63" s="26">
        <f t="shared" ref="S63" si="4">Q63*E63/G63^3</f>
        <v>5.4518518518518523E-4</v>
      </c>
    </row>
    <row r="64" spans="1:19" ht="17" thickTop="1">
      <c r="A64" s="27" t="s">
        <v>37</v>
      </c>
      <c r="B64" s="5">
        <v>21211211</v>
      </c>
      <c r="C64" s="5"/>
      <c r="D64" s="5">
        <v>0.25</v>
      </c>
      <c r="E64" s="7">
        <v>8</v>
      </c>
      <c r="F64" s="7">
        <v>3</v>
      </c>
      <c r="G64" s="7">
        <v>15</v>
      </c>
      <c r="H64" s="12">
        <v>4.8747999999999996</v>
      </c>
      <c r="I64" s="7">
        <v>5.0000000000000001E-4</v>
      </c>
      <c r="J64" s="5">
        <v>-24.852799999999998</v>
      </c>
      <c r="K64" s="7">
        <v>1.5E-3</v>
      </c>
      <c r="L64" s="7">
        <v>3.5000000000000003E-2</v>
      </c>
      <c r="M64" s="7">
        <v>6.0000000000000001E-3</v>
      </c>
      <c r="N64" s="7">
        <v>-8.3999999999999995E-3</v>
      </c>
      <c r="O64" s="7">
        <v>2.0000000000000001E-4</v>
      </c>
      <c r="P64" s="7">
        <v>129.26</v>
      </c>
      <c r="Q64" s="7">
        <v>0.08</v>
      </c>
      <c r="R64" s="5">
        <f t="shared" si="2"/>
        <v>0.30639407407407404</v>
      </c>
      <c r="S64" s="18">
        <f t="shared" si="1"/>
        <v>1.8962962962962963E-4</v>
      </c>
    </row>
    <row r="65" spans="1:19">
      <c r="A65" s="23" t="s">
        <v>37</v>
      </c>
      <c r="B65" s="4">
        <v>21211211</v>
      </c>
      <c r="D65" s="4">
        <f>0.5</f>
        <v>0.5</v>
      </c>
      <c r="E65" s="4">
        <v>8</v>
      </c>
      <c r="F65" s="4">
        <v>3</v>
      </c>
      <c r="G65" s="4">
        <v>15</v>
      </c>
      <c r="H65" s="24">
        <v>3.8088000000000002</v>
      </c>
      <c r="I65" s="4">
        <v>8.9999999999999998E-4</v>
      </c>
      <c r="J65" s="4">
        <v>-19.559699999999999</v>
      </c>
      <c r="K65" s="4">
        <v>1E-3</v>
      </c>
      <c r="L65" s="4">
        <v>3.2000000000000001E-2</v>
      </c>
      <c r="M65" s="4">
        <v>5.0000000000000001E-3</v>
      </c>
      <c r="N65" s="4">
        <v>-1.14E-2</v>
      </c>
      <c r="O65" s="4">
        <v>5.0000000000000001E-4</v>
      </c>
      <c r="P65" s="4">
        <v>127.56</v>
      </c>
      <c r="Q65" s="4">
        <v>0.17</v>
      </c>
      <c r="R65" s="4">
        <f t="shared" si="2"/>
        <v>0.30236444444444444</v>
      </c>
      <c r="S65" s="22">
        <f t="shared" si="1"/>
        <v>4.0296296296296299E-4</v>
      </c>
    </row>
    <row r="66" spans="1:19">
      <c r="A66" s="28" t="s">
        <v>37</v>
      </c>
      <c r="B66" s="29">
        <v>21211211</v>
      </c>
      <c r="C66" s="29"/>
      <c r="D66" s="29">
        <v>0.75</v>
      </c>
      <c r="E66" s="4">
        <v>8</v>
      </c>
      <c r="F66" s="4">
        <v>3</v>
      </c>
      <c r="G66" s="4">
        <v>15</v>
      </c>
      <c r="H66" s="30">
        <v>2.7385000000000002</v>
      </c>
      <c r="I66" s="4">
        <v>5.0000000000000001E-4</v>
      </c>
      <c r="J66" s="29">
        <v>-14.4841</v>
      </c>
      <c r="K66" s="4">
        <v>2.9999999999999997E-4</v>
      </c>
      <c r="L66" s="4">
        <v>0.08</v>
      </c>
      <c r="M66" s="4">
        <v>1.6E-2</v>
      </c>
      <c r="N66" s="4">
        <v>-2.24E-2</v>
      </c>
      <c r="O66" s="4">
        <v>5.0000000000000001E-4</v>
      </c>
      <c r="P66" s="4">
        <v>119.06</v>
      </c>
      <c r="Q66" s="4">
        <v>0.19</v>
      </c>
      <c r="R66" s="29">
        <f t="shared" si="2"/>
        <v>0.2822162962962963</v>
      </c>
      <c r="S66" s="22">
        <f t="shared" ref="S66:S129" si="5">Q66*E66/G66^3</f>
        <v>4.503703703703704E-4</v>
      </c>
    </row>
    <row r="67" spans="1:19">
      <c r="A67" s="19" t="s">
        <v>38</v>
      </c>
      <c r="B67" s="20">
        <v>11221121</v>
      </c>
      <c r="C67" s="20"/>
      <c r="D67" s="20">
        <v>0.25</v>
      </c>
      <c r="E67" s="4">
        <v>8</v>
      </c>
      <c r="F67" s="4">
        <v>3</v>
      </c>
      <c r="G67" s="4">
        <v>15</v>
      </c>
      <c r="H67" s="21">
        <v>4.8502999999999998</v>
      </c>
      <c r="I67" s="4">
        <v>4.0000000000000002E-4</v>
      </c>
      <c r="J67" s="20">
        <v>-24.698699999999999</v>
      </c>
      <c r="K67" s="4">
        <v>8.9999999999999998E-4</v>
      </c>
      <c r="L67" s="4">
        <v>3.3000000000000002E-2</v>
      </c>
      <c r="M67" s="4">
        <v>3.0000000000000001E-3</v>
      </c>
      <c r="N67" s="4">
        <v>-8.0999999999999996E-3</v>
      </c>
      <c r="O67" s="4">
        <v>4.0000000000000002E-4</v>
      </c>
      <c r="P67" s="4">
        <v>129.5</v>
      </c>
      <c r="Q67" s="4">
        <v>0.15</v>
      </c>
      <c r="R67" s="20">
        <f t="shared" si="2"/>
        <v>0.30696296296296294</v>
      </c>
      <c r="S67" s="22">
        <f t="shared" si="5"/>
        <v>3.5555555555555552E-4</v>
      </c>
    </row>
    <row r="68" spans="1:19">
      <c r="A68" s="23" t="s">
        <v>38</v>
      </c>
      <c r="B68" s="4">
        <v>11221121</v>
      </c>
      <c r="D68" s="4">
        <v>0.5</v>
      </c>
      <c r="E68" s="4">
        <v>8</v>
      </c>
      <c r="F68" s="4">
        <v>3</v>
      </c>
      <c r="G68" s="4">
        <v>15</v>
      </c>
      <c r="H68" s="24">
        <v>3.7603</v>
      </c>
      <c r="I68" s="4">
        <v>8.0000000000000004E-4</v>
      </c>
      <c r="J68" s="4">
        <v>-19.258800000000001</v>
      </c>
      <c r="K68" s="4">
        <v>1.1000000000000001E-3</v>
      </c>
      <c r="L68" s="4">
        <v>3.7999999999999999E-2</v>
      </c>
      <c r="M68" s="4">
        <v>8.9999999999999993E-3</v>
      </c>
      <c r="N68" s="4">
        <v>-1.18E-2</v>
      </c>
      <c r="O68" s="4">
        <v>8.0000000000000004E-4</v>
      </c>
      <c r="P68" s="4">
        <v>127.62</v>
      </c>
      <c r="Q68" s="4">
        <v>0.33</v>
      </c>
      <c r="R68" s="4">
        <f t="shared" si="2"/>
        <v>0.3025066666666667</v>
      </c>
      <c r="S68" s="22">
        <f t="shared" si="5"/>
        <v>7.8222222222222224E-4</v>
      </c>
    </row>
    <row r="69" spans="1:19">
      <c r="A69" s="28" t="s">
        <v>38</v>
      </c>
      <c r="B69" s="29">
        <v>11221121</v>
      </c>
      <c r="C69" s="29"/>
      <c r="D69" s="29">
        <v>0.75</v>
      </c>
      <c r="E69" s="4">
        <v>8</v>
      </c>
      <c r="F69" s="4">
        <v>3</v>
      </c>
      <c r="G69" s="4">
        <v>15</v>
      </c>
      <c r="H69" s="30">
        <v>2.6631999999999998</v>
      </c>
      <c r="I69" s="4">
        <v>2.0000000000000001E-4</v>
      </c>
      <c r="J69" s="29">
        <v>-14.0725</v>
      </c>
      <c r="K69" s="4">
        <v>5.9999999999999995E-4</v>
      </c>
      <c r="L69" s="4">
        <v>0.112</v>
      </c>
      <c r="M69" s="4">
        <v>8.9999999999999993E-3</v>
      </c>
      <c r="N69" s="4">
        <v>-2.23E-2</v>
      </c>
      <c r="O69" s="4">
        <v>5.0000000000000001E-4</v>
      </c>
      <c r="P69" s="4">
        <v>119.21</v>
      </c>
      <c r="Q69" s="4">
        <v>0.15</v>
      </c>
      <c r="R69" s="29">
        <f t="shared" si="2"/>
        <v>0.28257185185185185</v>
      </c>
      <c r="S69" s="22">
        <f t="shared" si="5"/>
        <v>3.5555555555555552E-4</v>
      </c>
    </row>
    <row r="70" spans="1:19">
      <c r="A70" s="19" t="s">
        <v>39</v>
      </c>
      <c r="B70" s="20">
        <v>12112112</v>
      </c>
      <c r="C70" s="20"/>
      <c r="D70" s="20">
        <v>0.25</v>
      </c>
      <c r="E70" s="4">
        <v>8</v>
      </c>
      <c r="F70" s="4">
        <v>3</v>
      </c>
      <c r="G70" s="4">
        <v>15</v>
      </c>
      <c r="H70" s="21">
        <v>4.8813000000000004</v>
      </c>
      <c r="I70" s="4">
        <v>5.9999999999999995E-4</v>
      </c>
      <c r="J70" s="20">
        <v>-24.818300000000001</v>
      </c>
      <c r="K70" s="4">
        <v>5.9999999999999995E-4</v>
      </c>
      <c r="L70" s="4">
        <v>3.5000000000000003E-2</v>
      </c>
      <c r="M70" s="4">
        <v>4.0000000000000001E-3</v>
      </c>
      <c r="N70" s="4">
        <v>-8.5000000000000006E-3</v>
      </c>
      <c r="O70" s="4">
        <v>2.9999999999999997E-4</v>
      </c>
      <c r="P70" s="4">
        <v>129.21</v>
      </c>
      <c r="Q70" s="4">
        <v>0.09</v>
      </c>
      <c r="R70" s="20">
        <f t="shared" si="2"/>
        <v>0.30627555555555558</v>
      </c>
      <c r="S70" s="22">
        <f t="shared" si="5"/>
        <v>2.1333333333333333E-4</v>
      </c>
    </row>
    <row r="71" spans="1:19">
      <c r="A71" s="23" t="s">
        <v>39</v>
      </c>
      <c r="B71" s="4">
        <v>12112112</v>
      </c>
      <c r="D71" s="4">
        <v>0.5</v>
      </c>
      <c r="E71" s="4">
        <v>8</v>
      </c>
      <c r="F71" s="4">
        <v>3</v>
      </c>
      <c r="G71" s="4">
        <v>15</v>
      </c>
      <c r="H71" s="24">
        <v>3.8245</v>
      </c>
      <c r="I71" s="4">
        <v>6.9999999999999999E-4</v>
      </c>
      <c r="J71" s="4">
        <v>-19.4724</v>
      </c>
      <c r="K71" s="4">
        <v>4.0000000000000002E-4</v>
      </c>
      <c r="L71" s="4">
        <v>3.3000000000000002E-2</v>
      </c>
      <c r="M71" s="4">
        <v>2E-3</v>
      </c>
      <c r="N71" s="4">
        <v>-1.0699999999999999E-2</v>
      </c>
      <c r="O71" s="4">
        <v>1E-4</v>
      </c>
      <c r="P71" s="4">
        <v>128.24</v>
      </c>
      <c r="Q71" s="4">
        <v>7.0000000000000007E-2</v>
      </c>
      <c r="R71" s="4">
        <f t="shared" si="2"/>
        <v>0.3039762962962963</v>
      </c>
      <c r="S71" s="22">
        <f t="shared" si="5"/>
        <v>1.6592592592592595E-4</v>
      </c>
    </row>
    <row r="72" spans="1:19">
      <c r="A72" s="28" t="s">
        <v>39</v>
      </c>
      <c r="B72" s="29">
        <v>12112112</v>
      </c>
      <c r="C72" s="29"/>
      <c r="D72" s="29">
        <v>0.75</v>
      </c>
      <c r="E72" s="4">
        <v>8</v>
      </c>
      <c r="F72" s="4">
        <v>3</v>
      </c>
      <c r="G72" s="4">
        <v>15</v>
      </c>
      <c r="H72" s="30">
        <v>2.7704</v>
      </c>
      <c r="I72" s="4">
        <v>4.0000000000000002E-4</v>
      </c>
      <c r="J72" s="29">
        <v>-14.280099999999999</v>
      </c>
      <c r="K72" s="4">
        <v>5.0000000000000001E-4</v>
      </c>
      <c r="L72" s="4">
        <v>3.3000000000000002E-2</v>
      </c>
      <c r="M72" s="4">
        <v>1.4999999999999999E-2</v>
      </c>
      <c r="N72" s="4">
        <v>-1.7299999999999999E-2</v>
      </c>
      <c r="O72" s="4">
        <v>1E-3</v>
      </c>
      <c r="P72" s="4">
        <v>123.63</v>
      </c>
      <c r="Q72" s="4">
        <v>0.17</v>
      </c>
      <c r="R72" s="29">
        <f t="shared" si="2"/>
        <v>0.29304888888888886</v>
      </c>
      <c r="S72" s="22">
        <f t="shared" si="5"/>
        <v>4.0296296296296299E-4</v>
      </c>
    </row>
    <row r="73" spans="1:19">
      <c r="A73" s="33" t="s">
        <v>39</v>
      </c>
      <c r="B73" s="34">
        <v>12112112</v>
      </c>
      <c r="C73" s="34"/>
      <c r="D73" s="34">
        <v>1</v>
      </c>
      <c r="E73" s="4">
        <v>8</v>
      </c>
      <c r="F73" s="4">
        <v>3</v>
      </c>
      <c r="G73" s="4">
        <v>15</v>
      </c>
      <c r="H73" s="35">
        <v>1.7377</v>
      </c>
      <c r="I73" s="4">
        <v>1E-3</v>
      </c>
      <c r="J73" s="34">
        <v>-9.7268000000000008</v>
      </c>
      <c r="K73" s="4">
        <v>1E-3</v>
      </c>
      <c r="L73" s="4">
        <v>6.2E-2</v>
      </c>
      <c r="M73" s="4">
        <v>1.4E-2</v>
      </c>
      <c r="N73" s="4">
        <v>-5.4100000000000002E-2</v>
      </c>
      <c r="O73" s="4">
        <v>6.9999999999999999E-4</v>
      </c>
      <c r="P73" s="4">
        <v>96.59</v>
      </c>
      <c r="Q73" s="4">
        <v>0.36</v>
      </c>
      <c r="R73" s="34">
        <f t="shared" si="2"/>
        <v>0.22895407407407409</v>
      </c>
      <c r="S73" s="22">
        <f t="shared" si="5"/>
        <v>8.5333333333333333E-4</v>
      </c>
    </row>
    <row r="74" spans="1:19">
      <c r="A74" s="19" t="s">
        <v>40</v>
      </c>
      <c r="B74" s="20">
        <v>11112221</v>
      </c>
      <c r="C74" s="20"/>
      <c r="D74" s="20">
        <v>0.25</v>
      </c>
      <c r="E74" s="4">
        <v>8</v>
      </c>
      <c r="F74" s="4">
        <v>3</v>
      </c>
      <c r="G74" s="4">
        <v>15</v>
      </c>
      <c r="H74" s="21">
        <v>4.8513999999999999</v>
      </c>
      <c r="I74" s="4">
        <v>6.9999999999999999E-4</v>
      </c>
      <c r="J74" s="20">
        <v>-24.721599999999999</v>
      </c>
      <c r="K74" s="4">
        <v>1.1999999999999999E-3</v>
      </c>
      <c r="L74" s="4">
        <v>0.04</v>
      </c>
      <c r="M74" s="4">
        <v>1.4E-2</v>
      </c>
      <c r="N74" s="4">
        <v>-8.9999999999999993E-3</v>
      </c>
      <c r="O74" s="4">
        <v>1.1999999999999999E-3</v>
      </c>
      <c r="P74" s="4">
        <v>128.5</v>
      </c>
      <c r="Q74" s="4">
        <v>0.47</v>
      </c>
      <c r="R74" s="20">
        <f t="shared" si="2"/>
        <v>0.30459259259259258</v>
      </c>
      <c r="S74" s="22">
        <f t="shared" si="5"/>
        <v>1.114074074074074E-3</v>
      </c>
    </row>
    <row r="75" spans="1:19">
      <c r="A75" s="23" t="s">
        <v>40</v>
      </c>
      <c r="B75" s="4">
        <v>11112221</v>
      </c>
      <c r="D75" s="4">
        <v>0.5</v>
      </c>
      <c r="E75" s="4">
        <v>8</v>
      </c>
      <c r="F75" s="4">
        <v>3</v>
      </c>
      <c r="G75" s="4">
        <v>15</v>
      </c>
      <c r="H75" s="24">
        <v>3.7566999999999999</v>
      </c>
      <c r="I75" s="4">
        <v>5.9999999999999995E-4</v>
      </c>
      <c r="J75" s="4">
        <v>-19.435600000000001</v>
      </c>
      <c r="K75" s="4">
        <v>1.2999999999999999E-3</v>
      </c>
      <c r="L75" s="4">
        <v>6.4000000000000001E-2</v>
      </c>
      <c r="M75" s="4">
        <v>8.9999999999999993E-3</v>
      </c>
      <c r="N75" s="4">
        <v>-1.43E-2</v>
      </c>
      <c r="O75" s="4">
        <v>4.0000000000000002E-4</v>
      </c>
      <c r="P75" s="4">
        <v>123.64</v>
      </c>
      <c r="Q75" s="4">
        <v>0.3</v>
      </c>
      <c r="R75" s="4">
        <f t="shared" si="2"/>
        <v>0.29307259259259261</v>
      </c>
      <c r="S75" s="22">
        <f t="shared" si="5"/>
        <v>7.1111111111111104E-4</v>
      </c>
    </row>
    <row r="76" spans="1:19">
      <c r="A76" s="19" t="s">
        <v>41</v>
      </c>
      <c r="B76" s="20">
        <v>21111122</v>
      </c>
      <c r="C76" s="20" t="s">
        <v>30</v>
      </c>
      <c r="D76" s="20">
        <v>0.25</v>
      </c>
      <c r="E76" s="4">
        <v>8</v>
      </c>
      <c r="F76" s="4">
        <v>3</v>
      </c>
      <c r="G76" s="4">
        <v>15</v>
      </c>
      <c r="H76" s="21">
        <v>4.9153000000000002</v>
      </c>
      <c r="I76" s="4">
        <v>6.9999999999999999E-4</v>
      </c>
      <c r="J76" s="20">
        <v>-24.802499999999998</v>
      </c>
      <c r="K76" s="4">
        <v>5.9999999999999995E-4</v>
      </c>
      <c r="L76" s="4">
        <v>3.5999999999999997E-2</v>
      </c>
      <c r="M76" s="4">
        <v>7.0000000000000001E-3</v>
      </c>
      <c r="N76" s="4">
        <v>-8.3000000000000001E-3</v>
      </c>
      <c r="O76" s="4">
        <v>1E-4</v>
      </c>
      <c r="P76" s="4">
        <v>128.94</v>
      </c>
      <c r="Q76" s="4">
        <v>0.04</v>
      </c>
      <c r="R76" s="20">
        <f t="shared" si="2"/>
        <v>0.30563555555555555</v>
      </c>
      <c r="S76" s="22">
        <f t="shared" si="5"/>
        <v>9.4814814814814813E-5</v>
      </c>
    </row>
    <row r="77" spans="1:19">
      <c r="A77" s="23" t="s">
        <v>41</v>
      </c>
      <c r="B77" s="4">
        <v>21111122</v>
      </c>
      <c r="C77" s="4" t="s">
        <v>30</v>
      </c>
      <c r="D77" s="4">
        <v>0.5</v>
      </c>
      <c r="E77" s="4">
        <v>8</v>
      </c>
      <c r="F77" s="4">
        <v>3</v>
      </c>
      <c r="G77" s="4">
        <v>15</v>
      </c>
      <c r="H77" s="24">
        <v>3.8955000000000002</v>
      </c>
      <c r="I77" s="4">
        <v>5.9999999999999995E-4</v>
      </c>
      <c r="J77" s="4">
        <v>-19.516500000000001</v>
      </c>
      <c r="K77" s="4">
        <v>1.5E-3</v>
      </c>
      <c r="L77" s="4">
        <v>3.3000000000000002E-2</v>
      </c>
      <c r="M77" s="4">
        <v>4.0000000000000001E-3</v>
      </c>
      <c r="N77" s="4">
        <v>-1.2E-2</v>
      </c>
      <c r="O77" s="4">
        <v>2.9999999999999997E-4</v>
      </c>
      <c r="P77" s="4">
        <v>125.88</v>
      </c>
      <c r="Q77" s="4">
        <v>0.18</v>
      </c>
      <c r="R77" s="4">
        <f t="shared" si="2"/>
        <v>0.29838222222222222</v>
      </c>
      <c r="S77" s="22">
        <f t="shared" si="5"/>
        <v>4.2666666666666667E-4</v>
      </c>
    </row>
    <row r="78" spans="1:19">
      <c r="A78" s="28" t="s">
        <v>41</v>
      </c>
      <c r="B78" s="29">
        <v>21111122</v>
      </c>
      <c r="C78" s="29" t="s">
        <v>30</v>
      </c>
      <c r="D78" s="29">
        <v>0.75</v>
      </c>
      <c r="E78" s="4">
        <v>8</v>
      </c>
      <c r="F78" s="4">
        <v>3</v>
      </c>
      <c r="G78" s="4">
        <v>15</v>
      </c>
      <c r="H78" s="30">
        <v>2.9190999999999998</v>
      </c>
      <c r="I78" s="4">
        <v>1E-3</v>
      </c>
      <c r="J78" s="29">
        <v>-14.664899999999999</v>
      </c>
      <c r="K78" s="4">
        <v>1.1999999999999999E-3</v>
      </c>
      <c r="L78" s="4">
        <v>5.2999999999999999E-2</v>
      </c>
      <c r="M78" s="4">
        <v>1.2999999999999999E-2</v>
      </c>
      <c r="N78" s="4">
        <v>-2.2100000000000002E-2</v>
      </c>
      <c r="O78" s="4">
        <v>5.9999999999999995E-4</v>
      </c>
      <c r="P78" s="4">
        <v>114.42</v>
      </c>
      <c r="Q78" s="4">
        <v>0.27</v>
      </c>
      <c r="R78" s="29">
        <f t="shared" si="2"/>
        <v>0.27121777777777778</v>
      </c>
      <c r="S78" s="22">
        <f t="shared" si="5"/>
        <v>6.4000000000000005E-4</v>
      </c>
    </row>
    <row r="79" spans="1:19">
      <c r="A79" s="19" t="s">
        <v>42</v>
      </c>
      <c r="B79" s="20">
        <v>11121122</v>
      </c>
      <c r="C79" s="20"/>
      <c r="D79" s="20">
        <v>0.25</v>
      </c>
      <c r="E79" s="4">
        <v>8</v>
      </c>
      <c r="F79" s="4">
        <v>3</v>
      </c>
      <c r="G79" s="4">
        <v>15</v>
      </c>
      <c r="H79" s="21">
        <v>4.88</v>
      </c>
      <c r="I79" s="4">
        <v>4.0000000000000002E-4</v>
      </c>
      <c r="J79" s="20">
        <v>-24.787700000000001</v>
      </c>
      <c r="K79" s="4">
        <v>6.9999999999999999E-4</v>
      </c>
      <c r="L79" s="4">
        <v>3.3000000000000002E-2</v>
      </c>
      <c r="M79" s="4">
        <v>5.0000000000000001E-3</v>
      </c>
      <c r="N79" s="4">
        <v>-8.0000000000000002E-3</v>
      </c>
      <c r="O79" s="4">
        <v>2.0000000000000001E-4</v>
      </c>
      <c r="P79" s="4">
        <v>129.13999999999999</v>
      </c>
      <c r="Q79" s="4">
        <v>0.12</v>
      </c>
      <c r="R79" s="20">
        <f t="shared" si="2"/>
        <v>0.30610962962962962</v>
      </c>
      <c r="S79" s="22">
        <f t="shared" si="5"/>
        <v>2.8444444444444443E-4</v>
      </c>
    </row>
    <row r="80" spans="1:19">
      <c r="A80" s="23" t="s">
        <v>42</v>
      </c>
      <c r="B80" s="4">
        <v>11121122</v>
      </c>
      <c r="D80" s="4">
        <v>0.5</v>
      </c>
      <c r="E80" s="4">
        <v>8</v>
      </c>
      <c r="F80" s="4">
        <v>3</v>
      </c>
      <c r="G80" s="4">
        <v>15</v>
      </c>
      <c r="H80" s="24">
        <v>3.8170000000000002</v>
      </c>
      <c r="I80" s="4">
        <v>5.9999999999999995E-4</v>
      </c>
      <c r="J80" s="4">
        <v>-19.491</v>
      </c>
      <c r="K80" s="4">
        <v>1.1999999999999999E-3</v>
      </c>
      <c r="L80" s="4">
        <v>4.8000000000000001E-2</v>
      </c>
      <c r="M80" s="4">
        <v>0.01</v>
      </c>
      <c r="N80" s="4">
        <v>-1.2200000000000001E-2</v>
      </c>
      <c r="O80" s="4">
        <v>2.9999999999999997E-4</v>
      </c>
      <c r="P80" s="4">
        <v>125.59</v>
      </c>
      <c r="Q80" s="4">
        <v>0.16</v>
      </c>
      <c r="R80" s="4">
        <f t="shared" si="2"/>
        <v>0.2976948148148148</v>
      </c>
      <c r="S80" s="22">
        <f t="shared" si="5"/>
        <v>3.7925925925925925E-4</v>
      </c>
    </row>
    <row r="81" spans="1:19">
      <c r="A81" s="28" t="s">
        <v>42</v>
      </c>
      <c r="B81" s="29">
        <v>11121122</v>
      </c>
      <c r="C81" s="29"/>
      <c r="D81" s="29">
        <v>0.75</v>
      </c>
      <c r="E81" s="4">
        <v>8</v>
      </c>
      <c r="F81" s="4">
        <v>3</v>
      </c>
      <c r="G81" s="4">
        <v>15</v>
      </c>
      <c r="H81" s="30">
        <v>2.7294</v>
      </c>
      <c r="I81" s="4">
        <v>5.0000000000000001E-4</v>
      </c>
      <c r="J81" s="29">
        <v>-14.73</v>
      </c>
      <c r="K81" s="4">
        <v>1.5E-3</v>
      </c>
      <c r="L81" s="4">
        <v>0.105</v>
      </c>
      <c r="M81" s="4">
        <v>1.4E-2</v>
      </c>
      <c r="N81" s="4">
        <v>-3.9699999999999999E-2</v>
      </c>
      <c r="O81" s="4">
        <v>5.9999999999999995E-4</v>
      </c>
      <c r="P81" s="4">
        <v>99.59</v>
      </c>
      <c r="Q81" s="4">
        <v>0.34</v>
      </c>
      <c r="R81" s="29">
        <f t="shared" si="2"/>
        <v>0.23606518518518518</v>
      </c>
      <c r="S81" s="22">
        <f t="shared" si="5"/>
        <v>8.0592592592592597E-4</v>
      </c>
    </row>
    <row r="82" spans="1:19">
      <c r="A82" s="19" t="s">
        <v>43</v>
      </c>
      <c r="B82" s="20">
        <v>21112211</v>
      </c>
      <c r="C82" s="20"/>
      <c r="D82" s="20">
        <v>0.25</v>
      </c>
      <c r="E82" s="4">
        <v>8</v>
      </c>
      <c r="F82" s="4">
        <v>3</v>
      </c>
      <c r="G82" s="4">
        <v>15</v>
      </c>
      <c r="H82" s="21">
        <v>4.8720999999999997</v>
      </c>
      <c r="I82" s="4">
        <v>5.0000000000000001E-4</v>
      </c>
      <c r="J82" s="20">
        <v>-24.725000000000001</v>
      </c>
      <c r="K82" s="4">
        <v>1.1000000000000001E-3</v>
      </c>
      <c r="L82" s="4">
        <v>3.5999999999999997E-2</v>
      </c>
      <c r="M82" s="4">
        <v>2E-3</v>
      </c>
      <c r="N82" s="4">
        <v>-7.7999999999999996E-3</v>
      </c>
      <c r="O82" s="4">
        <v>2.0000000000000001E-4</v>
      </c>
      <c r="P82" s="4">
        <v>129.46</v>
      </c>
      <c r="Q82" s="4">
        <v>0.16</v>
      </c>
      <c r="R82" s="20">
        <f t="shared" si="2"/>
        <v>0.30686814814814817</v>
      </c>
      <c r="S82" s="22">
        <f t="shared" si="5"/>
        <v>3.7925925925925925E-4</v>
      </c>
    </row>
    <row r="83" spans="1:19">
      <c r="A83" s="23" t="s">
        <v>43</v>
      </c>
      <c r="B83" s="4">
        <v>21112211</v>
      </c>
      <c r="D83" s="4">
        <v>0.5</v>
      </c>
      <c r="E83" s="4">
        <v>8</v>
      </c>
      <c r="F83" s="4">
        <v>3</v>
      </c>
      <c r="G83" s="4">
        <v>15</v>
      </c>
      <c r="H83" s="24">
        <v>3.8058000000000001</v>
      </c>
      <c r="I83" s="4">
        <v>5.9999999999999995E-4</v>
      </c>
      <c r="J83" s="4">
        <v>-19.3185</v>
      </c>
      <c r="K83" s="4">
        <v>6.9999999999999999E-4</v>
      </c>
      <c r="L83" s="4">
        <v>3.5999999999999997E-2</v>
      </c>
      <c r="M83" s="4">
        <v>3.0000000000000001E-3</v>
      </c>
      <c r="N83" s="4">
        <v>-1.12E-2</v>
      </c>
      <c r="O83" s="4">
        <v>2.0000000000000001E-4</v>
      </c>
      <c r="P83" s="4">
        <v>127.48</v>
      </c>
      <c r="Q83" s="4">
        <v>0.1</v>
      </c>
      <c r="R83" s="4">
        <f t="shared" si="2"/>
        <v>0.30217481481481484</v>
      </c>
      <c r="S83" s="22">
        <f t="shared" si="5"/>
        <v>2.3703703703703704E-4</v>
      </c>
    </row>
    <row r="84" spans="1:19">
      <c r="A84" s="28" t="s">
        <v>43</v>
      </c>
      <c r="B84" s="29">
        <v>21112211</v>
      </c>
      <c r="C84" s="29"/>
      <c r="D84" s="29">
        <v>0.75</v>
      </c>
      <c r="E84" s="4">
        <v>8</v>
      </c>
      <c r="F84" s="4">
        <v>3</v>
      </c>
      <c r="G84" s="4">
        <v>15</v>
      </c>
      <c r="H84" s="30">
        <v>2.7469999999999999</v>
      </c>
      <c r="I84" s="4">
        <v>2.9999999999999997E-4</v>
      </c>
      <c r="J84" s="29">
        <v>-14.185</v>
      </c>
      <c r="K84" s="4">
        <v>4.0000000000000002E-4</v>
      </c>
      <c r="L84" s="4">
        <v>7.9000000000000001E-2</v>
      </c>
      <c r="M84" s="4">
        <v>1.0999999999999999E-2</v>
      </c>
      <c r="N84" s="4">
        <v>-2.0899999999999998E-2</v>
      </c>
      <c r="O84" s="4">
        <v>6.9999999999999999E-4</v>
      </c>
      <c r="P84" s="4">
        <v>119.15</v>
      </c>
      <c r="Q84" s="4">
        <v>0.24</v>
      </c>
      <c r="R84" s="29">
        <f t="shared" si="2"/>
        <v>0.28242962962962964</v>
      </c>
      <c r="S84" s="22">
        <f t="shared" si="5"/>
        <v>5.6888888888888885E-4</v>
      </c>
    </row>
    <row r="85" spans="1:19">
      <c r="A85" s="19" t="s">
        <v>44</v>
      </c>
      <c r="B85" s="20">
        <v>22211111</v>
      </c>
      <c r="C85" s="20" t="s">
        <v>17</v>
      </c>
      <c r="D85" s="20">
        <v>0.25</v>
      </c>
      <c r="E85" s="4">
        <v>8</v>
      </c>
      <c r="F85" s="4">
        <v>3</v>
      </c>
      <c r="G85" s="4">
        <v>15</v>
      </c>
      <c r="H85" s="21">
        <v>4.8869999999999996</v>
      </c>
      <c r="I85" s="4">
        <v>6.9999999999999999E-4</v>
      </c>
      <c r="J85" s="20">
        <v>-24.826000000000001</v>
      </c>
      <c r="K85" s="4">
        <v>1.6000000000000001E-3</v>
      </c>
      <c r="L85" s="4">
        <v>3.4000000000000002E-2</v>
      </c>
      <c r="M85" s="4">
        <v>4.0000000000000001E-3</v>
      </c>
      <c r="N85" s="4">
        <v>-8.6999999999999994E-3</v>
      </c>
      <c r="O85" s="4">
        <v>1E-4</v>
      </c>
      <c r="P85" s="4">
        <v>128.38</v>
      </c>
      <c r="Q85" s="4">
        <v>7.0000000000000007E-2</v>
      </c>
      <c r="R85" s="20">
        <f t="shared" si="2"/>
        <v>0.30430814814814816</v>
      </c>
      <c r="S85" s="22">
        <f t="shared" si="5"/>
        <v>1.6592592592592595E-4</v>
      </c>
    </row>
    <row r="86" spans="1:19">
      <c r="A86" s="23" t="s">
        <v>44</v>
      </c>
      <c r="B86" s="4">
        <v>22211111</v>
      </c>
      <c r="C86" s="4" t="s">
        <v>17</v>
      </c>
      <c r="D86" s="4">
        <v>0.5</v>
      </c>
      <c r="E86" s="4">
        <v>8</v>
      </c>
      <c r="F86" s="4">
        <v>3</v>
      </c>
      <c r="G86" s="4">
        <v>15</v>
      </c>
      <c r="H86" s="24">
        <v>3.8409</v>
      </c>
      <c r="I86" s="4">
        <v>5.9999999999999995E-4</v>
      </c>
      <c r="J86" s="4">
        <v>-19.770499999999998</v>
      </c>
      <c r="K86" s="4">
        <v>8.9999999999999998E-4</v>
      </c>
      <c r="L86" s="4">
        <v>7.5999999999999998E-2</v>
      </c>
      <c r="M86" s="4">
        <v>2E-3</v>
      </c>
      <c r="N86" s="4">
        <v>-1.5800000000000002E-2</v>
      </c>
      <c r="O86" s="4">
        <v>4.0000000000000002E-4</v>
      </c>
      <c r="P86" s="4">
        <v>120.39</v>
      </c>
      <c r="Q86" s="4">
        <v>0.23</v>
      </c>
      <c r="R86" s="4">
        <f t="shared" si="2"/>
        <v>0.28536888888888889</v>
      </c>
      <c r="S86" s="22">
        <f t="shared" si="5"/>
        <v>5.4518518518518523E-4</v>
      </c>
    </row>
    <row r="87" spans="1:19">
      <c r="A87" s="19" t="s">
        <v>45</v>
      </c>
      <c r="B87" s="20">
        <v>12211121</v>
      </c>
      <c r="C87" s="20"/>
      <c r="D87" s="20">
        <v>0.25</v>
      </c>
      <c r="E87" s="4">
        <v>8</v>
      </c>
      <c r="F87" s="4">
        <v>3</v>
      </c>
      <c r="G87" s="4">
        <v>15</v>
      </c>
      <c r="H87" s="21">
        <v>4.8651999999999997</v>
      </c>
      <c r="I87" s="4">
        <v>5.9999999999999995E-4</v>
      </c>
      <c r="J87" s="20">
        <v>-24.695</v>
      </c>
      <c r="K87" s="4">
        <v>2.9999999999999997E-4</v>
      </c>
      <c r="L87" s="4">
        <v>3.1E-2</v>
      </c>
      <c r="M87" s="4">
        <v>6.0000000000000001E-3</v>
      </c>
      <c r="N87" s="4">
        <v>-8.2000000000000007E-3</v>
      </c>
      <c r="O87" s="4">
        <v>1E-4</v>
      </c>
      <c r="P87" s="4">
        <v>129.30000000000001</v>
      </c>
      <c r="Q87" s="4">
        <v>7.0000000000000007E-2</v>
      </c>
      <c r="R87" s="20">
        <f t="shared" si="2"/>
        <v>0.30648888888888892</v>
      </c>
      <c r="S87" s="22">
        <f t="shared" si="5"/>
        <v>1.6592592592592595E-4</v>
      </c>
    </row>
    <row r="88" spans="1:19">
      <c r="A88" s="23" t="s">
        <v>45</v>
      </c>
      <c r="B88" s="4">
        <v>12211121</v>
      </c>
      <c r="D88" s="4">
        <v>0.5</v>
      </c>
      <c r="E88" s="4">
        <v>8</v>
      </c>
      <c r="F88" s="4">
        <v>3</v>
      </c>
      <c r="G88" s="4">
        <v>15</v>
      </c>
      <c r="H88" s="24">
        <v>3.7925</v>
      </c>
      <c r="I88" s="4">
        <v>5.9999999999999995E-4</v>
      </c>
      <c r="J88" s="4">
        <v>-19.251200000000001</v>
      </c>
      <c r="K88" s="4">
        <v>5.0000000000000001E-4</v>
      </c>
      <c r="L88" s="4">
        <v>3.4000000000000002E-2</v>
      </c>
      <c r="M88" s="4">
        <v>8.0000000000000002E-3</v>
      </c>
      <c r="N88" s="4">
        <v>-1.17E-2</v>
      </c>
      <c r="O88" s="4">
        <v>5.0000000000000001E-4</v>
      </c>
      <c r="P88" s="4">
        <v>127.35</v>
      </c>
      <c r="Q88" s="4">
        <v>0.25</v>
      </c>
      <c r="R88" s="4">
        <f t="shared" si="2"/>
        <v>0.30186666666666667</v>
      </c>
      <c r="S88" s="22">
        <f t="shared" si="5"/>
        <v>5.9259259259259258E-4</v>
      </c>
    </row>
    <row r="89" spans="1:19">
      <c r="A89" s="28" t="s">
        <v>45</v>
      </c>
      <c r="B89" s="29">
        <v>12211121</v>
      </c>
      <c r="C89" s="29"/>
      <c r="D89" s="29">
        <v>0.75</v>
      </c>
      <c r="E89" s="4">
        <v>8</v>
      </c>
      <c r="F89" s="4">
        <v>3</v>
      </c>
      <c r="G89" s="4">
        <v>15</v>
      </c>
      <c r="H89" s="30">
        <v>2.7221000000000002</v>
      </c>
      <c r="I89" s="4">
        <v>2.9999999999999997E-4</v>
      </c>
      <c r="J89" s="29">
        <v>-14.053900000000001</v>
      </c>
      <c r="K89" s="4">
        <v>1.1000000000000001E-3</v>
      </c>
      <c r="L89" s="4">
        <v>8.2000000000000003E-2</v>
      </c>
      <c r="M89" s="4">
        <v>4.0000000000000001E-3</v>
      </c>
      <c r="N89" s="4">
        <v>-2.1899999999999999E-2</v>
      </c>
      <c r="O89" s="4">
        <v>2.0000000000000001E-4</v>
      </c>
      <c r="P89" s="4">
        <v>119.12</v>
      </c>
      <c r="Q89" s="4">
        <v>0.19</v>
      </c>
      <c r="R89" s="29">
        <f t="shared" si="2"/>
        <v>0.28235851851851851</v>
      </c>
      <c r="S89" s="22">
        <f t="shared" si="5"/>
        <v>4.503703703703704E-4</v>
      </c>
    </row>
    <row r="90" spans="1:19">
      <c r="A90" s="19" t="s">
        <v>46</v>
      </c>
      <c r="B90" s="20">
        <v>11112122</v>
      </c>
      <c r="C90" s="20"/>
      <c r="D90" s="20">
        <v>0.25</v>
      </c>
      <c r="E90" s="4">
        <v>8</v>
      </c>
      <c r="F90" s="4">
        <v>3</v>
      </c>
      <c r="G90" s="4">
        <v>15</v>
      </c>
      <c r="H90" s="21">
        <v>4.88</v>
      </c>
      <c r="I90" s="4">
        <v>5.0000000000000001E-4</v>
      </c>
      <c r="J90" s="20">
        <v>-24.8567</v>
      </c>
      <c r="K90" s="4">
        <v>1.1000000000000001E-3</v>
      </c>
      <c r="L90" s="4">
        <v>2.9000000000000001E-2</v>
      </c>
      <c r="M90" s="4">
        <v>3.0000000000000001E-3</v>
      </c>
      <c r="N90" s="4">
        <v>-8.3999999999999995E-3</v>
      </c>
      <c r="O90" s="4">
        <v>1E-4</v>
      </c>
      <c r="P90" s="4">
        <v>128.79</v>
      </c>
      <c r="Q90" s="4">
        <v>0.05</v>
      </c>
      <c r="R90" s="20">
        <f t="shared" si="2"/>
        <v>0.30528</v>
      </c>
      <c r="S90" s="22">
        <f t="shared" si="5"/>
        <v>1.1851851851851852E-4</v>
      </c>
    </row>
    <row r="91" spans="1:19">
      <c r="A91" s="23" t="s">
        <v>46</v>
      </c>
      <c r="B91" s="4">
        <v>11112122</v>
      </c>
      <c r="D91" s="4">
        <v>0.5</v>
      </c>
      <c r="E91" s="4">
        <v>8</v>
      </c>
      <c r="F91" s="4">
        <v>3</v>
      </c>
      <c r="G91" s="4">
        <v>15</v>
      </c>
      <c r="H91" s="36">
        <v>3.8155000000000001</v>
      </c>
      <c r="I91" s="4">
        <v>5.9999999999999995E-4</v>
      </c>
      <c r="J91" s="4">
        <v>-19.6845</v>
      </c>
      <c r="K91" s="4">
        <v>8.9999999999999998E-4</v>
      </c>
      <c r="L91" s="4">
        <v>5.7000000000000002E-2</v>
      </c>
      <c r="M91" s="4">
        <v>4.0000000000000001E-3</v>
      </c>
      <c r="N91" s="4">
        <v>-1.32E-2</v>
      </c>
      <c r="O91" s="4">
        <v>2.9999999999999997E-4</v>
      </c>
      <c r="P91" s="4">
        <v>124.02</v>
      </c>
      <c r="Q91" s="4">
        <v>0.12</v>
      </c>
      <c r="R91" s="4">
        <f t="shared" si="2"/>
        <v>0.29397333333333331</v>
      </c>
      <c r="S91" s="22">
        <f t="shared" si="5"/>
        <v>2.8444444444444443E-4</v>
      </c>
    </row>
    <row r="92" spans="1:19">
      <c r="A92" s="19" t="s">
        <v>47</v>
      </c>
      <c r="B92" s="20">
        <v>11112212</v>
      </c>
      <c r="C92" s="20"/>
      <c r="D92" s="20">
        <v>0.25</v>
      </c>
      <c r="E92" s="4">
        <v>8</v>
      </c>
      <c r="F92" s="4">
        <v>3</v>
      </c>
      <c r="G92" s="4">
        <v>15</v>
      </c>
      <c r="H92" s="21">
        <v>4.8707000000000003</v>
      </c>
      <c r="I92" s="4">
        <v>8.0000000000000004E-4</v>
      </c>
      <c r="J92" s="20">
        <v>-24.834599999999998</v>
      </c>
      <c r="K92" s="4">
        <v>1.1000000000000001E-3</v>
      </c>
      <c r="L92" s="4">
        <v>3.5000000000000003E-2</v>
      </c>
      <c r="M92" s="4">
        <v>2E-3</v>
      </c>
      <c r="N92" s="4">
        <v>-8.9999999999999993E-3</v>
      </c>
      <c r="O92" s="4">
        <v>4.0000000000000002E-4</v>
      </c>
      <c r="P92" s="4">
        <v>128.72</v>
      </c>
      <c r="Q92" s="4">
        <v>0.17</v>
      </c>
      <c r="R92" s="20">
        <f t="shared" si="2"/>
        <v>0.30511407407407409</v>
      </c>
      <c r="S92" s="22">
        <f t="shared" si="5"/>
        <v>4.0296296296296299E-4</v>
      </c>
    </row>
    <row r="93" spans="1:19">
      <c r="A93" s="23" t="s">
        <v>47</v>
      </c>
      <c r="B93" s="4">
        <v>11112212</v>
      </c>
      <c r="C93" s="4" t="s">
        <v>48</v>
      </c>
      <c r="D93" s="4">
        <v>0.5</v>
      </c>
      <c r="E93" s="4">
        <v>8</v>
      </c>
      <c r="F93" s="4">
        <v>3</v>
      </c>
      <c r="G93" s="4">
        <v>15</v>
      </c>
      <c r="H93" s="36">
        <v>3.7957000000000001</v>
      </c>
      <c r="I93" s="4">
        <v>5.0000000000000001E-4</v>
      </c>
      <c r="J93" s="4">
        <v>-19.615100000000002</v>
      </c>
      <c r="K93" s="4">
        <v>4.0000000000000002E-4</v>
      </c>
      <c r="L93" s="4">
        <v>5.8999999999999997E-2</v>
      </c>
      <c r="M93" s="4">
        <v>1.0999999999999999E-2</v>
      </c>
      <c r="N93" s="4">
        <v>-1.23E-2</v>
      </c>
      <c r="O93" s="4">
        <v>8.0000000000000004E-4</v>
      </c>
      <c r="P93" s="4">
        <v>125.16</v>
      </c>
      <c r="Q93" s="4">
        <v>0.31</v>
      </c>
      <c r="R93" s="4">
        <f t="shared" si="2"/>
        <v>0.29667555555555553</v>
      </c>
      <c r="S93" s="22">
        <f t="shared" si="5"/>
        <v>7.3481481481481477E-4</v>
      </c>
    </row>
    <row r="94" spans="1:19">
      <c r="A94" s="19" t="s">
        <v>49</v>
      </c>
      <c r="B94" s="20">
        <v>11122211</v>
      </c>
      <c r="C94" s="20" t="s">
        <v>19</v>
      </c>
      <c r="D94" s="20">
        <v>0.25</v>
      </c>
      <c r="E94" s="4">
        <v>8</v>
      </c>
      <c r="F94" s="4">
        <v>3</v>
      </c>
      <c r="G94" s="4">
        <v>15</v>
      </c>
      <c r="H94" s="21">
        <v>4.8357000000000001</v>
      </c>
      <c r="I94" s="4">
        <v>6.9999999999999999E-4</v>
      </c>
      <c r="J94" s="20">
        <v>-24.68</v>
      </c>
      <c r="K94" s="4">
        <v>2.3999999999999998E-3</v>
      </c>
      <c r="L94" s="4">
        <v>3.2000000000000001E-2</v>
      </c>
      <c r="M94" s="4">
        <v>4.0000000000000001E-3</v>
      </c>
      <c r="N94" s="4">
        <v>-8.6999999999999994E-3</v>
      </c>
      <c r="O94" s="4">
        <v>2.9999999999999997E-4</v>
      </c>
      <c r="P94" s="4">
        <v>129.08000000000001</v>
      </c>
      <c r="Q94" s="4">
        <v>0.33</v>
      </c>
      <c r="R94" s="20">
        <f t="shared" si="2"/>
        <v>0.30596740740740741</v>
      </c>
      <c r="S94" s="22">
        <f t="shared" si="5"/>
        <v>7.8222222222222224E-4</v>
      </c>
    </row>
    <row r="95" spans="1:19">
      <c r="A95" s="23" t="s">
        <v>49</v>
      </c>
      <c r="B95" s="4">
        <v>11122211</v>
      </c>
      <c r="C95" s="4" t="s">
        <v>19</v>
      </c>
      <c r="D95" s="4">
        <v>0.5</v>
      </c>
      <c r="E95" s="4">
        <v>8</v>
      </c>
      <c r="F95" s="4">
        <v>3</v>
      </c>
      <c r="G95" s="4">
        <v>15</v>
      </c>
      <c r="H95" s="24">
        <v>3.7254999999999998</v>
      </c>
      <c r="I95" s="4">
        <v>5.0000000000000001E-4</v>
      </c>
      <c r="J95" s="4">
        <v>-19.3201</v>
      </c>
      <c r="K95" s="4">
        <v>8.9999999999999998E-4</v>
      </c>
      <c r="L95" s="4">
        <v>8.1000000000000003E-2</v>
      </c>
      <c r="M95" s="4">
        <v>1.4999999999999999E-2</v>
      </c>
      <c r="N95" s="4">
        <v>-1.32E-2</v>
      </c>
      <c r="O95" s="4">
        <v>5.0000000000000001E-4</v>
      </c>
      <c r="P95" s="4">
        <v>125.17</v>
      </c>
      <c r="Q95" s="4">
        <v>0.31</v>
      </c>
      <c r="R95" s="4">
        <f t="shared" si="2"/>
        <v>0.29669925925925927</v>
      </c>
      <c r="S95" s="22">
        <f t="shared" si="5"/>
        <v>7.3481481481481477E-4</v>
      </c>
    </row>
    <row r="96" spans="1:19">
      <c r="A96" s="19" t="s">
        <v>50</v>
      </c>
      <c r="B96" s="20">
        <v>11212112</v>
      </c>
      <c r="C96" s="20"/>
      <c r="D96" s="20">
        <v>0.25</v>
      </c>
      <c r="E96" s="4">
        <v>8</v>
      </c>
      <c r="F96" s="4">
        <v>3</v>
      </c>
      <c r="G96" s="4">
        <v>15</v>
      </c>
      <c r="H96" s="21">
        <v>4.8719999999999999</v>
      </c>
      <c r="I96" s="4">
        <v>5.9999999999999995E-4</v>
      </c>
      <c r="J96" s="20">
        <v>-24.841200000000001</v>
      </c>
      <c r="K96" s="4">
        <v>8.9999999999999998E-4</v>
      </c>
      <c r="L96" s="4">
        <v>3.6999999999999998E-2</v>
      </c>
      <c r="M96" s="4">
        <v>4.0000000000000001E-3</v>
      </c>
      <c r="N96" s="4">
        <v>-8.3000000000000001E-3</v>
      </c>
      <c r="O96" s="4">
        <v>2.9999999999999997E-4</v>
      </c>
      <c r="P96" s="4">
        <v>129.44999999999999</v>
      </c>
      <c r="Q96" s="4">
        <v>0.15</v>
      </c>
      <c r="R96" s="20">
        <f t="shared" si="2"/>
        <v>0.30684444444444442</v>
      </c>
      <c r="S96" s="22">
        <f t="shared" si="5"/>
        <v>3.5555555555555552E-4</v>
      </c>
    </row>
    <row r="97" spans="1:19">
      <c r="A97" s="23" t="s">
        <v>50</v>
      </c>
      <c r="B97" s="4">
        <v>11212112</v>
      </c>
      <c r="D97" s="4">
        <v>0.5</v>
      </c>
      <c r="E97" s="4">
        <v>8</v>
      </c>
      <c r="F97" s="4">
        <v>3</v>
      </c>
      <c r="G97" s="4">
        <v>15</v>
      </c>
      <c r="H97" s="36">
        <v>3.8022999999999998</v>
      </c>
      <c r="I97" s="4">
        <v>5.9999999999999995E-4</v>
      </c>
      <c r="J97" s="4">
        <v>-19.531099999999999</v>
      </c>
      <c r="K97" s="4">
        <v>8.0000000000000004E-4</v>
      </c>
      <c r="L97" s="4">
        <v>3.6999999999999998E-2</v>
      </c>
      <c r="M97" s="4">
        <v>5.0000000000000001E-3</v>
      </c>
      <c r="N97" s="4">
        <v>-1.0699999999999999E-2</v>
      </c>
      <c r="O97" s="4">
        <v>2.9999999999999997E-4</v>
      </c>
      <c r="P97" s="4">
        <v>128.15</v>
      </c>
      <c r="Q97" s="4">
        <v>0.06</v>
      </c>
      <c r="R97" s="4">
        <f t="shared" si="2"/>
        <v>0.30376296296296296</v>
      </c>
      <c r="S97" s="22">
        <f t="shared" si="5"/>
        <v>1.4222222222222221E-4</v>
      </c>
    </row>
    <row r="98" spans="1:19">
      <c r="A98" s="28" t="s">
        <v>50</v>
      </c>
      <c r="B98" s="29">
        <v>11212112</v>
      </c>
      <c r="C98" s="29"/>
      <c r="D98" s="29">
        <v>0.75</v>
      </c>
      <c r="E98" s="4">
        <v>8</v>
      </c>
      <c r="F98" s="4">
        <v>3</v>
      </c>
      <c r="G98" s="4">
        <v>15</v>
      </c>
      <c r="H98" s="30">
        <v>2.7309999999999999</v>
      </c>
      <c r="I98" s="4">
        <v>5.0000000000000001E-4</v>
      </c>
      <c r="J98" s="29">
        <v>-14.4153</v>
      </c>
      <c r="K98" s="4">
        <v>5.0000000000000001E-4</v>
      </c>
      <c r="L98" s="4">
        <v>7.0999999999999994E-2</v>
      </c>
      <c r="M98" s="4">
        <v>0.01</v>
      </c>
      <c r="N98" s="4">
        <v>-2.0899999999999998E-2</v>
      </c>
      <c r="O98" s="4">
        <v>6.9999999999999999E-4</v>
      </c>
      <c r="P98" s="4">
        <v>121.05</v>
      </c>
      <c r="Q98" s="4">
        <v>0.18</v>
      </c>
      <c r="R98" s="29">
        <f t="shared" si="2"/>
        <v>0.28693333333333332</v>
      </c>
      <c r="S98" s="22">
        <f t="shared" si="5"/>
        <v>4.2666666666666667E-4</v>
      </c>
    </row>
    <row r="99" spans="1:19">
      <c r="A99" s="19" t="s">
        <v>51</v>
      </c>
      <c r="B99" s="20">
        <v>11221211</v>
      </c>
      <c r="C99" s="20"/>
      <c r="D99" s="20">
        <v>0.25</v>
      </c>
      <c r="E99" s="4">
        <v>8</v>
      </c>
      <c r="F99" s="4">
        <v>3</v>
      </c>
      <c r="G99" s="4">
        <v>15</v>
      </c>
      <c r="H99" s="21">
        <v>4.8403</v>
      </c>
      <c r="I99" s="4">
        <v>2.9999999999999997E-4</v>
      </c>
      <c r="J99" s="20">
        <v>-24.738499999999998</v>
      </c>
      <c r="K99" s="4">
        <v>6.9999999999999999E-4</v>
      </c>
      <c r="L99" s="4">
        <v>0.03</v>
      </c>
      <c r="M99" s="4">
        <v>4.0000000000000001E-3</v>
      </c>
      <c r="N99" s="4">
        <v>-8.3999999999999995E-3</v>
      </c>
      <c r="O99" s="4">
        <v>2.0000000000000001E-4</v>
      </c>
      <c r="P99" s="4">
        <v>129.33000000000001</v>
      </c>
      <c r="Q99" s="4">
        <v>0.12</v>
      </c>
      <c r="R99" s="20">
        <f t="shared" si="2"/>
        <v>0.30656000000000005</v>
      </c>
      <c r="S99" s="22">
        <f t="shared" si="5"/>
        <v>2.8444444444444443E-4</v>
      </c>
    </row>
    <row r="100" spans="1:19">
      <c r="A100" s="23" t="s">
        <v>51</v>
      </c>
      <c r="B100" s="4">
        <v>11221211</v>
      </c>
      <c r="D100" s="4">
        <v>0.5</v>
      </c>
      <c r="E100" s="4">
        <v>8</v>
      </c>
      <c r="F100" s="4">
        <v>3</v>
      </c>
      <c r="G100" s="4">
        <v>15</v>
      </c>
      <c r="H100" s="24">
        <v>3.7342</v>
      </c>
      <c r="I100" s="4">
        <v>1E-3</v>
      </c>
      <c r="J100" s="4">
        <v>-19.3611</v>
      </c>
      <c r="K100" s="4">
        <v>1.6000000000000001E-3</v>
      </c>
      <c r="L100" s="4">
        <v>8.5000000000000006E-2</v>
      </c>
      <c r="M100" s="4">
        <v>1.2999999999999999E-2</v>
      </c>
      <c r="N100" s="4">
        <v>-1.3299999999999999E-2</v>
      </c>
      <c r="O100" s="4">
        <v>5.0000000000000001E-4</v>
      </c>
      <c r="P100" s="4">
        <v>126.83</v>
      </c>
      <c r="Q100" s="4">
        <v>0.12</v>
      </c>
      <c r="R100" s="4">
        <f t="shared" si="2"/>
        <v>0.30063407407407405</v>
      </c>
      <c r="S100" s="22">
        <f t="shared" si="5"/>
        <v>2.8444444444444443E-4</v>
      </c>
    </row>
    <row r="101" spans="1:19">
      <c r="A101" s="19" t="s">
        <v>52</v>
      </c>
      <c r="B101" s="20">
        <v>12111212</v>
      </c>
      <c r="C101" s="20"/>
      <c r="D101" s="20">
        <v>0.25</v>
      </c>
      <c r="E101" s="4">
        <v>8</v>
      </c>
      <c r="F101" s="4">
        <v>3</v>
      </c>
      <c r="G101" s="4">
        <v>15</v>
      </c>
      <c r="H101" s="21">
        <v>4.8855000000000004</v>
      </c>
      <c r="I101" s="4">
        <v>2.9999999999999997E-4</v>
      </c>
      <c r="J101" s="20">
        <v>-24.840900000000001</v>
      </c>
      <c r="K101" s="4">
        <v>8.9999999999999998E-4</v>
      </c>
      <c r="L101" s="4">
        <v>3.2000000000000001E-2</v>
      </c>
      <c r="M101" s="4">
        <v>2E-3</v>
      </c>
      <c r="N101" s="4">
        <v>-8.2000000000000007E-3</v>
      </c>
      <c r="O101" s="4">
        <v>1E-4</v>
      </c>
      <c r="P101" s="4">
        <v>129.29</v>
      </c>
      <c r="Q101" s="4">
        <v>0.12</v>
      </c>
      <c r="R101" s="20">
        <f t="shared" si="2"/>
        <v>0.30646518518518517</v>
      </c>
      <c r="S101" s="22">
        <f t="shared" si="5"/>
        <v>2.8444444444444443E-4</v>
      </c>
    </row>
    <row r="102" spans="1:19">
      <c r="A102" s="23" t="s">
        <v>52</v>
      </c>
      <c r="B102" s="4">
        <v>12111212</v>
      </c>
      <c r="D102" s="4">
        <v>0.5</v>
      </c>
      <c r="E102" s="4">
        <v>8</v>
      </c>
      <c r="F102" s="4">
        <v>3</v>
      </c>
      <c r="G102" s="4">
        <v>15</v>
      </c>
      <c r="H102" s="24">
        <v>3.8325999999999998</v>
      </c>
      <c r="I102" s="4">
        <v>1E-3</v>
      </c>
      <c r="J102" s="4">
        <v>-19.534800000000001</v>
      </c>
      <c r="K102" s="4">
        <v>8.9999999999999998E-4</v>
      </c>
      <c r="L102" s="4">
        <v>4.1000000000000002E-2</v>
      </c>
      <c r="M102" s="4">
        <v>1.4999999999999999E-2</v>
      </c>
      <c r="N102" s="4">
        <v>-1.17E-2</v>
      </c>
      <c r="O102" s="4">
        <v>6.9999999999999999E-4</v>
      </c>
      <c r="P102" s="4">
        <v>127.25</v>
      </c>
      <c r="Q102" s="4">
        <v>0.27</v>
      </c>
      <c r="R102" s="4">
        <f t="shared" si="2"/>
        <v>0.30162962962962964</v>
      </c>
      <c r="S102" s="22">
        <f t="shared" si="5"/>
        <v>6.4000000000000005E-4</v>
      </c>
    </row>
    <row r="103" spans="1:19">
      <c r="A103" s="19" t="s">
        <v>53</v>
      </c>
      <c r="B103" s="20">
        <v>12122111</v>
      </c>
      <c r="C103" s="20"/>
      <c r="D103" s="20">
        <v>0.25</v>
      </c>
      <c r="E103" s="4">
        <v>8</v>
      </c>
      <c r="F103" s="4">
        <v>3</v>
      </c>
      <c r="G103" s="4">
        <v>15</v>
      </c>
      <c r="H103" s="21">
        <v>4.8449999999999998</v>
      </c>
      <c r="I103" s="4">
        <v>4.0000000000000002E-4</v>
      </c>
      <c r="J103" s="20">
        <v>-24.7532</v>
      </c>
      <c r="K103" s="4">
        <v>5.0000000000000001E-4</v>
      </c>
      <c r="L103" s="4">
        <v>3.7999999999999999E-2</v>
      </c>
      <c r="M103" s="4">
        <v>4.0000000000000001E-3</v>
      </c>
      <c r="N103" s="4">
        <v>-8.3000000000000001E-3</v>
      </c>
      <c r="O103" s="4">
        <v>2.9999999999999997E-4</v>
      </c>
      <c r="P103" s="4">
        <v>129.41999999999999</v>
      </c>
      <c r="Q103" s="4">
        <v>0.17</v>
      </c>
      <c r="R103" s="20">
        <f t="shared" si="2"/>
        <v>0.30677333333333329</v>
      </c>
      <c r="S103" s="22">
        <f t="shared" si="5"/>
        <v>4.0296296296296299E-4</v>
      </c>
    </row>
    <row r="104" spans="1:19">
      <c r="A104" s="23" t="s">
        <v>53</v>
      </c>
      <c r="B104" s="4">
        <v>12122111</v>
      </c>
      <c r="D104" s="4">
        <v>0.5</v>
      </c>
      <c r="E104" s="4">
        <v>8</v>
      </c>
      <c r="F104" s="4">
        <v>3</v>
      </c>
      <c r="G104" s="4">
        <v>15</v>
      </c>
      <c r="H104" s="24">
        <v>3.7456</v>
      </c>
      <c r="I104" s="4">
        <v>6.9999999999999999E-4</v>
      </c>
      <c r="J104" s="4">
        <v>-19.401900000000001</v>
      </c>
      <c r="K104" s="4">
        <v>6.9999999999999999E-4</v>
      </c>
      <c r="L104" s="4">
        <v>5.2999999999999999E-2</v>
      </c>
      <c r="M104" s="4">
        <v>1.2999999999999999E-2</v>
      </c>
      <c r="N104" s="4">
        <v>-1.2200000000000001E-2</v>
      </c>
      <c r="O104" s="4">
        <v>4.0000000000000002E-4</v>
      </c>
      <c r="P104" s="4">
        <v>126.72</v>
      </c>
      <c r="Q104" s="4">
        <v>0.22</v>
      </c>
      <c r="R104" s="4">
        <f t="shared" si="2"/>
        <v>0.30037333333333333</v>
      </c>
      <c r="S104" s="22">
        <f t="shared" si="5"/>
        <v>5.2148148148148149E-4</v>
      </c>
    </row>
    <row r="105" spans="1:19">
      <c r="A105" s="19" t="s">
        <v>54</v>
      </c>
      <c r="B105" s="20">
        <v>11211221</v>
      </c>
      <c r="C105" s="20"/>
      <c r="D105" s="20">
        <v>0.25</v>
      </c>
      <c r="E105" s="4">
        <v>8</v>
      </c>
      <c r="F105" s="4">
        <v>3</v>
      </c>
      <c r="G105" s="4">
        <v>15</v>
      </c>
      <c r="H105" s="21">
        <v>4.8548999999999998</v>
      </c>
      <c r="I105" s="4">
        <v>2.9999999999999997E-4</v>
      </c>
      <c r="J105" s="20">
        <v>-24.709800000000001</v>
      </c>
      <c r="K105" s="4">
        <v>2.9999999999999997E-4</v>
      </c>
      <c r="L105" s="4">
        <v>3.5999999999999997E-2</v>
      </c>
      <c r="M105" s="4">
        <v>5.0000000000000001E-3</v>
      </c>
      <c r="N105" s="4">
        <v>-8.3999999999999995E-3</v>
      </c>
      <c r="O105" s="4">
        <v>2.0000000000000001E-4</v>
      </c>
      <c r="P105" s="4">
        <v>129.32</v>
      </c>
      <c r="Q105" s="4">
        <v>0.14000000000000001</v>
      </c>
      <c r="R105" s="20">
        <f t="shared" si="2"/>
        <v>0.30653629629629631</v>
      </c>
      <c r="S105" s="22">
        <f t="shared" si="5"/>
        <v>3.3185185185185189E-4</v>
      </c>
    </row>
    <row r="106" spans="1:19">
      <c r="A106" s="23" t="s">
        <v>54</v>
      </c>
      <c r="B106" s="4">
        <v>11211221</v>
      </c>
      <c r="D106" s="4">
        <v>0.5</v>
      </c>
      <c r="E106" s="4">
        <v>8</v>
      </c>
      <c r="F106" s="4">
        <v>3</v>
      </c>
      <c r="G106" s="4">
        <v>15</v>
      </c>
      <c r="H106" s="24">
        <v>3.7671000000000001</v>
      </c>
      <c r="I106" s="4">
        <v>1E-3</v>
      </c>
      <c r="J106" s="4">
        <v>-19.286799999999999</v>
      </c>
      <c r="K106" s="4">
        <v>2.2000000000000001E-3</v>
      </c>
      <c r="L106" s="4">
        <v>6.9000000000000006E-2</v>
      </c>
      <c r="M106" s="4">
        <v>2.4E-2</v>
      </c>
      <c r="N106" s="4">
        <v>-1.11E-2</v>
      </c>
      <c r="O106" s="4">
        <v>1.1999999999999999E-3</v>
      </c>
      <c r="P106" s="4">
        <v>127.38</v>
      </c>
      <c r="Q106" s="4">
        <v>0.79</v>
      </c>
      <c r="R106" s="4">
        <f t="shared" si="2"/>
        <v>0.30193777777777775</v>
      </c>
      <c r="S106" s="22">
        <f t="shared" si="5"/>
        <v>1.8725925925925926E-3</v>
      </c>
    </row>
    <row r="107" spans="1:19">
      <c r="A107" s="19" t="s">
        <v>55</v>
      </c>
      <c r="B107" s="20">
        <v>12212111</v>
      </c>
      <c r="C107" s="20"/>
      <c r="D107" s="20">
        <v>0.25</v>
      </c>
      <c r="E107" s="4">
        <v>8</v>
      </c>
      <c r="F107" s="4">
        <v>3</v>
      </c>
      <c r="G107" s="4">
        <v>15</v>
      </c>
      <c r="H107" s="21">
        <v>4.8491999999999997</v>
      </c>
      <c r="I107" s="4">
        <v>8.9999999999999998E-4</v>
      </c>
      <c r="J107" s="20">
        <v>-24.764299999999999</v>
      </c>
      <c r="K107" s="4">
        <v>5.9999999999999995E-4</v>
      </c>
      <c r="L107" s="4">
        <v>3.3000000000000002E-2</v>
      </c>
      <c r="M107" s="4">
        <v>4.0000000000000001E-3</v>
      </c>
      <c r="N107" s="4">
        <v>-8.5000000000000006E-3</v>
      </c>
      <c r="O107" s="4">
        <v>2.9999999999999997E-4</v>
      </c>
      <c r="P107" s="4">
        <v>129.15</v>
      </c>
      <c r="Q107" s="4">
        <v>0.25</v>
      </c>
      <c r="R107" s="20">
        <f t="shared" si="2"/>
        <v>0.30613333333333337</v>
      </c>
      <c r="S107" s="22">
        <f t="shared" si="5"/>
        <v>5.9259259259259258E-4</v>
      </c>
    </row>
    <row r="108" spans="1:19">
      <c r="A108" s="23" t="s">
        <v>55</v>
      </c>
      <c r="B108" s="4">
        <v>12212111</v>
      </c>
      <c r="D108" s="4">
        <v>0.5</v>
      </c>
      <c r="E108" s="4">
        <v>8</v>
      </c>
      <c r="F108" s="4">
        <v>3</v>
      </c>
      <c r="G108" s="4">
        <v>15</v>
      </c>
      <c r="H108" s="24">
        <v>3.7532000000000001</v>
      </c>
      <c r="I108" s="4">
        <v>1E-3</v>
      </c>
      <c r="J108" s="4">
        <v>-19.430800000000001</v>
      </c>
      <c r="K108" s="4">
        <v>5.9999999999999995E-4</v>
      </c>
      <c r="L108" s="4">
        <v>0.06</v>
      </c>
      <c r="M108" s="4">
        <v>8.0000000000000002E-3</v>
      </c>
      <c r="N108" s="4">
        <v>-1.2200000000000001E-2</v>
      </c>
      <c r="O108" s="4">
        <v>2.0000000000000001E-4</v>
      </c>
      <c r="P108" s="4">
        <v>126.31</v>
      </c>
      <c r="Q108" s="4">
        <v>0.06</v>
      </c>
      <c r="R108" s="4">
        <f t="shared" si="2"/>
        <v>0.29940148148148149</v>
      </c>
      <c r="S108" s="22">
        <f t="shared" si="5"/>
        <v>1.4222222222222221E-4</v>
      </c>
    </row>
    <row r="109" spans="1:19">
      <c r="A109" s="19" t="s">
        <v>56</v>
      </c>
      <c r="B109" s="20">
        <v>11211122</v>
      </c>
      <c r="C109" s="20"/>
      <c r="D109" s="20">
        <v>0.25</v>
      </c>
      <c r="E109" s="4">
        <v>8</v>
      </c>
      <c r="F109" s="4">
        <v>3</v>
      </c>
      <c r="G109" s="4">
        <v>15</v>
      </c>
      <c r="H109" s="21">
        <v>4.8853</v>
      </c>
      <c r="I109" s="4">
        <v>1E-4</v>
      </c>
      <c r="J109" s="20">
        <v>-24.7576</v>
      </c>
      <c r="K109" s="4">
        <v>1.4E-3</v>
      </c>
      <c r="L109" s="4">
        <v>3.5000000000000003E-2</v>
      </c>
      <c r="M109" s="4">
        <v>5.0000000000000001E-3</v>
      </c>
      <c r="N109" s="4">
        <v>-8.0999999999999996E-3</v>
      </c>
      <c r="O109" s="4">
        <v>2.0000000000000001E-4</v>
      </c>
      <c r="P109" s="4">
        <v>129.11000000000001</v>
      </c>
      <c r="Q109" s="4">
        <v>0.15</v>
      </c>
      <c r="R109" s="20">
        <f t="shared" si="2"/>
        <v>0.30603851851851854</v>
      </c>
      <c r="S109" s="22">
        <f t="shared" si="5"/>
        <v>3.5555555555555552E-4</v>
      </c>
    </row>
    <row r="110" spans="1:19">
      <c r="A110" s="23" t="s">
        <v>56</v>
      </c>
      <c r="B110" s="4">
        <v>11211122</v>
      </c>
      <c r="D110" s="4">
        <v>0.5</v>
      </c>
      <c r="E110" s="4">
        <v>8</v>
      </c>
      <c r="F110" s="4">
        <v>3</v>
      </c>
      <c r="G110" s="4">
        <v>15</v>
      </c>
      <c r="H110" s="24">
        <v>3.83</v>
      </c>
      <c r="I110" s="4">
        <v>8.0000000000000004E-4</v>
      </c>
      <c r="J110" s="4">
        <v>-19.409300000000002</v>
      </c>
      <c r="K110" s="4">
        <v>1.2999999999999999E-3</v>
      </c>
      <c r="L110" s="4">
        <v>4.3999999999999997E-2</v>
      </c>
      <c r="M110" s="4">
        <v>8.9999999999999993E-3</v>
      </c>
      <c r="N110" s="4">
        <v>-1.24E-2</v>
      </c>
      <c r="O110" s="4">
        <v>2.9999999999999997E-4</v>
      </c>
      <c r="P110" s="4">
        <v>126.2</v>
      </c>
      <c r="Q110" s="4">
        <v>0.17</v>
      </c>
      <c r="R110" s="4">
        <f t="shared" si="2"/>
        <v>0.29914074074074076</v>
      </c>
      <c r="S110" s="22">
        <f t="shared" si="5"/>
        <v>4.0296296296296299E-4</v>
      </c>
    </row>
    <row r="111" spans="1:19">
      <c r="A111" s="19" t="s">
        <v>57</v>
      </c>
      <c r="B111" s="20">
        <v>21121112</v>
      </c>
      <c r="C111" s="20"/>
      <c r="D111" s="20">
        <v>0.25</v>
      </c>
      <c r="E111" s="4">
        <v>8</v>
      </c>
      <c r="F111" s="4">
        <v>3</v>
      </c>
      <c r="G111" s="4">
        <v>15</v>
      </c>
      <c r="H111" s="21">
        <v>4.9012000000000002</v>
      </c>
      <c r="I111" s="4">
        <v>4.0000000000000002E-4</v>
      </c>
      <c r="J111" s="20">
        <v>-24.847999999999999</v>
      </c>
      <c r="K111" s="4">
        <v>5.0000000000000001E-4</v>
      </c>
      <c r="L111" s="4">
        <v>3.3000000000000002E-2</v>
      </c>
      <c r="M111" s="4">
        <v>2E-3</v>
      </c>
      <c r="N111" s="4">
        <v>-8.3999999999999995E-3</v>
      </c>
      <c r="O111" s="4">
        <v>1E-4</v>
      </c>
      <c r="P111" s="4">
        <v>129.19</v>
      </c>
      <c r="Q111" s="4">
        <v>0.03</v>
      </c>
      <c r="R111" s="20">
        <f t="shared" si="2"/>
        <v>0.30622814814814814</v>
      </c>
      <c r="S111" s="22">
        <f t="shared" si="5"/>
        <v>7.1111111111111106E-5</v>
      </c>
    </row>
    <row r="112" spans="1:19">
      <c r="A112" s="23" t="s">
        <v>57</v>
      </c>
      <c r="B112" s="4">
        <v>21121112</v>
      </c>
      <c r="D112" s="4">
        <v>0.5</v>
      </c>
      <c r="E112" s="4">
        <v>8</v>
      </c>
      <c r="F112" s="4">
        <v>3</v>
      </c>
      <c r="G112" s="4">
        <v>15</v>
      </c>
      <c r="H112" s="24">
        <v>3.8647</v>
      </c>
      <c r="I112" s="4">
        <v>5.0000000000000001E-4</v>
      </c>
      <c r="J112" s="4">
        <v>-19.54</v>
      </c>
      <c r="K112" s="4">
        <v>6.9999999999999999E-4</v>
      </c>
      <c r="L112" s="4">
        <v>3.2000000000000001E-2</v>
      </c>
      <c r="M112" s="4">
        <v>6.0000000000000001E-3</v>
      </c>
      <c r="N112" s="4">
        <v>-1.09E-2</v>
      </c>
      <c r="O112" s="4">
        <v>8.0000000000000004E-4</v>
      </c>
      <c r="P112" s="4">
        <v>127.87</v>
      </c>
      <c r="Q112" s="4">
        <v>0.35</v>
      </c>
      <c r="R112" s="4">
        <f t="shared" si="2"/>
        <v>0.30309925925925929</v>
      </c>
      <c r="S112" s="22">
        <f t="shared" si="5"/>
        <v>8.296296296296296E-4</v>
      </c>
    </row>
    <row r="113" spans="1:19">
      <c r="A113" s="28" t="s">
        <v>57</v>
      </c>
      <c r="B113" s="29">
        <v>21121112</v>
      </c>
      <c r="C113" s="29"/>
      <c r="D113" s="29">
        <v>0.75</v>
      </c>
      <c r="E113" s="4">
        <v>8</v>
      </c>
      <c r="F113" s="4">
        <v>3</v>
      </c>
      <c r="G113" s="4">
        <v>15</v>
      </c>
      <c r="H113" s="30">
        <v>2.8359000000000001</v>
      </c>
      <c r="I113" s="4">
        <v>4.0000000000000002E-4</v>
      </c>
      <c r="J113" s="29">
        <v>-14.4084</v>
      </c>
      <c r="K113" s="4">
        <v>6.9999999999999999E-4</v>
      </c>
      <c r="L113" s="4">
        <v>0.03</v>
      </c>
      <c r="M113" s="4">
        <v>6.0000000000000001E-3</v>
      </c>
      <c r="N113" s="4">
        <v>-1.7299999999999999E-2</v>
      </c>
      <c r="O113" s="4">
        <v>5.0000000000000001E-4</v>
      </c>
      <c r="P113" s="4">
        <v>122.66</v>
      </c>
      <c r="Q113" s="4">
        <v>0.17</v>
      </c>
      <c r="R113" s="29">
        <f t="shared" si="2"/>
        <v>0.29074962962962964</v>
      </c>
      <c r="S113" s="22">
        <f t="shared" si="5"/>
        <v>4.0296296296296299E-4</v>
      </c>
    </row>
    <row r="114" spans="1:19">
      <c r="A114" s="33" t="s">
        <v>57</v>
      </c>
      <c r="B114" s="34">
        <v>21121112</v>
      </c>
      <c r="C114" s="34"/>
      <c r="D114" s="34">
        <v>1</v>
      </c>
      <c r="E114" s="4">
        <v>8</v>
      </c>
      <c r="F114" s="4">
        <v>3</v>
      </c>
      <c r="G114" s="4">
        <v>15</v>
      </c>
      <c r="H114" s="34">
        <v>1.8823000000000001</v>
      </c>
      <c r="I114" s="4">
        <v>8.0000000000000004E-4</v>
      </c>
      <c r="J114" s="34">
        <v>-9.9844000000000008</v>
      </c>
      <c r="K114" s="4">
        <v>1.5E-3</v>
      </c>
      <c r="L114" s="4">
        <v>3.7999999999999999E-2</v>
      </c>
      <c r="M114" s="4">
        <v>2.3E-2</v>
      </c>
      <c r="N114" s="4">
        <v>-4.3700000000000003E-2</v>
      </c>
      <c r="O114" s="4">
        <v>8.9999999999999998E-4</v>
      </c>
      <c r="P114" s="4">
        <v>98.84</v>
      </c>
      <c r="Q114" s="4">
        <v>0.41</v>
      </c>
      <c r="R114" s="34">
        <f t="shared" si="2"/>
        <v>0.23428740740740742</v>
      </c>
      <c r="S114" s="22">
        <f t="shared" si="5"/>
        <v>9.7185185185185178E-4</v>
      </c>
    </row>
    <row r="115" spans="1:19">
      <c r="A115" s="19" t="s">
        <v>58</v>
      </c>
      <c r="B115" s="20">
        <v>12121112</v>
      </c>
      <c r="C115" s="20"/>
      <c r="D115" s="20">
        <v>0.25</v>
      </c>
      <c r="E115" s="4">
        <v>8</v>
      </c>
      <c r="F115" s="4">
        <v>3</v>
      </c>
      <c r="G115" s="4">
        <v>15</v>
      </c>
      <c r="H115" s="21">
        <v>4.8815</v>
      </c>
      <c r="I115" s="4">
        <v>2.9999999999999997E-4</v>
      </c>
      <c r="J115" s="20">
        <v>-24.830300000000001</v>
      </c>
      <c r="K115" s="4">
        <v>5.0000000000000001E-4</v>
      </c>
      <c r="L115" s="4">
        <v>3.5999999999999997E-2</v>
      </c>
      <c r="M115" s="4">
        <v>3.0000000000000001E-3</v>
      </c>
      <c r="N115" s="4">
        <v>-8.0999999999999996E-3</v>
      </c>
      <c r="O115" s="4">
        <v>2.0000000000000001E-4</v>
      </c>
      <c r="P115" s="4">
        <v>129.41</v>
      </c>
      <c r="Q115" s="4">
        <v>0.13</v>
      </c>
      <c r="R115" s="20">
        <f t="shared" si="2"/>
        <v>0.30674962962962959</v>
      </c>
      <c r="S115" s="22">
        <f t="shared" si="5"/>
        <v>3.0814814814814816E-4</v>
      </c>
    </row>
    <row r="116" spans="1:19">
      <c r="A116" s="23" t="s">
        <v>58</v>
      </c>
      <c r="B116" s="4">
        <v>12121112</v>
      </c>
      <c r="D116" s="4">
        <v>0.5</v>
      </c>
      <c r="E116" s="4">
        <v>8</v>
      </c>
      <c r="F116" s="4">
        <v>3</v>
      </c>
      <c r="G116" s="4">
        <v>15</v>
      </c>
      <c r="H116" s="24">
        <v>3.8250000000000002</v>
      </c>
      <c r="I116" s="4">
        <v>4.0000000000000002E-4</v>
      </c>
      <c r="J116" s="4">
        <v>-19.504999999999999</v>
      </c>
      <c r="K116" s="4">
        <v>5.0000000000000001E-4</v>
      </c>
      <c r="L116" s="4">
        <v>3.5999999999999997E-2</v>
      </c>
      <c r="M116" s="4">
        <v>5.0000000000000001E-3</v>
      </c>
      <c r="N116" s="4">
        <v>-1.09E-2</v>
      </c>
      <c r="O116" s="4">
        <v>5.0000000000000001E-4</v>
      </c>
      <c r="P116" s="4">
        <v>128.22999999999999</v>
      </c>
      <c r="Q116" s="4">
        <v>0.14000000000000001</v>
      </c>
      <c r="R116" s="4">
        <f t="shared" si="2"/>
        <v>0.30395259259259255</v>
      </c>
      <c r="S116" s="22">
        <f t="shared" si="5"/>
        <v>3.3185185185185189E-4</v>
      </c>
    </row>
    <row r="117" spans="1:19">
      <c r="A117" s="19" t="s">
        <v>59</v>
      </c>
      <c r="B117" s="20">
        <v>12111122</v>
      </c>
      <c r="C117" s="20"/>
      <c r="D117" s="20">
        <v>0.25</v>
      </c>
      <c r="E117" s="4">
        <v>8</v>
      </c>
      <c r="F117" s="4">
        <v>3</v>
      </c>
      <c r="G117" s="4">
        <v>15</v>
      </c>
      <c r="H117" s="21">
        <v>4.8954000000000004</v>
      </c>
      <c r="I117" s="4">
        <v>5.0000000000000001E-4</v>
      </c>
      <c r="J117" s="20">
        <v>-24.7575</v>
      </c>
      <c r="K117" s="4">
        <v>4.0000000000000002E-4</v>
      </c>
      <c r="L117" s="4">
        <v>3.4000000000000002E-2</v>
      </c>
      <c r="M117" s="4">
        <v>3.0000000000000001E-3</v>
      </c>
      <c r="N117" s="4">
        <v>-8.2000000000000007E-3</v>
      </c>
      <c r="O117" s="4">
        <v>2.9999999999999997E-4</v>
      </c>
      <c r="P117" s="4">
        <v>129.1</v>
      </c>
      <c r="Q117" s="4">
        <v>0.16</v>
      </c>
      <c r="R117" s="20">
        <f t="shared" si="2"/>
        <v>0.3060148148148148</v>
      </c>
      <c r="S117" s="22">
        <f t="shared" si="5"/>
        <v>3.7925925925925925E-4</v>
      </c>
    </row>
    <row r="118" spans="1:19">
      <c r="A118" s="23" t="s">
        <v>59</v>
      </c>
      <c r="B118" s="4">
        <v>12111122</v>
      </c>
      <c r="D118" s="4">
        <v>0.5</v>
      </c>
      <c r="E118" s="4">
        <v>8</v>
      </c>
      <c r="F118" s="4">
        <v>3</v>
      </c>
      <c r="G118" s="4">
        <v>15</v>
      </c>
      <c r="H118" s="24">
        <v>3.8519000000000001</v>
      </c>
      <c r="I118" s="4">
        <v>8.9999999999999998E-4</v>
      </c>
      <c r="J118" s="4">
        <v>-19.410699999999999</v>
      </c>
      <c r="K118" s="4">
        <v>4.0000000000000002E-4</v>
      </c>
      <c r="L118" s="4">
        <v>4.7E-2</v>
      </c>
      <c r="M118" s="4">
        <v>8.9999999999999993E-3</v>
      </c>
      <c r="N118" s="4">
        <v>-1.23E-2</v>
      </c>
      <c r="O118" s="4">
        <v>5.0000000000000001E-4</v>
      </c>
      <c r="P118" s="4">
        <v>125.9</v>
      </c>
      <c r="Q118" s="4">
        <v>0.32</v>
      </c>
      <c r="R118" s="4">
        <f t="shared" si="2"/>
        <v>0.29842962962962966</v>
      </c>
      <c r="S118" s="22">
        <f t="shared" si="5"/>
        <v>7.585185185185185E-4</v>
      </c>
    </row>
    <row r="119" spans="1:19">
      <c r="A119" s="28" t="s">
        <v>59</v>
      </c>
      <c r="B119" s="29">
        <v>12111122</v>
      </c>
      <c r="C119" s="29"/>
      <c r="D119" s="29">
        <v>0.75</v>
      </c>
      <c r="E119" s="4">
        <v>8</v>
      </c>
      <c r="F119" s="4">
        <v>3</v>
      </c>
      <c r="G119" s="4">
        <v>15</v>
      </c>
      <c r="H119" s="30">
        <v>2.8296999999999999</v>
      </c>
      <c r="I119" s="4">
        <v>8.9999999999999998E-4</v>
      </c>
      <c r="J119" s="29">
        <v>-14.435700000000001</v>
      </c>
      <c r="K119" s="4">
        <v>6.9999999999999999E-4</v>
      </c>
      <c r="L119" s="4">
        <v>6.8000000000000005E-2</v>
      </c>
      <c r="M119" s="4">
        <v>1.0999999999999999E-2</v>
      </c>
      <c r="N119" s="4">
        <v>-2.4799999999999999E-2</v>
      </c>
      <c r="O119" s="4">
        <v>8.0000000000000004E-4</v>
      </c>
      <c r="P119" s="4">
        <v>113.51</v>
      </c>
      <c r="Q119" s="4">
        <v>0.41</v>
      </c>
      <c r="R119" s="29">
        <f t="shared" si="2"/>
        <v>0.26906074074074077</v>
      </c>
      <c r="S119" s="22">
        <f t="shared" si="5"/>
        <v>9.7185185185185178E-4</v>
      </c>
    </row>
    <row r="120" spans="1:19">
      <c r="A120" s="19" t="s">
        <v>60</v>
      </c>
      <c r="B120" s="20">
        <v>21212111</v>
      </c>
      <c r="C120" s="20"/>
      <c r="D120" s="20">
        <v>0.25</v>
      </c>
      <c r="E120" s="4">
        <v>8</v>
      </c>
      <c r="F120" s="4">
        <v>3</v>
      </c>
      <c r="G120" s="4">
        <v>15</v>
      </c>
      <c r="H120" s="21">
        <v>4.8704000000000001</v>
      </c>
      <c r="I120" s="4">
        <v>2.0000000000000001E-4</v>
      </c>
      <c r="J120" s="20">
        <v>-24.895399999999999</v>
      </c>
      <c r="K120" s="4">
        <v>4.0000000000000002E-4</v>
      </c>
      <c r="L120" s="4">
        <v>3.6999999999999998E-2</v>
      </c>
      <c r="M120" s="4">
        <v>6.0000000000000001E-3</v>
      </c>
      <c r="N120" s="4">
        <v>-8.0999999999999996E-3</v>
      </c>
      <c r="O120" s="4">
        <v>2.0000000000000001E-4</v>
      </c>
      <c r="P120" s="4">
        <v>129.36000000000001</v>
      </c>
      <c r="Q120" s="4">
        <v>0.12</v>
      </c>
      <c r="R120" s="20">
        <f t="shared" si="2"/>
        <v>0.30663111111111113</v>
      </c>
      <c r="S120" s="22">
        <f t="shared" si="5"/>
        <v>2.8444444444444443E-4</v>
      </c>
    </row>
    <row r="121" spans="1:19">
      <c r="A121" s="23" t="s">
        <v>60</v>
      </c>
      <c r="B121" s="4">
        <v>21212111</v>
      </c>
      <c r="D121" s="4">
        <v>0.5</v>
      </c>
      <c r="E121" s="4">
        <v>8</v>
      </c>
      <c r="F121" s="4">
        <v>3</v>
      </c>
      <c r="G121" s="4">
        <v>15</v>
      </c>
      <c r="H121" s="24">
        <v>3.7959999999999998</v>
      </c>
      <c r="I121" s="4">
        <v>6.9999999999999999E-4</v>
      </c>
      <c r="J121" s="4">
        <v>-19.672499999999999</v>
      </c>
      <c r="K121" s="4">
        <v>2.3999999999999998E-3</v>
      </c>
      <c r="L121" s="4">
        <v>5.5E-2</v>
      </c>
      <c r="M121" s="4">
        <v>1.6E-2</v>
      </c>
      <c r="N121" s="4">
        <v>-1.21E-2</v>
      </c>
      <c r="O121" s="4">
        <v>1.8E-3</v>
      </c>
      <c r="P121" s="4">
        <v>126.66</v>
      </c>
      <c r="Q121" s="4">
        <v>0.91</v>
      </c>
      <c r="R121" s="4">
        <f t="shared" si="2"/>
        <v>0.30023111111111112</v>
      </c>
      <c r="S121" s="22">
        <f t="shared" si="5"/>
        <v>2.1570370370370372E-3</v>
      </c>
    </row>
    <row r="122" spans="1:19">
      <c r="A122" s="19" t="s">
        <v>61</v>
      </c>
      <c r="B122" s="20">
        <v>21111221</v>
      </c>
      <c r="C122" s="20"/>
      <c r="D122" s="20">
        <v>0.25</v>
      </c>
      <c r="E122" s="4">
        <v>8</v>
      </c>
      <c r="F122" s="4">
        <v>3</v>
      </c>
      <c r="G122" s="4">
        <v>15</v>
      </c>
      <c r="H122" s="21">
        <v>4.8865999999999996</v>
      </c>
      <c r="I122" s="4">
        <v>6.9999999999999999E-4</v>
      </c>
      <c r="J122" s="20">
        <v>-24.735199999999999</v>
      </c>
      <c r="K122" s="4">
        <v>4.0000000000000002E-4</v>
      </c>
      <c r="L122" s="4">
        <v>3.3000000000000002E-2</v>
      </c>
      <c r="M122" s="4">
        <v>3.0000000000000001E-3</v>
      </c>
      <c r="N122" s="4">
        <v>-8.0000000000000002E-3</v>
      </c>
      <c r="O122" s="4">
        <v>0</v>
      </c>
      <c r="P122" s="4">
        <v>129.25</v>
      </c>
      <c r="Q122" s="4">
        <v>0.1</v>
      </c>
      <c r="R122" s="20">
        <f t="shared" si="2"/>
        <v>0.30637037037037035</v>
      </c>
      <c r="S122" s="22">
        <f t="shared" si="5"/>
        <v>2.3703703703703704E-4</v>
      </c>
    </row>
    <row r="123" spans="1:19">
      <c r="A123" s="23" t="s">
        <v>61</v>
      </c>
      <c r="B123" s="4">
        <v>21111221</v>
      </c>
      <c r="D123" s="4">
        <v>0.5</v>
      </c>
      <c r="E123" s="4">
        <v>8</v>
      </c>
      <c r="F123" s="4">
        <v>3</v>
      </c>
      <c r="G123" s="4">
        <v>15</v>
      </c>
      <c r="H123" s="24">
        <v>3.8355000000000001</v>
      </c>
      <c r="I123" s="4">
        <v>8.9999999999999998E-4</v>
      </c>
      <c r="J123" s="4">
        <v>-19.3459</v>
      </c>
      <c r="K123" s="4">
        <v>5.9999999999999995E-4</v>
      </c>
      <c r="L123" s="4">
        <v>3.5999999999999997E-2</v>
      </c>
      <c r="M123" s="4">
        <v>7.0000000000000001E-3</v>
      </c>
      <c r="N123" s="4">
        <v>-1.14E-2</v>
      </c>
      <c r="O123" s="4">
        <v>4.0000000000000002E-4</v>
      </c>
      <c r="P123" s="4">
        <v>127.1</v>
      </c>
      <c r="Q123" s="4">
        <v>0.18</v>
      </c>
      <c r="R123" s="4">
        <f t="shared" si="2"/>
        <v>0.30127407407407408</v>
      </c>
      <c r="S123" s="22">
        <f t="shared" si="5"/>
        <v>4.2666666666666667E-4</v>
      </c>
    </row>
    <row r="124" spans="1:19">
      <c r="A124" s="19" t="s">
        <v>62</v>
      </c>
      <c r="B124" s="20">
        <v>21111212</v>
      </c>
      <c r="C124" s="20"/>
      <c r="D124" s="20">
        <v>0.25</v>
      </c>
      <c r="E124" s="4">
        <v>8</v>
      </c>
      <c r="F124" s="4">
        <v>3</v>
      </c>
      <c r="G124" s="4">
        <v>15</v>
      </c>
      <c r="H124" s="21">
        <v>4.9058000000000002</v>
      </c>
      <c r="I124" s="4">
        <v>2.0000000000000001E-4</v>
      </c>
      <c r="J124" s="20">
        <v>-24.8825</v>
      </c>
      <c r="K124" s="4">
        <v>5.9999999999999995E-4</v>
      </c>
      <c r="L124" s="4">
        <v>3.9E-2</v>
      </c>
      <c r="M124" s="4">
        <v>5.0000000000000001E-3</v>
      </c>
      <c r="N124" s="4">
        <v>-8.3000000000000001E-3</v>
      </c>
      <c r="O124" s="4">
        <v>2.0000000000000001E-4</v>
      </c>
      <c r="P124" s="4">
        <v>129.1</v>
      </c>
      <c r="Q124" s="4">
        <v>0.12</v>
      </c>
      <c r="R124" s="20">
        <f t="shared" si="2"/>
        <v>0.3060148148148148</v>
      </c>
      <c r="S124" s="22">
        <f t="shared" si="5"/>
        <v>2.8444444444444443E-4</v>
      </c>
    </row>
    <row r="125" spans="1:19">
      <c r="A125" s="23" t="s">
        <v>62</v>
      </c>
      <c r="B125" s="4">
        <v>21111212</v>
      </c>
      <c r="D125" s="4">
        <v>0.5</v>
      </c>
      <c r="E125" s="4">
        <v>8</v>
      </c>
      <c r="F125" s="4">
        <v>3</v>
      </c>
      <c r="G125" s="4">
        <v>15</v>
      </c>
      <c r="H125" s="24">
        <v>3.8733</v>
      </c>
      <c r="I125" s="4">
        <v>8.0000000000000004E-4</v>
      </c>
      <c r="J125" s="4">
        <v>-19.628699999999998</v>
      </c>
      <c r="K125" s="4">
        <v>2.9999999999999997E-4</v>
      </c>
      <c r="L125" s="4">
        <v>3.2000000000000001E-2</v>
      </c>
      <c r="M125" s="4">
        <v>2E-3</v>
      </c>
      <c r="N125" s="4">
        <v>-1.09E-2</v>
      </c>
      <c r="O125" s="4">
        <v>2.0000000000000001E-4</v>
      </c>
      <c r="P125" s="4">
        <v>127.32</v>
      </c>
      <c r="Q125" s="4">
        <v>0.03</v>
      </c>
      <c r="R125" s="4">
        <f t="shared" si="2"/>
        <v>0.30179555555555554</v>
      </c>
      <c r="S125" s="22">
        <f t="shared" si="5"/>
        <v>7.1111111111111106E-5</v>
      </c>
    </row>
    <row r="126" spans="1:19">
      <c r="A126" s="19" t="s">
        <v>63</v>
      </c>
      <c r="B126" s="20">
        <v>12112121</v>
      </c>
      <c r="C126" s="20"/>
      <c r="D126" s="20">
        <v>0.25</v>
      </c>
      <c r="E126" s="4">
        <v>8</v>
      </c>
      <c r="F126" s="4">
        <v>3</v>
      </c>
      <c r="G126" s="4">
        <v>15</v>
      </c>
      <c r="H126" s="21">
        <v>4.8604000000000003</v>
      </c>
      <c r="I126" s="4">
        <v>2.9999999999999997E-4</v>
      </c>
      <c r="J126" s="20">
        <v>-24.800999999999998</v>
      </c>
      <c r="K126" s="4">
        <v>8.0000000000000004E-4</v>
      </c>
      <c r="L126" s="4">
        <v>0.03</v>
      </c>
      <c r="M126" s="4">
        <v>3.0000000000000001E-3</v>
      </c>
      <c r="N126" s="4">
        <v>-8.2000000000000007E-3</v>
      </c>
      <c r="O126" s="4">
        <v>2.0000000000000001E-4</v>
      </c>
      <c r="P126" s="4">
        <v>129.5</v>
      </c>
      <c r="Q126" s="4">
        <v>7.0000000000000007E-2</v>
      </c>
      <c r="R126" s="20">
        <f t="shared" si="2"/>
        <v>0.30696296296296294</v>
      </c>
      <c r="S126" s="22">
        <f t="shared" si="5"/>
        <v>1.6592592592592595E-4</v>
      </c>
    </row>
    <row r="127" spans="1:19">
      <c r="A127" s="23" t="s">
        <v>63</v>
      </c>
      <c r="B127" s="4">
        <v>12112121</v>
      </c>
      <c r="D127" s="4">
        <v>0.5</v>
      </c>
      <c r="E127" s="4">
        <v>8</v>
      </c>
      <c r="F127" s="4">
        <v>3</v>
      </c>
      <c r="G127" s="4">
        <v>15</v>
      </c>
      <c r="H127" s="24">
        <v>3.7826</v>
      </c>
      <c r="I127" s="4">
        <v>1E-3</v>
      </c>
      <c r="J127" s="4">
        <v>-19.438500000000001</v>
      </c>
      <c r="K127" s="4">
        <v>1.1000000000000001E-3</v>
      </c>
      <c r="L127" s="4">
        <v>3.5000000000000003E-2</v>
      </c>
      <c r="M127" s="4">
        <v>8.0000000000000002E-3</v>
      </c>
      <c r="N127" s="4">
        <v>-1.17E-2</v>
      </c>
      <c r="O127" s="4">
        <v>1.2999999999999999E-3</v>
      </c>
      <c r="P127" s="4">
        <v>128.19</v>
      </c>
      <c r="Q127" s="4">
        <v>0.69</v>
      </c>
      <c r="R127" s="4">
        <f t="shared" si="2"/>
        <v>0.30385777777777778</v>
      </c>
      <c r="S127" s="22">
        <f t="shared" si="5"/>
        <v>1.6355555555555555E-3</v>
      </c>
    </row>
    <row r="128" spans="1:19">
      <c r="A128" s="19" t="s">
        <v>64</v>
      </c>
      <c r="B128" s="20">
        <v>11122112</v>
      </c>
      <c r="C128" s="20"/>
      <c r="D128" s="20">
        <v>0.25</v>
      </c>
      <c r="E128" s="4">
        <v>8</v>
      </c>
      <c r="F128" s="4">
        <v>3</v>
      </c>
      <c r="G128" s="4">
        <v>15</v>
      </c>
      <c r="H128" s="21">
        <v>4.867</v>
      </c>
      <c r="I128" s="4">
        <v>5.9999999999999995E-4</v>
      </c>
      <c r="J128" s="20">
        <v>-24.755700000000001</v>
      </c>
      <c r="K128" s="4">
        <v>1.4E-3</v>
      </c>
      <c r="L128" s="4">
        <v>3.5999999999999997E-2</v>
      </c>
      <c r="M128" s="4">
        <v>6.0000000000000001E-3</v>
      </c>
      <c r="N128" s="4">
        <v>-8.8000000000000005E-3</v>
      </c>
      <c r="O128" s="4">
        <v>5.0000000000000001E-4</v>
      </c>
      <c r="P128" s="4">
        <v>128.97</v>
      </c>
      <c r="Q128" s="4">
        <v>0.24</v>
      </c>
      <c r="R128" s="20">
        <f t="shared" si="2"/>
        <v>0.30570666666666668</v>
      </c>
      <c r="S128" s="22">
        <f t="shared" si="5"/>
        <v>5.6888888888888885E-4</v>
      </c>
    </row>
    <row r="129" spans="1:19">
      <c r="A129" s="23" t="s">
        <v>64</v>
      </c>
      <c r="B129" s="4">
        <v>11122112</v>
      </c>
      <c r="D129" s="4">
        <v>0.5</v>
      </c>
      <c r="E129" s="4">
        <v>8</v>
      </c>
      <c r="F129" s="4">
        <v>3</v>
      </c>
      <c r="G129" s="4">
        <v>15</v>
      </c>
      <c r="H129" s="24">
        <v>3.7921999999999998</v>
      </c>
      <c r="I129" s="4">
        <v>1E-3</v>
      </c>
      <c r="J129" s="4">
        <v>-19.3977</v>
      </c>
      <c r="K129" s="4">
        <v>1E-3</v>
      </c>
      <c r="L129" s="4">
        <v>4.1000000000000002E-2</v>
      </c>
      <c r="M129" s="4">
        <v>5.0000000000000001E-3</v>
      </c>
      <c r="N129" s="4">
        <v>-1.17E-2</v>
      </c>
      <c r="O129" s="4">
        <v>2.0000000000000001E-4</v>
      </c>
      <c r="P129" s="4">
        <v>126.84</v>
      </c>
      <c r="Q129" s="4">
        <v>0.11</v>
      </c>
      <c r="R129" s="4">
        <f t="shared" si="2"/>
        <v>0.3006577777777778</v>
      </c>
      <c r="S129" s="22">
        <f t="shared" si="5"/>
        <v>2.6074074074074075E-4</v>
      </c>
    </row>
    <row r="130" spans="1:19">
      <c r="A130" s="19" t="s">
        <v>65</v>
      </c>
      <c r="B130" s="20">
        <v>12121211</v>
      </c>
      <c r="C130" s="20"/>
      <c r="D130" s="20">
        <v>0.25</v>
      </c>
      <c r="E130" s="4">
        <v>8</v>
      </c>
      <c r="F130" s="4">
        <v>3</v>
      </c>
      <c r="G130" s="4">
        <v>15</v>
      </c>
      <c r="H130" s="21">
        <v>4.8497000000000003</v>
      </c>
      <c r="I130" s="4">
        <v>2.9999999999999997E-4</v>
      </c>
      <c r="J130" s="20">
        <v>-24.829000000000001</v>
      </c>
      <c r="K130" s="4">
        <v>6.9999999999999999E-4</v>
      </c>
      <c r="L130" s="4">
        <v>3.4000000000000002E-2</v>
      </c>
      <c r="M130" s="4">
        <v>8.9999999999999993E-3</v>
      </c>
      <c r="N130" s="4">
        <v>-8.2000000000000007E-3</v>
      </c>
      <c r="O130" s="4">
        <v>2.9999999999999997E-4</v>
      </c>
      <c r="P130" s="4">
        <v>129.44</v>
      </c>
      <c r="Q130" s="4">
        <v>0.12</v>
      </c>
      <c r="R130" s="20">
        <f t="shared" si="2"/>
        <v>0.30682074074074073</v>
      </c>
      <c r="S130" s="22">
        <f t="shared" ref="S130:S297" si="6">Q130*E130/G130^3</f>
        <v>2.8444444444444443E-4</v>
      </c>
    </row>
    <row r="131" spans="1:19" ht="17" thickBot="1">
      <c r="A131" s="37" t="s">
        <v>65</v>
      </c>
      <c r="B131" s="10">
        <v>12121211</v>
      </c>
      <c r="C131" s="10"/>
      <c r="D131" s="10">
        <v>0.5</v>
      </c>
      <c r="E131" s="10">
        <v>8</v>
      </c>
      <c r="F131" s="10">
        <v>3</v>
      </c>
      <c r="G131" s="10">
        <v>15</v>
      </c>
      <c r="H131" s="13">
        <v>3.7581000000000002</v>
      </c>
      <c r="I131" s="10">
        <v>2.0000000000000001E-4</v>
      </c>
      <c r="J131" s="10">
        <v>-19.506900000000002</v>
      </c>
      <c r="K131" s="10">
        <v>1.5E-3</v>
      </c>
      <c r="L131" s="10">
        <v>4.3999999999999997E-2</v>
      </c>
      <c r="M131" s="10">
        <v>8.9999999999999993E-3</v>
      </c>
      <c r="N131" s="10">
        <v>-1.11E-2</v>
      </c>
      <c r="O131" s="10">
        <v>5.9999999999999995E-4</v>
      </c>
      <c r="P131" s="10">
        <v>128.32</v>
      </c>
      <c r="Q131" s="10">
        <v>0.26</v>
      </c>
      <c r="R131" s="10">
        <f t="shared" si="2"/>
        <v>0.3041659259259259</v>
      </c>
      <c r="S131" s="26">
        <f t="shared" si="6"/>
        <v>6.1629629629629632E-4</v>
      </c>
    </row>
    <row r="132" spans="1:19" ht="17" thickTop="1">
      <c r="A132" s="27" t="s">
        <v>66</v>
      </c>
      <c r="B132" s="5">
        <v>12211221</v>
      </c>
      <c r="C132" s="5"/>
      <c r="D132" s="5">
        <v>0.25</v>
      </c>
      <c r="E132" s="7">
        <v>8</v>
      </c>
      <c r="F132" s="7">
        <v>4</v>
      </c>
      <c r="G132" s="7">
        <v>15</v>
      </c>
      <c r="H132" s="12">
        <v>5.1737000000000002</v>
      </c>
      <c r="I132" s="7">
        <v>5.9999999999999995E-4</v>
      </c>
      <c r="J132" s="5">
        <v>-26.289000000000001</v>
      </c>
      <c r="K132" s="7">
        <v>1.4E-3</v>
      </c>
      <c r="L132" s="7">
        <v>3.6999999999999998E-2</v>
      </c>
      <c r="M132" s="7">
        <v>3.0000000000000001E-3</v>
      </c>
      <c r="N132" s="7">
        <v>-8.0999999999999996E-3</v>
      </c>
      <c r="O132" s="7">
        <v>2.0000000000000001E-4</v>
      </c>
      <c r="P132" s="7">
        <v>129.12</v>
      </c>
      <c r="Q132" s="7">
        <v>0.14000000000000001</v>
      </c>
      <c r="R132" s="5">
        <f t="shared" si="2"/>
        <v>0.30606222222222224</v>
      </c>
      <c r="S132" s="18">
        <f t="shared" si="6"/>
        <v>3.3185185185185189E-4</v>
      </c>
    </row>
    <row r="133" spans="1:19">
      <c r="A133" s="23" t="s">
        <v>66</v>
      </c>
      <c r="B133" s="4">
        <v>12211221</v>
      </c>
      <c r="D133" s="4">
        <v>0.5</v>
      </c>
      <c r="E133" s="4">
        <v>8</v>
      </c>
      <c r="F133" s="4">
        <v>4</v>
      </c>
      <c r="G133" s="4">
        <v>15</v>
      </c>
      <c r="H133" s="24">
        <v>4.4034000000000004</v>
      </c>
      <c r="I133" s="4">
        <v>6.9999999999999999E-4</v>
      </c>
      <c r="J133" s="4">
        <v>-22.450199999999999</v>
      </c>
      <c r="K133" s="4">
        <v>5.9999999999999995E-4</v>
      </c>
      <c r="L133" s="4">
        <v>4.4999999999999998E-2</v>
      </c>
      <c r="M133" s="4">
        <v>1.0999999999999999E-2</v>
      </c>
      <c r="N133" s="4">
        <v>-9.7000000000000003E-3</v>
      </c>
      <c r="O133" s="4">
        <v>5.9999999999999995E-4</v>
      </c>
      <c r="P133" s="4">
        <v>127.41</v>
      </c>
      <c r="Q133" s="4">
        <v>0.31</v>
      </c>
      <c r="R133" s="4">
        <f t="shared" si="2"/>
        <v>0.30200888888888888</v>
      </c>
      <c r="S133" s="22">
        <f t="shared" si="6"/>
        <v>7.3481481481481477E-4</v>
      </c>
    </row>
    <row r="134" spans="1:19">
      <c r="A134" s="28" t="s">
        <v>66</v>
      </c>
      <c r="B134" s="29">
        <v>12211221</v>
      </c>
      <c r="C134" s="29"/>
      <c r="D134" s="29">
        <v>0.75</v>
      </c>
      <c r="E134" s="4">
        <v>8</v>
      </c>
      <c r="F134" s="4">
        <v>4</v>
      </c>
      <c r="G134" s="4">
        <v>15</v>
      </c>
      <c r="H134" s="30">
        <v>3.6265000000000001</v>
      </c>
      <c r="I134" s="4">
        <v>8.9999999999999998E-4</v>
      </c>
      <c r="J134" s="29">
        <v>-18.809100000000001</v>
      </c>
      <c r="K134" s="4">
        <v>1.1000000000000001E-3</v>
      </c>
      <c r="L134" s="4">
        <v>7.5999999999999998E-2</v>
      </c>
      <c r="M134" s="4">
        <v>1.2999999999999999E-2</v>
      </c>
      <c r="N134" s="4">
        <v>-1.5900000000000001E-2</v>
      </c>
      <c r="O134" s="4">
        <v>5.0000000000000001E-4</v>
      </c>
      <c r="P134" s="4">
        <v>120.75</v>
      </c>
      <c r="Q134" s="4">
        <v>0.24</v>
      </c>
      <c r="R134" s="29">
        <f t="shared" si="2"/>
        <v>0.28622222222222221</v>
      </c>
      <c r="S134" s="22">
        <f t="shared" si="6"/>
        <v>5.6888888888888885E-4</v>
      </c>
    </row>
    <row r="135" spans="1:19">
      <c r="A135" s="33" t="s">
        <v>66</v>
      </c>
      <c r="B135" s="34">
        <v>12211221</v>
      </c>
      <c r="C135" s="34"/>
      <c r="D135" s="34">
        <v>1</v>
      </c>
      <c r="E135" s="4">
        <v>8</v>
      </c>
      <c r="F135" s="4">
        <v>4</v>
      </c>
      <c r="G135" s="4">
        <v>15</v>
      </c>
      <c r="H135" s="38">
        <v>2.8264</v>
      </c>
      <c r="I135" s="4">
        <v>8.9999999999999998E-4</v>
      </c>
      <c r="J135" s="34">
        <v>-15.693099999999999</v>
      </c>
      <c r="K135" s="4">
        <v>1E-3</v>
      </c>
      <c r="L135" s="4">
        <v>0.151</v>
      </c>
      <c r="M135" s="4">
        <v>7.0000000000000001E-3</v>
      </c>
      <c r="N135" s="4">
        <v>-3.4700000000000002E-2</v>
      </c>
      <c r="O135" s="4">
        <v>2.0000000000000001E-4</v>
      </c>
      <c r="P135" s="4">
        <v>98.95</v>
      </c>
      <c r="Q135" s="4">
        <v>0.09</v>
      </c>
      <c r="R135" s="34">
        <f t="shared" si="2"/>
        <v>0.23454814814814814</v>
      </c>
      <c r="S135" s="22">
        <f t="shared" si="6"/>
        <v>2.1333333333333333E-4</v>
      </c>
    </row>
    <row r="136" spans="1:19">
      <c r="A136" s="19" t="s">
        <v>67</v>
      </c>
      <c r="B136" s="20">
        <v>21111222</v>
      </c>
      <c r="C136" s="20"/>
      <c r="D136" s="20">
        <v>0.25</v>
      </c>
      <c r="E136" s="4">
        <v>8</v>
      </c>
      <c r="F136" s="4">
        <v>4</v>
      </c>
      <c r="G136" s="4">
        <v>15</v>
      </c>
      <c r="H136" s="21">
        <v>5.2401</v>
      </c>
      <c r="I136" s="4">
        <v>8.0000000000000004E-4</v>
      </c>
      <c r="J136" s="20">
        <v>-26.488900000000001</v>
      </c>
      <c r="K136" s="4">
        <v>1.4E-3</v>
      </c>
      <c r="L136" s="4">
        <v>0.03</v>
      </c>
      <c r="M136" s="4">
        <v>5.0000000000000001E-3</v>
      </c>
      <c r="N136" s="4">
        <v>-8.0999999999999996E-3</v>
      </c>
      <c r="O136" s="4">
        <v>2.0000000000000001E-4</v>
      </c>
      <c r="P136" s="4">
        <v>128.32</v>
      </c>
      <c r="Q136" s="4">
        <v>0.17</v>
      </c>
      <c r="R136" s="20">
        <f t="shared" si="2"/>
        <v>0.3041659259259259</v>
      </c>
      <c r="S136" s="22">
        <f t="shared" si="6"/>
        <v>4.0296296296296299E-4</v>
      </c>
    </row>
    <row r="137" spans="1:19">
      <c r="A137" s="23" t="s">
        <v>67</v>
      </c>
      <c r="B137" s="4">
        <v>21111222</v>
      </c>
      <c r="D137" s="4">
        <v>0.5</v>
      </c>
      <c r="E137" s="4">
        <v>8</v>
      </c>
      <c r="F137" s="4">
        <v>4</v>
      </c>
      <c r="G137" s="4">
        <v>15</v>
      </c>
      <c r="H137" s="24">
        <v>4.5365000000000002</v>
      </c>
      <c r="I137" s="4">
        <v>8.9999999999999998E-4</v>
      </c>
      <c r="J137" s="4">
        <v>-22.967500000000001</v>
      </c>
      <c r="K137" s="4">
        <v>5.9999999999999995E-4</v>
      </c>
      <c r="L137" s="4">
        <v>3.6999999999999998E-2</v>
      </c>
      <c r="M137" s="4">
        <v>7.0000000000000001E-3</v>
      </c>
      <c r="N137" s="4">
        <v>-1.0800000000000001E-2</v>
      </c>
      <c r="O137" s="4">
        <v>2.9999999999999997E-4</v>
      </c>
      <c r="P137" s="4">
        <v>123.65</v>
      </c>
      <c r="Q137" s="4">
        <v>0.1</v>
      </c>
      <c r="R137" s="4">
        <f t="shared" si="2"/>
        <v>0.2930962962962963</v>
      </c>
      <c r="S137" s="22">
        <f t="shared" si="6"/>
        <v>2.3703703703703704E-4</v>
      </c>
    </row>
    <row r="138" spans="1:19">
      <c r="A138" s="28" t="s">
        <v>67</v>
      </c>
      <c r="B138" s="29">
        <v>21111222</v>
      </c>
      <c r="C138" s="29"/>
      <c r="D138" s="29">
        <v>0.75</v>
      </c>
      <c r="E138" s="4">
        <v>8</v>
      </c>
      <c r="F138" s="4">
        <v>4</v>
      </c>
      <c r="G138" s="4">
        <v>15</v>
      </c>
      <c r="H138" s="30">
        <v>3.8458999999999999</v>
      </c>
      <c r="I138" s="4">
        <v>6.9999999999999999E-4</v>
      </c>
      <c r="J138" s="29">
        <v>-19.9696</v>
      </c>
      <c r="K138" s="4">
        <v>1.5E-3</v>
      </c>
      <c r="L138" s="4">
        <v>8.5000000000000006E-2</v>
      </c>
      <c r="M138" s="4">
        <v>8.9999999999999993E-3</v>
      </c>
      <c r="N138" s="4">
        <v>-2.18E-2</v>
      </c>
      <c r="O138" s="4">
        <v>5.9999999999999995E-4</v>
      </c>
      <c r="P138" s="4">
        <v>106.86</v>
      </c>
      <c r="Q138" s="4">
        <v>0.27</v>
      </c>
      <c r="R138" s="29">
        <f t="shared" si="2"/>
        <v>0.25329777777777779</v>
      </c>
      <c r="S138" s="22">
        <f t="shared" si="6"/>
        <v>6.4000000000000005E-4</v>
      </c>
    </row>
    <row r="139" spans="1:19">
      <c r="A139" s="19" t="s">
        <v>68</v>
      </c>
      <c r="B139" s="20">
        <v>11112222</v>
      </c>
      <c r="C139" s="20" t="s">
        <v>17</v>
      </c>
      <c r="D139" s="20">
        <v>0.25</v>
      </c>
      <c r="E139" s="4">
        <v>8</v>
      </c>
      <c r="F139" s="4">
        <v>4</v>
      </c>
      <c r="G139" s="4">
        <v>15</v>
      </c>
      <c r="H139" s="21">
        <v>5.1902999999999997</v>
      </c>
      <c r="I139" s="4">
        <v>5.0000000000000001E-4</v>
      </c>
      <c r="J139" s="20">
        <v>-26.521799999999999</v>
      </c>
      <c r="K139" s="4">
        <v>8.9999999999999998E-4</v>
      </c>
      <c r="L139" s="4">
        <v>3.3000000000000002E-2</v>
      </c>
      <c r="M139" s="4">
        <v>3.0000000000000001E-3</v>
      </c>
      <c r="N139" s="4">
        <v>-8.5000000000000006E-3</v>
      </c>
      <c r="O139" s="4">
        <v>4.0000000000000002E-4</v>
      </c>
      <c r="P139" s="4">
        <v>127.54</v>
      </c>
      <c r="Q139" s="4">
        <v>0.16</v>
      </c>
      <c r="R139" s="20">
        <f t="shared" si="2"/>
        <v>0.30231703703703705</v>
      </c>
      <c r="S139" s="22">
        <f t="shared" si="6"/>
        <v>3.7925925925925925E-4</v>
      </c>
    </row>
    <row r="140" spans="1:19">
      <c r="A140" s="23" t="s">
        <v>68</v>
      </c>
      <c r="B140" s="4">
        <v>11112222</v>
      </c>
      <c r="C140" s="4" t="s">
        <v>17</v>
      </c>
      <c r="D140" s="4">
        <v>0.5</v>
      </c>
      <c r="E140" s="4">
        <v>8</v>
      </c>
      <c r="F140" s="4">
        <v>4</v>
      </c>
      <c r="G140" s="4">
        <v>15</v>
      </c>
      <c r="H140" s="24">
        <v>4.4164000000000003</v>
      </c>
      <c r="I140" s="4">
        <v>8.0000000000000004E-4</v>
      </c>
      <c r="J140" s="4">
        <v>-23.301600000000001</v>
      </c>
      <c r="K140" s="4">
        <v>6.9999999999999999E-4</v>
      </c>
      <c r="L140" s="4">
        <v>0.13100000000000001</v>
      </c>
      <c r="M140" s="4">
        <v>5.0000000000000001E-3</v>
      </c>
      <c r="N140" s="4">
        <v>-1.7299999999999999E-2</v>
      </c>
      <c r="O140" s="4">
        <v>5.9999999999999995E-4</v>
      </c>
      <c r="P140" s="4">
        <v>114.11</v>
      </c>
      <c r="Q140" s="4">
        <v>0.49</v>
      </c>
      <c r="R140" s="4">
        <f t="shared" si="2"/>
        <v>0.27048296296296298</v>
      </c>
      <c r="S140" s="22">
        <f t="shared" si="6"/>
        <v>1.1614814814814814E-3</v>
      </c>
    </row>
    <row r="141" spans="1:19">
      <c r="A141" s="19" t="s">
        <v>69</v>
      </c>
      <c r="B141" s="20">
        <v>21122112</v>
      </c>
      <c r="C141" s="20"/>
      <c r="D141" s="20">
        <v>0.25</v>
      </c>
      <c r="E141" s="4">
        <v>8</v>
      </c>
      <c r="F141" s="4">
        <v>4</v>
      </c>
      <c r="G141" s="4">
        <v>15</v>
      </c>
      <c r="H141" s="21">
        <v>5.2187000000000001</v>
      </c>
      <c r="I141" s="4">
        <v>6.9999999999999999E-4</v>
      </c>
      <c r="J141" s="20">
        <v>-26.4711</v>
      </c>
      <c r="K141" s="4">
        <v>8.9999999999999998E-4</v>
      </c>
      <c r="L141" s="4">
        <v>2.9000000000000001E-2</v>
      </c>
      <c r="M141" s="4">
        <v>3.0000000000000001E-3</v>
      </c>
      <c r="N141" s="4">
        <v>-7.6E-3</v>
      </c>
      <c r="O141" s="4">
        <v>2.9999999999999997E-4</v>
      </c>
      <c r="P141" s="4">
        <v>129.13999999999999</v>
      </c>
      <c r="Q141" s="4">
        <v>0.21</v>
      </c>
      <c r="R141" s="20">
        <f t="shared" si="2"/>
        <v>0.30610962962962962</v>
      </c>
      <c r="S141" s="22">
        <f t="shared" si="6"/>
        <v>4.9777777777777776E-4</v>
      </c>
    </row>
    <row r="142" spans="1:19">
      <c r="A142" s="23" t="s">
        <v>69</v>
      </c>
      <c r="B142" s="4">
        <v>21122112</v>
      </c>
      <c r="D142" s="4">
        <v>0.5</v>
      </c>
      <c r="E142" s="4">
        <v>8</v>
      </c>
      <c r="F142" s="4">
        <v>4</v>
      </c>
      <c r="G142" s="4">
        <v>15</v>
      </c>
      <c r="H142" s="24">
        <v>4.4943999999999997</v>
      </c>
      <c r="I142" s="4">
        <v>5.9999999999999995E-4</v>
      </c>
      <c r="J142" s="4">
        <v>-22.803999999999998</v>
      </c>
      <c r="K142" s="4">
        <v>5.0000000000000001E-4</v>
      </c>
      <c r="L142" s="4">
        <v>3.2000000000000001E-2</v>
      </c>
      <c r="M142" s="4">
        <v>6.0000000000000001E-3</v>
      </c>
      <c r="N142" s="4">
        <v>-9.7000000000000003E-3</v>
      </c>
      <c r="O142" s="4">
        <v>2.9999999999999997E-4</v>
      </c>
      <c r="P142" s="4">
        <v>127.34</v>
      </c>
      <c r="Q142" s="4">
        <v>0.19</v>
      </c>
      <c r="R142" s="4">
        <f t="shared" si="2"/>
        <v>0.30184296296296298</v>
      </c>
      <c r="S142" s="22">
        <f t="shared" si="6"/>
        <v>4.503703703703704E-4</v>
      </c>
    </row>
    <row r="143" spans="1:19">
      <c r="A143" s="28" t="s">
        <v>69</v>
      </c>
      <c r="B143" s="29">
        <v>21122112</v>
      </c>
      <c r="C143" s="29"/>
      <c r="D143" s="29">
        <v>0.75</v>
      </c>
      <c r="E143" s="4">
        <v>8</v>
      </c>
      <c r="F143" s="4">
        <v>4</v>
      </c>
      <c r="G143" s="4">
        <v>15</v>
      </c>
      <c r="H143" s="30">
        <v>3.7703000000000002</v>
      </c>
      <c r="I143" s="4">
        <v>4.0000000000000002E-4</v>
      </c>
      <c r="J143" s="29">
        <v>-19.299600000000002</v>
      </c>
      <c r="K143" s="4">
        <v>4.0000000000000002E-4</v>
      </c>
      <c r="L143" s="4">
        <v>4.5999999999999999E-2</v>
      </c>
      <c r="M143" s="4">
        <v>6.0000000000000001E-3</v>
      </c>
      <c r="N143" s="4">
        <v>-1.29E-2</v>
      </c>
      <c r="O143" s="4">
        <v>4.0000000000000002E-4</v>
      </c>
      <c r="P143" s="4">
        <v>122.89</v>
      </c>
      <c r="Q143" s="4">
        <v>0.15</v>
      </c>
      <c r="R143" s="29">
        <f t="shared" si="2"/>
        <v>0.29129481481481484</v>
      </c>
      <c r="S143" s="22">
        <f t="shared" si="6"/>
        <v>3.5555555555555552E-4</v>
      </c>
    </row>
    <row r="144" spans="1:19">
      <c r="A144" s="33" t="s">
        <v>69</v>
      </c>
      <c r="B144" s="34">
        <v>21122112</v>
      </c>
      <c r="C144" s="34"/>
      <c r="D144" s="34">
        <v>1</v>
      </c>
      <c r="E144" s="4">
        <v>8</v>
      </c>
      <c r="F144" s="4">
        <v>4</v>
      </c>
      <c r="G144" s="4">
        <v>15</v>
      </c>
      <c r="H144" s="34">
        <v>3.0568</v>
      </c>
      <c r="I144" s="4">
        <v>2.9999999999999997E-4</v>
      </c>
      <c r="J144" s="34">
        <v>-16.153199999999998</v>
      </c>
      <c r="K144" s="4">
        <v>6.9999999999999999E-4</v>
      </c>
      <c r="L144" s="4">
        <v>0.08</v>
      </c>
      <c r="M144" s="4">
        <v>5.0000000000000001E-3</v>
      </c>
      <c r="N144" s="4">
        <v>-2.3099999999999999E-2</v>
      </c>
      <c r="O144" s="4">
        <v>1.1999999999999999E-3</v>
      </c>
      <c r="P144" s="4">
        <v>109.93</v>
      </c>
      <c r="Q144" s="4">
        <v>0.35</v>
      </c>
      <c r="R144" s="34">
        <f t="shared" si="2"/>
        <v>0.26057481481481481</v>
      </c>
      <c r="S144" s="22">
        <f t="shared" si="6"/>
        <v>8.296296296296296E-4</v>
      </c>
    </row>
    <row r="145" spans="1:19">
      <c r="A145" s="19" t="s">
        <v>70</v>
      </c>
      <c r="B145" s="20">
        <v>21211212</v>
      </c>
      <c r="C145" s="20"/>
      <c r="D145" s="20">
        <v>0.25</v>
      </c>
      <c r="E145" s="4">
        <v>8</v>
      </c>
      <c r="F145" s="4">
        <v>4</v>
      </c>
      <c r="G145" s="4">
        <v>15</v>
      </c>
      <c r="H145" s="21">
        <v>5.2285000000000004</v>
      </c>
      <c r="I145" s="4">
        <v>8.0000000000000004E-4</v>
      </c>
      <c r="J145" s="20">
        <v>-26.598400000000002</v>
      </c>
      <c r="K145" s="4">
        <v>1.1999999999999999E-3</v>
      </c>
      <c r="L145" s="4">
        <v>3.2000000000000001E-2</v>
      </c>
      <c r="M145" s="4">
        <v>7.0000000000000001E-3</v>
      </c>
      <c r="N145" s="4">
        <v>-7.4999999999999997E-3</v>
      </c>
      <c r="O145" s="4">
        <v>1E-4</v>
      </c>
      <c r="P145" s="4">
        <v>129.38999999999999</v>
      </c>
      <c r="Q145" s="4">
        <v>0.11</v>
      </c>
      <c r="R145" s="20">
        <f t="shared" si="2"/>
        <v>0.30670222222222221</v>
      </c>
      <c r="S145" s="22">
        <f t="shared" si="6"/>
        <v>2.6074074074074075E-4</v>
      </c>
    </row>
    <row r="146" spans="1:19">
      <c r="A146" s="23" t="s">
        <v>70</v>
      </c>
      <c r="B146" s="4">
        <v>21211212</v>
      </c>
      <c r="D146" s="4">
        <v>0.5</v>
      </c>
      <c r="E146" s="4">
        <v>8</v>
      </c>
      <c r="F146" s="4">
        <v>4</v>
      </c>
      <c r="G146" s="4">
        <v>15</v>
      </c>
      <c r="H146" s="24">
        <v>4.5166000000000004</v>
      </c>
      <c r="I146" s="4">
        <v>2.0000000000000001E-4</v>
      </c>
      <c r="J146" s="4">
        <v>-23.052700000000002</v>
      </c>
      <c r="K146" s="4">
        <v>1.4E-3</v>
      </c>
      <c r="L146" s="4">
        <v>3.4000000000000002E-2</v>
      </c>
      <c r="M146" s="4">
        <v>6.0000000000000001E-3</v>
      </c>
      <c r="N146" s="4">
        <v>-9.5999999999999992E-3</v>
      </c>
      <c r="O146" s="4">
        <v>4.0000000000000002E-4</v>
      </c>
      <c r="P146" s="4">
        <v>127.53</v>
      </c>
      <c r="Q146" s="4">
        <v>0.27</v>
      </c>
      <c r="R146" s="4">
        <f t="shared" si="2"/>
        <v>0.30229333333333336</v>
      </c>
      <c r="S146" s="22">
        <f t="shared" si="6"/>
        <v>6.4000000000000005E-4</v>
      </c>
    </row>
    <row r="147" spans="1:19">
      <c r="A147" s="28" t="s">
        <v>70</v>
      </c>
      <c r="B147" s="29">
        <v>21211212</v>
      </c>
      <c r="C147" s="29"/>
      <c r="D147" s="29">
        <v>0.75</v>
      </c>
      <c r="E147" s="4">
        <v>8</v>
      </c>
      <c r="F147" s="4">
        <v>4</v>
      </c>
      <c r="G147" s="4">
        <v>15</v>
      </c>
      <c r="H147" s="30">
        <v>3.8027000000000002</v>
      </c>
      <c r="I147" s="4">
        <v>1E-3</v>
      </c>
      <c r="J147" s="29">
        <v>-19.641100000000002</v>
      </c>
      <c r="K147" s="4">
        <v>1.6999999999999999E-3</v>
      </c>
      <c r="L147" s="4">
        <v>4.4999999999999998E-2</v>
      </c>
      <c r="M147" s="4">
        <v>7.0000000000000001E-3</v>
      </c>
      <c r="N147" s="4">
        <v>-1.2500000000000001E-2</v>
      </c>
      <c r="O147" s="4">
        <v>8.9999999999999998E-4</v>
      </c>
      <c r="P147" s="4">
        <v>123.68</v>
      </c>
      <c r="Q147" s="4">
        <v>0.57999999999999996</v>
      </c>
      <c r="R147" s="29">
        <f t="shared" si="2"/>
        <v>0.29316740740740743</v>
      </c>
      <c r="S147" s="22">
        <f t="shared" si="6"/>
        <v>1.3748148148148148E-3</v>
      </c>
    </row>
    <row r="148" spans="1:19">
      <c r="A148" s="33" t="s">
        <v>70</v>
      </c>
      <c r="B148" s="34">
        <v>21211212</v>
      </c>
      <c r="C148" s="34"/>
      <c r="D148" s="34">
        <v>1</v>
      </c>
      <c r="E148" s="4">
        <v>8</v>
      </c>
      <c r="F148" s="4">
        <v>4</v>
      </c>
      <c r="G148" s="4">
        <v>15</v>
      </c>
      <c r="H148" s="38">
        <v>3.0985999999999998</v>
      </c>
      <c r="I148" s="39">
        <v>4.0000000000000002E-4</v>
      </c>
      <c r="J148" s="38">
        <v>-16.4999</v>
      </c>
      <c r="K148" s="39">
        <v>5.0000000000000001E-4</v>
      </c>
      <c r="L148" s="39">
        <v>3.7999999999999999E-2</v>
      </c>
      <c r="M148" s="39">
        <v>7.0000000000000001E-3</v>
      </c>
      <c r="N148" s="39">
        <v>-2.01E-2</v>
      </c>
      <c r="O148" s="39">
        <v>5.9999999999999995E-4</v>
      </c>
      <c r="P148" s="39">
        <v>113.56</v>
      </c>
      <c r="Q148" s="39">
        <v>0.25</v>
      </c>
      <c r="R148" s="34">
        <f t="shared" si="2"/>
        <v>0.26917925925925928</v>
      </c>
      <c r="S148" s="22">
        <f t="shared" si="6"/>
        <v>5.9259259259259258E-4</v>
      </c>
    </row>
    <row r="149" spans="1:19">
      <c r="A149" s="19" t="s">
        <v>71</v>
      </c>
      <c r="B149" s="20">
        <v>11121222</v>
      </c>
      <c r="C149" s="20"/>
      <c r="D149" s="20">
        <v>0.25</v>
      </c>
      <c r="E149" s="4">
        <v>8</v>
      </c>
      <c r="F149" s="4">
        <v>4</v>
      </c>
      <c r="G149" s="4">
        <v>15</v>
      </c>
      <c r="H149" s="21">
        <v>5.1898</v>
      </c>
      <c r="I149" s="4">
        <v>8.9999999999999998E-4</v>
      </c>
      <c r="J149" s="20">
        <v>-26.523599999999998</v>
      </c>
      <c r="K149" s="4">
        <v>2.0999999999999999E-3</v>
      </c>
      <c r="L149" s="4">
        <v>3.2000000000000001E-2</v>
      </c>
      <c r="M149" s="4">
        <v>7.0000000000000001E-3</v>
      </c>
      <c r="N149" s="4">
        <v>-8.3999999999999995E-3</v>
      </c>
      <c r="O149" s="4">
        <v>1E-4</v>
      </c>
      <c r="P149" s="4">
        <v>128.16999999999999</v>
      </c>
      <c r="Q149" s="4">
        <v>7.0000000000000007E-2</v>
      </c>
      <c r="R149" s="20">
        <f t="shared" si="2"/>
        <v>0.30381037037037034</v>
      </c>
      <c r="S149" s="22">
        <f t="shared" si="6"/>
        <v>1.6592592592592595E-4</v>
      </c>
    </row>
    <row r="150" spans="1:19">
      <c r="A150" s="23" t="s">
        <v>71</v>
      </c>
      <c r="B150" s="4">
        <v>11121222</v>
      </c>
      <c r="D150" s="4">
        <v>0.5</v>
      </c>
      <c r="E150" s="4">
        <v>8</v>
      </c>
      <c r="F150" s="4">
        <v>4</v>
      </c>
      <c r="G150" s="4">
        <v>15</v>
      </c>
      <c r="H150" s="24">
        <v>4.4175000000000004</v>
      </c>
      <c r="I150" s="4">
        <v>8.9999999999999998E-4</v>
      </c>
      <c r="J150" s="4">
        <v>-23.104500000000002</v>
      </c>
      <c r="K150" s="4">
        <v>1.2999999999999999E-3</v>
      </c>
      <c r="L150" s="4">
        <v>8.7999999999999995E-2</v>
      </c>
      <c r="M150" s="4">
        <v>1.7000000000000001E-2</v>
      </c>
      <c r="N150" s="4">
        <v>-1.41E-2</v>
      </c>
      <c r="O150" s="4">
        <v>5.0000000000000001E-4</v>
      </c>
      <c r="P150" s="4">
        <v>120.08</v>
      </c>
      <c r="Q150" s="4">
        <v>0.32</v>
      </c>
      <c r="R150" s="4">
        <f t="shared" si="2"/>
        <v>0.28463407407407409</v>
      </c>
      <c r="S150" s="22">
        <f t="shared" si="6"/>
        <v>7.585185185185185E-4</v>
      </c>
    </row>
    <row r="151" spans="1:19">
      <c r="A151" s="19" t="s">
        <v>72</v>
      </c>
      <c r="B151" s="20">
        <v>11122122</v>
      </c>
      <c r="C151" s="20"/>
      <c r="D151" s="20">
        <v>0.25</v>
      </c>
      <c r="E151" s="4">
        <v>8</v>
      </c>
      <c r="F151" s="4">
        <v>4</v>
      </c>
      <c r="G151" s="4">
        <v>15</v>
      </c>
      <c r="H151" s="21">
        <v>5.1851000000000003</v>
      </c>
      <c r="I151" s="4">
        <v>2.0000000000000001E-4</v>
      </c>
      <c r="J151" s="20">
        <v>-26.464700000000001</v>
      </c>
      <c r="K151" s="4">
        <v>1.1000000000000001E-3</v>
      </c>
      <c r="L151" s="4">
        <v>3.3000000000000002E-2</v>
      </c>
      <c r="M151" s="4">
        <v>6.0000000000000001E-3</v>
      </c>
      <c r="N151" s="4">
        <v>-8.0999999999999996E-3</v>
      </c>
      <c r="O151" s="4">
        <v>2.0000000000000001E-4</v>
      </c>
      <c r="P151" s="4">
        <v>128.56</v>
      </c>
      <c r="Q151" s="4">
        <v>0.12</v>
      </c>
      <c r="R151" s="20">
        <f t="shared" si="2"/>
        <v>0.30473481481481485</v>
      </c>
      <c r="S151" s="22">
        <f t="shared" si="6"/>
        <v>2.8444444444444443E-4</v>
      </c>
    </row>
    <row r="152" spans="1:19">
      <c r="A152" s="23" t="s">
        <v>72</v>
      </c>
      <c r="B152" s="4">
        <v>11122122</v>
      </c>
      <c r="D152" s="4">
        <v>0.5</v>
      </c>
      <c r="E152" s="4">
        <v>8</v>
      </c>
      <c r="F152" s="4">
        <v>4</v>
      </c>
      <c r="G152" s="4">
        <v>15</v>
      </c>
      <c r="H152" s="24">
        <v>4.4100999999999999</v>
      </c>
      <c r="I152" s="4">
        <v>5.9999999999999995E-4</v>
      </c>
      <c r="J152" s="4">
        <v>-22.924600000000002</v>
      </c>
      <c r="K152" s="4">
        <v>1.5E-3</v>
      </c>
      <c r="L152" s="4">
        <v>7.0000000000000007E-2</v>
      </c>
      <c r="M152" s="4">
        <v>1.7000000000000001E-2</v>
      </c>
      <c r="N152" s="4">
        <v>-1.29E-2</v>
      </c>
      <c r="O152" s="4">
        <v>1E-3</v>
      </c>
      <c r="P152" s="4">
        <v>122.44</v>
      </c>
      <c r="Q152" s="4">
        <v>0.5</v>
      </c>
      <c r="R152" s="4">
        <f t="shared" si="2"/>
        <v>0.29022814814814812</v>
      </c>
      <c r="S152" s="22">
        <f t="shared" si="6"/>
        <v>1.1851851851851852E-3</v>
      </c>
    </row>
    <row r="153" spans="1:19">
      <c r="A153" s="19" t="s">
        <v>73</v>
      </c>
      <c r="B153" s="20">
        <v>11122212</v>
      </c>
      <c r="C153" s="20"/>
      <c r="D153" s="20">
        <v>0.25</v>
      </c>
      <c r="E153" s="4">
        <v>8</v>
      </c>
      <c r="F153" s="4">
        <v>4</v>
      </c>
      <c r="G153" s="4">
        <v>15</v>
      </c>
      <c r="H153" s="21">
        <v>5.1729000000000003</v>
      </c>
      <c r="I153" s="4">
        <v>5.0000000000000001E-4</v>
      </c>
      <c r="J153" s="20">
        <v>-26.473199999999999</v>
      </c>
      <c r="K153" s="4">
        <v>4.0000000000000002E-4</v>
      </c>
      <c r="L153" s="4">
        <v>3.5000000000000003E-2</v>
      </c>
      <c r="M153" s="4">
        <v>3.0000000000000001E-3</v>
      </c>
      <c r="N153" s="4">
        <v>-8.3999999999999995E-3</v>
      </c>
      <c r="O153" s="4">
        <v>2.9999999999999997E-4</v>
      </c>
      <c r="P153" s="4">
        <v>128.47</v>
      </c>
      <c r="Q153" s="4">
        <v>0.04</v>
      </c>
      <c r="R153" s="20">
        <f t="shared" si="2"/>
        <v>0.3045214814814815</v>
      </c>
      <c r="S153" s="22">
        <f t="shared" si="6"/>
        <v>9.4814814814814813E-5</v>
      </c>
    </row>
    <row r="154" spans="1:19">
      <c r="A154" s="23" t="s">
        <v>73</v>
      </c>
      <c r="B154" s="4">
        <v>11122212</v>
      </c>
      <c r="D154" s="4">
        <v>0.5</v>
      </c>
      <c r="E154" s="4">
        <v>8</v>
      </c>
      <c r="F154" s="4">
        <v>4</v>
      </c>
      <c r="G154" s="4">
        <v>15</v>
      </c>
      <c r="H154" s="24">
        <v>4.3868999999999998</v>
      </c>
      <c r="I154" s="4">
        <v>6.9999999999999999E-4</v>
      </c>
      <c r="J154" s="4">
        <v>-22.941400000000002</v>
      </c>
      <c r="K154" s="4">
        <v>8.0000000000000004E-4</v>
      </c>
      <c r="L154" s="4">
        <v>8.3000000000000004E-2</v>
      </c>
      <c r="M154" s="4">
        <v>3.0000000000000001E-3</v>
      </c>
      <c r="N154" s="4">
        <v>-1.29E-2</v>
      </c>
      <c r="O154" s="4">
        <v>1E-4</v>
      </c>
      <c r="P154" s="4">
        <v>122.79</v>
      </c>
      <c r="Q154" s="4">
        <v>0.12</v>
      </c>
      <c r="R154" s="4">
        <f t="shared" si="2"/>
        <v>0.2910577777777778</v>
      </c>
      <c r="S154" s="22">
        <f t="shared" si="6"/>
        <v>2.8444444444444443E-4</v>
      </c>
    </row>
    <row r="155" spans="1:19">
      <c r="A155" s="28" t="s">
        <v>73</v>
      </c>
      <c r="B155" s="29">
        <v>11122212</v>
      </c>
      <c r="C155" s="29"/>
      <c r="D155" s="29">
        <v>0.75</v>
      </c>
      <c r="E155" s="4">
        <v>8</v>
      </c>
      <c r="F155" s="4">
        <v>4</v>
      </c>
      <c r="G155" s="4">
        <v>15</v>
      </c>
      <c r="H155" s="30">
        <v>3.5249000000000001</v>
      </c>
      <c r="I155" s="4">
        <v>8.0000000000000004E-4</v>
      </c>
      <c r="J155" s="29">
        <v>-20.040800000000001</v>
      </c>
      <c r="K155" s="4">
        <v>1.2999999999999999E-3</v>
      </c>
      <c r="L155" s="4">
        <v>3.7999999999999999E-2</v>
      </c>
      <c r="M155" s="4">
        <v>6.0000000000000001E-3</v>
      </c>
      <c r="N155" s="4">
        <v>-3.32E-2</v>
      </c>
      <c r="O155" s="4">
        <v>1E-4</v>
      </c>
      <c r="P155" s="4">
        <v>93.39</v>
      </c>
      <c r="Q155" s="4">
        <v>0.23</v>
      </c>
      <c r="R155" s="29">
        <f t="shared" si="2"/>
        <v>0.22136888888888889</v>
      </c>
      <c r="S155" s="22">
        <f t="shared" si="6"/>
        <v>5.4518518518518523E-4</v>
      </c>
    </row>
    <row r="156" spans="1:19">
      <c r="A156" s="19" t="s">
        <v>74</v>
      </c>
      <c r="B156" s="20">
        <v>11122221</v>
      </c>
      <c r="C156" s="20"/>
      <c r="D156" s="20">
        <v>0.25</v>
      </c>
      <c r="E156" s="4">
        <v>8</v>
      </c>
      <c r="F156" s="4">
        <v>4</v>
      </c>
      <c r="G156" s="4">
        <v>15</v>
      </c>
      <c r="H156" s="21">
        <v>5.1452999999999998</v>
      </c>
      <c r="I156" s="4">
        <v>1E-3</v>
      </c>
      <c r="J156" s="20">
        <v>-26.364000000000001</v>
      </c>
      <c r="K156" s="4">
        <v>1.5E-3</v>
      </c>
      <c r="L156" s="4">
        <v>3.6999999999999998E-2</v>
      </c>
      <c r="M156" s="4">
        <v>1.4E-2</v>
      </c>
      <c r="N156" s="4">
        <v>-8.2000000000000007E-3</v>
      </c>
      <c r="O156" s="4">
        <v>5.0000000000000001E-4</v>
      </c>
      <c r="P156" s="4">
        <v>128.52000000000001</v>
      </c>
      <c r="Q156" s="4">
        <v>0.33</v>
      </c>
      <c r="R156" s="20">
        <f t="shared" si="2"/>
        <v>0.30464000000000002</v>
      </c>
      <c r="S156" s="22">
        <f t="shared" si="6"/>
        <v>7.8222222222222224E-4</v>
      </c>
    </row>
    <row r="157" spans="1:19">
      <c r="A157" s="23" t="s">
        <v>74</v>
      </c>
      <c r="B157" s="4">
        <v>11122221</v>
      </c>
      <c r="D157" s="4">
        <v>0.5</v>
      </c>
      <c r="E157" s="4">
        <v>8</v>
      </c>
      <c r="F157" s="4">
        <v>4</v>
      </c>
      <c r="G157" s="4">
        <v>15</v>
      </c>
      <c r="H157" s="24">
        <v>4.3215000000000003</v>
      </c>
      <c r="I157" s="4">
        <v>2.9999999999999997E-4</v>
      </c>
      <c r="J157" s="4">
        <v>-22.791599999999999</v>
      </c>
      <c r="K157" s="4">
        <v>8.0000000000000004E-4</v>
      </c>
      <c r="L157" s="4">
        <v>0.11600000000000001</v>
      </c>
      <c r="M157" s="4">
        <v>8.0000000000000002E-3</v>
      </c>
      <c r="N157" s="4">
        <v>-1.38E-2</v>
      </c>
      <c r="O157" s="4">
        <v>5.0000000000000001E-4</v>
      </c>
      <c r="P157" s="4">
        <v>121.19</v>
      </c>
      <c r="Q157" s="4">
        <v>0.26</v>
      </c>
      <c r="R157" s="4">
        <f t="shared" si="2"/>
        <v>0.28726518518518518</v>
      </c>
      <c r="S157" s="22">
        <f t="shared" si="6"/>
        <v>6.1629629629629632E-4</v>
      </c>
    </row>
    <row r="158" spans="1:19">
      <c r="A158" s="19" t="s">
        <v>75</v>
      </c>
      <c r="B158" s="20">
        <v>11221122</v>
      </c>
      <c r="C158" s="20"/>
      <c r="D158" s="20">
        <v>0.25</v>
      </c>
      <c r="E158" s="4">
        <v>8</v>
      </c>
      <c r="F158" s="4">
        <v>4</v>
      </c>
      <c r="G158" s="4">
        <v>15</v>
      </c>
      <c r="H158" s="21">
        <v>5.1947000000000001</v>
      </c>
      <c r="I158" s="4">
        <v>5.9999999999999995E-4</v>
      </c>
      <c r="J158" s="20">
        <v>-26.365300000000001</v>
      </c>
      <c r="K158" s="4">
        <v>1.8E-3</v>
      </c>
      <c r="L158" s="4">
        <v>4.2999999999999997E-2</v>
      </c>
      <c r="M158" s="4">
        <v>6.0000000000000001E-3</v>
      </c>
      <c r="N158" s="4">
        <v>-7.7999999999999996E-3</v>
      </c>
      <c r="O158" s="4">
        <v>1E-4</v>
      </c>
      <c r="P158" s="4">
        <v>128.77000000000001</v>
      </c>
      <c r="Q158" s="4">
        <v>0.34</v>
      </c>
      <c r="R158" s="20">
        <f t="shared" si="2"/>
        <v>0.30523259259259261</v>
      </c>
      <c r="S158" s="22">
        <f t="shared" si="6"/>
        <v>8.0592592592592597E-4</v>
      </c>
    </row>
    <row r="159" spans="1:19">
      <c r="A159" s="23" t="s">
        <v>75</v>
      </c>
      <c r="B159" s="4">
        <v>11221122</v>
      </c>
      <c r="D159" s="4">
        <v>0.5</v>
      </c>
      <c r="E159" s="4">
        <v>8</v>
      </c>
      <c r="F159" s="4">
        <v>4</v>
      </c>
      <c r="G159" s="4">
        <v>15</v>
      </c>
      <c r="H159" s="24">
        <v>4.4397000000000002</v>
      </c>
      <c r="I159" s="4">
        <v>5.9999999999999995E-4</v>
      </c>
      <c r="J159" s="4">
        <v>-22.643000000000001</v>
      </c>
      <c r="K159" s="4">
        <v>1.1000000000000001E-3</v>
      </c>
      <c r="L159" s="4">
        <v>4.1000000000000002E-2</v>
      </c>
      <c r="M159" s="4">
        <v>7.0000000000000001E-3</v>
      </c>
      <c r="N159" s="4">
        <v>-1.11E-2</v>
      </c>
      <c r="O159" s="4">
        <v>2.0000000000000001E-4</v>
      </c>
      <c r="P159" s="4">
        <v>125.4</v>
      </c>
      <c r="Q159" s="4">
        <v>0.15</v>
      </c>
      <c r="R159" s="4">
        <f t="shared" si="2"/>
        <v>0.29724444444444448</v>
      </c>
      <c r="S159" s="22">
        <f t="shared" si="6"/>
        <v>3.5555555555555552E-4</v>
      </c>
    </row>
    <row r="160" spans="1:19">
      <c r="A160" s="19" t="s">
        <v>76</v>
      </c>
      <c r="B160" s="20">
        <v>11212122</v>
      </c>
      <c r="C160" s="20"/>
      <c r="D160" s="20">
        <v>0.25</v>
      </c>
      <c r="E160" s="4">
        <v>8</v>
      </c>
      <c r="F160" s="4">
        <v>4</v>
      </c>
      <c r="G160" s="4">
        <v>15</v>
      </c>
      <c r="H160" s="21">
        <v>5.1925999999999997</v>
      </c>
      <c r="I160" s="4">
        <v>8.0000000000000004E-4</v>
      </c>
      <c r="J160" s="20">
        <v>-26.5199</v>
      </c>
      <c r="K160" s="4">
        <v>8.9999999999999998E-4</v>
      </c>
      <c r="L160" s="4">
        <v>3.1E-2</v>
      </c>
      <c r="M160" s="4">
        <v>4.0000000000000001E-3</v>
      </c>
      <c r="N160" s="4">
        <v>-7.7999999999999996E-3</v>
      </c>
      <c r="O160" s="4">
        <v>1E-4</v>
      </c>
      <c r="P160" s="4">
        <v>128.96</v>
      </c>
      <c r="Q160" s="4">
        <v>0.11</v>
      </c>
      <c r="R160" s="20">
        <f t="shared" si="2"/>
        <v>0.30568296296296299</v>
      </c>
      <c r="S160" s="22">
        <f t="shared" si="6"/>
        <v>2.6074074074074075E-4</v>
      </c>
    </row>
    <row r="161" spans="1:19">
      <c r="A161" s="23" t="s">
        <v>76</v>
      </c>
      <c r="B161" s="4">
        <v>11212122</v>
      </c>
      <c r="D161" s="4">
        <v>0.5</v>
      </c>
      <c r="E161" s="4">
        <v>8</v>
      </c>
      <c r="F161" s="4">
        <v>4</v>
      </c>
      <c r="G161" s="4">
        <v>15</v>
      </c>
      <c r="H161" s="24">
        <v>4.4329000000000001</v>
      </c>
      <c r="I161" s="4">
        <v>8.0000000000000004E-4</v>
      </c>
      <c r="J161" s="4">
        <v>-22.953900000000001</v>
      </c>
      <c r="K161" s="4">
        <v>1.1999999999999999E-3</v>
      </c>
      <c r="L161" s="4">
        <v>4.3999999999999997E-2</v>
      </c>
      <c r="M161" s="4">
        <v>8.0000000000000002E-3</v>
      </c>
      <c r="N161" s="4">
        <v>-1.12E-2</v>
      </c>
      <c r="O161" s="4">
        <v>2.0000000000000001E-4</v>
      </c>
      <c r="P161" s="4">
        <v>125.21</v>
      </c>
      <c r="Q161" s="4">
        <v>0.11</v>
      </c>
      <c r="R161" s="4">
        <f t="shared" si="2"/>
        <v>0.29679407407407404</v>
      </c>
      <c r="S161" s="22">
        <f t="shared" si="6"/>
        <v>2.6074074074074075E-4</v>
      </c>
    </row>
    <row r="162" spans="1:19">
      <c r="A162" s="19" t="s">
        <v>77</v>
      </c>
      <c r="B162" s="20">
        <v>12121212</v>
      </c>
      <c r="C162" s="20" t="s">
        <v>78</v>
      </c>
      <c r="D162" s="20">
        <v>0.25</v>
      </c>
      <c r="E162" s="4">
        <v>8</v>
      </c>
      <c r="F162" s="4">
        <v>4</v>
      </c>
      <c r="G162" s="4">
        <v>15</v>
      </c>
      <c r="H162" s="21">
        <v>5.1948999999999996</v>
      </c>
      <c r="I162" s="4">
        <v>5.9999999999999995E-4</v>
      </c>
      <c r="J162" s="20">
        <v>-26.5732</v>
      </c>
      <c r="K162" s="4">
        <v>8.0000000000000004E-4</v>
      </c>
      <c r="L162" s="4">
        <v>3.3000000000000002E-2</v>
      </c>
      <c r="M162" s="4">
        <v>5.0000000000000001E-3</v>
      </c>
      <c r="N162" s="4">
        <v>-7.7999999999999996E-3</v>
      </c>
      <c r="O162" s="4">
        <v>4.0000000000000002E-4</v>
      </c>
      <c r="P162" s="4">
        <v>129.32</v>
      </c>
      <c r="Q162" s="4">
        <v>0.37</v>
      </c>
      <c r="R162" s="20">
        <f t="shared" si="2"/>
        <v>0.30653629629629631</v>
      </c>
      <c r="S162" s="22">
        <f t="shared" si="6"/>
        <v>8.7703703703703706E-4</v>
      </c>
    </row>
    <row r="163" spans="1:19">
      <c r="A163" s="23" t="s">
        <v>77</v>
      </c>
      <c r="B163" s="4">
        <v>12121212</v>
      </c>
      <c r="C163" s="4" t="s">
        <v>78</v>
      </c>
      <c r="D163" s="4">
        <v>0.5</v>
      </c>
      <c r="E163" s="4">
        <v>8</v>
      </c>
      <c r="F163" s="4">
        <v>4</v>
      </c>
      <c r="G163" s="4">
        <v>15</v>
      </c>
      <c r="H163" s="24">
        <v>4.4492000000000003</v>
      </c>
      <c r="I163" s="4">
        <v>4.0000000000000002E-4</v>
      </c>
      <c r="J163" s="4">
        <v>-22.995100000000001</v>
      </c>
      <c r="K163" s="4">
        <v>5.9999999999999995E-4</v>
      </c>
      <c r="L163" s="4">
        <v>0.04</v>
      </c>
      <c r="M163" s="4">
        <v>1.2E-2</v>
      </c>
      <c r="N163" s="4">
        <v>-9.2999999999999992E-3</v>
      </c>
      <c r="O163" s="4">
        <v>2.0000000000000001E-4</v>
      </c>
      <c r="P163" s="4">
        <v>128.07</v>
      </c>
      <c r="Q163" s="4">
        <v>0.14000000000000001</v>
      </c>
      <c r="R163" s="4">
        <f t="shared" si="2"/>
        <v>0.30357333333333331</v>
      </c>
      <c r="S163" s="22">
        <f t="shared" si="6"/>
        <v>3.3185185185185189E-4</v>
      </c>
    </row>
    <row r="164" spans="1:19">
      <c r="A164" s="28" t="s">
        <v>77</v>
      </c>
      <c r="B164" s="29">
        <v>12121212</v>
      </c>
      <c r="C164" s="29" t="s">
        <v>78</v>
      </c>
      <c r="D164" s="29">
        <v>0.75</v>
      </c>
      <c r="E164" s="4">
        <v>8</v>
      </c>
      <c r="F164" s="4">
        <v>4</v>
      </c>
      <c r="G164" s="4">
        <v>15</v>
      </c>
      <c r="H164" s="30">
        <v>3.6981000000000002</v>
      </c>
      <c r="I164" s="4">
        <v>1E-3</v>
      </c>
      <c r="J164" s="29">
        <v>-19.550799999999999</v>
      </c>
      <c r="K164" s="4">
        <v>1.4E-3</v>
      </c>
      <c r="L164" s="4">
        <v>4.8000000000000001E-2</v>
      </c>
      <c r="M164" s="4">
        <v>5.0000000000000001E-3</v>
      </c>
      <c r="N164" s="4">
        <v>-1.3899999999999999E-2</v>
      </c>
      <c r="O164" s="4">
        <v>5.0000000000000001E-4</v>
      </c>
      <c r="P164" s="4">
        <v>123.71</v>
      </c>
      <c r="Q164" s="4">
        <v>0.12</v>
      </c>
      <c r="R164" s="29">
        <f t="shared" si="2"/>
        <v>0.29323851851851851</v>
      </c>
      <c r="S164" s="22">
        <f t="shared" si="6"/>
        <v>2.8444444444444443E-4</v>
      </c>
    </row>
    <row r="165" spans="1:19">
      <c r="A165" s="33" t="s">
        <v>77</v>
      </c>
      <c r="B165" s="34">
        <v>12121212</v>
      </c>
      <c r="C165" s="34" t="s">
        <v>78</v>
      </c>
      <c r="D165" s="34">
        <v>1</v>
      </c>
      <c r="E165" s="4">
        <v>8</v>
      </c>
      <c r="F165" s="4">
        <v>4</v>
      </c>
      <c r="G165" s="4">
        <v>15</v>
      </c>
      <c r="H165" s="40">
        <v>2.9369999999999998</v>
      </c>
      <c r="I165" s="4">
        <v>5.0000000000000001E-4</v>
      </c>
      <c r="J165" s="34">
        <v>-16.382200000000001</v>
      </c>
      <c r="K165" s="4">
        <v>1E-3</v>
      </c>
      <c r="L165" s="4">
        <v>0.11799999999999999</v>
      </c>
      <c r="M165" s="4">
        <v>1.9E-2</v>
      </c>
      <c r="N165" s="4">
        <v>-2.4799999999999999E-2</v>
      </c>
      <c r="O165" s="4">
        <v>8.9999999999999998E-4</v>
      </c>
      <c r="P165" s="4">
        <v>111.46</v>
      </c>
      <c r="Q165" s="4">
        <v>0.6</v>
      </c>
      <c r="R165" s="34">
        <f t="shared" si="2"/>
        <v>0.26420148148148148</v>
      </c>
      <c r="S165" s="22">
        <f t="shared" si="6"/>
        <v>1.4222222222222221E-3</v>
      </c>
    </row>
    <row r="166" spans="1:19">
      <c r="A166" s="19" t="s">
        <v>79</v>
      </c>
      <c r="B166" s="20">
        <v>12121221</v>
      </c>
      <c r="C166" s="20"/>
      <c r="D166" s="20">
        <v>0.25</v>
      </c>
      <c r="E166" s="4">
        <v>8</v>
      </c>
      <c r="F166" s="4">
        <v>4</v>
      </c>
      <c r="G166" s="4">
        <v>15</v>
      </c>
      <c r="H166" s="21">
        <v>5.1679000000000004</v>
      </c>
      <c r="I166" s="4">
        <v>2.0000000000000001E-4</v>
      </c>
      <c r="J166" s="20">
        <v>-26.428999999999998</v>
      </c>
      <c r="K166" s="4">
        <v>1E-3</v>
      </c>
      <c r="L166" s="4">
        <v>3.2000000000000001E-2</v>
      </c>
      <c r="M166" s="4">
        <v>4.0000000000000001E-3</v>
      </c>
      <c r="N166" s="4">
        <v>-7.7999999999999996E-3</v>
      </c>
      <c r="O166" s="4">
        <v>1E-4</v>
      </c>
      <c r="P166" s="4">
        <v>129.28</v>
      </c>
      <c r="Q166" s="4">
        <v>0.13</v>
      </c>
      <c r="R166" s="20">
        <f t="shared" si="2"/>
        <v>0.30644148148148148</v>
      </c>
      <c r="S166" s="22">
        <f t="shared" si="6"/>
        <v>3.0814814814814816E-4</v>
      </c>
    </row>
    <row r="167" spans="1:19">
      <c r="A167" s="23" t="s">
        <v>79</v>
      </c>
      <c r="B167" s="4">
        <v>12121221</v>
      </c>
      <c r="D167" s="4">
        <v>0.5</v>
      </c>
      <c r="E167" s="4">
        <v>8</v>
      </c>
      <c r="F167" s="4">
        <v>4</v>
      </c>
      <c r="G167" s="4">
        <v>15</v>
      </c>
      <c r="H167" s="24">
        <v>4.3895999999999997</v>
      </c>
      <c r="I167" s="4">
        <v>5.0000000000000001E-4</v>
      </c>
      <c r="J167" s="4">
        <v>-22.719000000000001</v>
      </c>
      <c r="K167" s="4">
        <v>1.1000000000000001E-3</v>
      </c>
      <c r="L167" s="4">
        <v>3.9E-2</v>
      </c>
      <c r="M167" s="4">
        <v>8.0000000000000002E-3</v>
      </c>
      <c r="N167" s="4">
        <v>-1.03E-2</v>
      </c>
      <c r="O167" s="4">
        <v>2.0000000000000001E-4</v>
      </c>
      <c r="P167" s="4">
        <v>127.55</v>
      </c>
      <c r="Q167" s="4">
        <v>0.14000000000000001</v>
      </c>
      <c r="R167" s="4">
        <f t="shared" si="2"/>
        <v>0.30234074074074074</v>
      </c>
      <c r="S167" s="22">
        <f t="shared" si="6"/>
        <v>3.3185185185185189E-4</v>
      </c>
    </row>
    <row r="168" spans="1:19">
      <c r="A168" s="19" t="s">
        <v>80</v>
      </c>
      <c r="B168" s="20">
        <v>12122121</v>
      </c>
      <c r="C168" s="20"/>
      <c r="D168" s="20">
        <v>0.25</v>
      </c>
      <c r="E168" s="4">
        <v>8</v>
      </c>
      <c r="F168" s="4">
        <v>4</v>
      </c>
      <c r="G168" s="4">
        <v>15</v>
      </c>
      <c r="H168" s="21">
        <v>5.1615000000000002</v>
      </c>
      <c r="I168" s="4">
        <v>8.9999999999999998E-4</v>
      </c>
      <c r="J168" s="20">
        <v>-26.440799999999999</v>
      </c>
      <c r="K168" s="4">
        <v>8.0000000000000004E-4</v>
      </c>
      <c r="L168" s="4">
        <v>3.2000000000000001E-2</v>
      </c>
      <c r="M168" s="4">
        <v>3.0000000000000001E-3</v>
      </c>
      <c r="N168" s="4">
        <v>-7.7000000000000002E-3</v>
      </c>
      <c r="O168" s="4">
        <v>2.0000000000000001E-4</v>
      </c>
      <c r="P168" s="4">
        <v>129.37</v>
      </c>
      <c r="Q168" s="4">
        <v>0.16</v>
      </c>
      <c r="R168" s="20">
        <f t="shared" si="2"/>
        <v>0.30665481481481482</v>
      </c>
      <c r="S168" s="22">
        <f t="shared" si="6"/>
        <v>3.7925925925925925E-4</v>
      </c>
    </row>
    <row r="169" spans="1:19">
      <c r="A169" s="23" t="s">
        <v>80</v>
      </c>
      <c r="B169" s="4">
        <v>12122121</v>
      </c>
      <c r="D169" s="4">
        <v>0.5</v>
      </c>
      <c r="E169" s="4">
        <v>8</v>
      </c>
      <c r="F169" s="4">
        <v>4</v>
      </c>
      <c r="G169" s="4">
        <v>15</v>
      </c>
      <c r="H169" s="24">
        <v>4.3769999999999998</v>
      </c>
      <c r="I169" s="4">
        <v>6.9999999999999999E-4</v>
      </c>
      <c r="J169" s="4">
        <v>-22.746700000000001</v>
      </c>
      <c r="K169" s="4">
        <v>1.2999999999999999E-3</v>
      </c>
      <c r="L169" s="4">
        <v>4.8000000000000001E-2</v>
      </c>
      <c r="M169" s="4">
        <v>0.01</v>
      </c>
      <c r="N169" s="4">
        <v>-0.01</v>
      </c>
      <c r="O169" s="4">
        <v>8.0000000000000004E-4</v>
      </c>
      <c r="P169" s="4">
        <v>127.73</v>
      </c>
      <c r="Q169" s="4">
        <v>0.28999999999999998</v>
      </c>
      <c r="R169" s="4">
        <f t="shared" si="2"/>
        <v>0.30276740740740743</v>
      </c>
      <c r="S169" s="22">
        <f t="shared" si="6"/>
        <v>6.8740740740740741E-4</v>
      </c>
    </row>
    <row r="170" spans="1:19">
      <c r="A170" s="19" t="s">
        <v>81</v>
      </c>
      <c r="B170" s="20">
        <v>22111122</v>
      </c>
      <c r="C170" s="20" t="s">
        <v>30</v>
      </c>
      <c r="D170" s="20">
        <v>0.25</v>
      </c>
      <c r="E170" s="4">
        <v>8</v>
      </c>
      <c r="F170" s="4">
        <v>4</v>
      </c>
      <c r="G170" s="4">
        <v>15</v>
      </c>
      <c r="H170" s="21">
        <v>5.2531999999999996</v>
      </c>
      <c r="I170" s="4">
        <v>1E-3</v>
      </c>
      <c r="J170" s="20">
        <v>-26.423200000000001</v>
      </c>
      <c r="K170" s="4">
        <v>4.0000000000000002E-4</v>
      </c>
      <c r="L170" s="4">
        <v>3.4000000000000002E-2</v>
      </c>
      <c r="M170" s="4">
        <v>3.0000000000000001E-3</v>
      </c>
      <c r="N170" s="4">
        <v>-7.7999999999999996E-3</v>
      </c>
      <c r="O170" s="4">
        <v>2.0000000000000001E-4</v>
      </c>
      <c r="P170" s="4">
        <v>128.58000000000001</v>
      </c>
      <c r="Q170" s="4">
        <v>0.21</v>
      </c>
      <c r="R170" s="20">
        <f t="shared" si="2"/>
        <v>0.30478222222222223</v>
      </c>
      <c r="S170" s="22">
        <f t="shared" si="6"/>
        <v>4.9777777777777776E-4</v>
      </c>
    </row>
    <row r="171" spans="1:19">
      <c r="A171" s="23" t="s">
        <v>81</v>
      </c>
      <c r="B171" s="4">
        <v>22111122</v>
      </c>
      <c r="C171" s="4" t="s">
        <v>30</v>
      </c>
      <c r="D171" s="4">
        <v>0.5</v>
      </c>
      <c r="E171" s="4">
        <v>8</v>
      </c>
      <c r="F171" s="4">
        <v>4</v>
      </c>
      <c r="G171" s="4">
        <v>15</v>
      </c>
      <c r="H171" s="24">
        <v>4.5646000000000004</v>
      </c>
      <c r="I171" s="4">
        <v>5.9999999999999995E-4</v>
      </c>
      <c r="J171" s="4">
        <v>-22.79</v>
      </c>
      <c r="K171" s="4">
        <v>1.4E-3</v>
      </c>
      <c r="L171" s="4">
        <v>2.7E-2</v>
      </c>
      <c r="M171" s="4">
        <v>6.0000000000000001E-3</v>
      </c>
      <c r="N171" s="4">
        <v>-1.0200000000000001E-2</v>
      </c>
      <c r="O171" s="4">
        <v>2.0000000000000001E-4</v>
      </c>
      <c r="P171" s="4">
        <v>124.93</v>
      </c>
      <c r="Q171" s="4">
        <v>0.24</v>
      </c>
      <c r="R171" s="4">
        <f t="shared" si="2"/>
        <v>0.29613037037037038</v>
      </c>
      <c r="S171" s="22">
        <f t="shared" si="6"/>
        <v>5.6888888888888885E-4</v>
      </c>
    </row>
    <row r="172" spans="1:19">
      <c r="A172" s="28" t="s">
        <v>81</v>
      </c>
      <c r="B172" s="29">
        <v>22111122</v>
      </c>
      <c r="C172" s="29" t="s">
        <v>30</v>
      </c>
      <c r="D172" s="29">
        <v>0.75</v>
      </c>
      <c r="E172" s="4">
        <v>8</v>
      </c>
      <c r="F172" s="4">
        <v>4</v>
      </c>
      <c r="G172" s="4">
        <v>15</v>
      </c>
      <c r="H172" s="30">
        <v>3.9013</v>
      </c>
      <c r="I172" s="4">
        <v>8.0000000000000004E-4</v>
      </c>
      <c r="J172" s="29">
        <v>-19.508600000000001</v>
      </c>
      <c r="K172" s="4">
        <v>1.4E-3</v>
      </c>
      <c r="L172" s="4">
        <v>3.6999999999999998E-2</v>
      </c>
      <c r="M172" s="4">
        <v>1.4999999999999999E-2</v>
      </c>
      <c r="N172" s="4">
        <v>-1.52E-2</v>
      </c>
      <c r="O172" s="4">
        <v>2.0000000000000001E-4</v>
      </c>
      <c r="P172" s="4">
        <v>115.85</v>
      </c>
      <c r="Q172" s="4">
        <v>0.14000000000000001</v>
      </c>
      <c r="R172" s="29">
        <f t="shared" ref="R172:R235" si="7">P172*E172/G172^3</f>
        <v>0.27460740740740741</v>
      </c>
      <c r="S172" s="22">
        <f t="shared" si="6"/>
        <v>3.3185185185185189E-4</v>
      </c>
    </row>
    <row r="173" spans="1:19">
      <c r="A173" s="33" t="s">
        <v>81</v>
      </c>
      <c r="B173" s="34">
        <v>22111122</v>
      </c>
      <c r="C173" s="34" t="s">
        <v>30</v>
      </c>
      <c r="D173" s="34">
        <v>1</v>
      </c>
      <c r="E173" s="4">
        <v>8</v>
      </c>
      <c r="F173" s="4">
        <v>4</v>
      </c>
      <c r="G173" s="4">
        <v>15</v>
      </c>
      <c r="H173" s="40">
        <v>3.3614999999999999</v>
      </c>
      <c r="I173" s="4">
        <v>8.9999999999999998E-4</v>
      </c>
      <c r="J173" s="34">
        <v>-17.146799999999999</v>
      </c>
      <c r="K173" s="4">
        <v>1.8E-3</v>
      </c>
      <c r="L173" s="4">
        <v>4.1000000000000002E-2</v>
      </c>
      <c r="M173" s="4">
        <v>0.02</v>
      </c>
      <c r="N173" s="4">
        <v>-2.7400000000000001E-2</v>
      </c>
      <c r="O173" s="4">
        <v>5.9999999999999995E-4</v>
      </c>
      <c r="P173" s="4">
        <v>93.44</v>
      </c>
      <c r="Q173" s="4">
        <v>0.3</v>
      </c>
      <c r="R173" s="34">
        <f t="shared" si="7"/>
        <v>0.22148740740740741</v>
      </c>
      <c r="S173" s="22">
        <f t="shared" si="6"/>
        <v>7.1111111111111104E-4</v>
      </c>
    </row>
    <row r="174" spans="1:19">
      <c r="A174" s="19" t="s">
        <v>82</v>
      </c>
      <c r="B174" s="20">
        <v>11222211</v>
      </c>
      <c r="C174" s="20" t="s">
        <v>19</v>
      </c>
      <c r="D174" s="20">
        <v>0.25</v>
      </c>
      <c r="E174" s="4">
        <v>8</v>
      </c>
      <c r="F174" s="4">
        <v>4</v>
      </c>
      <c r="G174" s="4">
        <v>15</v>
      </c>
      <c r="H174" s="21">
        <v>5.1311</v>
      </c>
      <c r="I174" s="4">
        <v>8.9999999999999998E-4</v>
      </c>
      <c r="J174" s="20">
        <v>-26.324200000000001</v>
      </c>
      <c r="K174" s="4">
        <v>5.9999999999999995E-4</v>
      </c>
      <c r="L174" s="4">
        <v>3.5999999999999997E-2</v>
      </c>
      <c r="M174" s="4">
        <v>5.0000000000000001E-3</v>
      </c>
      <c r="N174" s="4">
        <v>-8.2000000000000007E-3</v>
      </c>
      <c r="O174" s="4">
        <v>2.9999999999999997E-4</v>
      </c>
      <c r="P174" s="4">
        <v>128.69999999999999</v>
      </c>
      <c r="Q174" s="4">
        <v>0.16</v>
      </c>
      <c r="R174" s="20">
        <f t="shared" si="7"/>
        <v>0.30506666666666665</v>
      </c>
      <c r="S174" s="22">
        <f t="shared" si="6"/>
        <v>3.7925925925925925E-4</v>
      </c>
    </row>
    <row r="175" spans="1:19">
      <c r="A175" s="23" t="s">
        <v>82</v>
      </c>
      <c r="B175" s="4">
        <v>11222211</v>
      </c>
      <c r="C175" s="4" t="s">
        <v>19</v>
      </c>
      <c r="D175" s="4">
        <v>0.5</v>
      </c>
      <c r="E175" s="4">
        <v>8</v>
      </c>
      <c r="F175" s="4">
        <v>4</v>
      </c>
      <c r="G175" s="4">
        <v>15</v>
      </c>
      <c r="H175" s="24">
        <v>4.2988999999999997</v>
      </c>
      <c r="I175" s="4">
        <v>8.0000000000000004E-4</v>
      </c>
      <c r="J175" s="4">
        <v>-22.6675</v>
      </c>
      <c r="K175" s="4">
        <v>4.0000000000000002E-4</v>
      </c>
      <c r="L175" s="4">
        <v>9.2999999999999999E-2</v>
      </c>
      <c r="M175" s="4">
        <v>8.0000000000000002E-3</v>
      </c>
      <c r="N175" s="4">
        <v>-1.2699999999999999E-2</v>
      </c>
      <c r="O175" s="4">
        <v>5.0000000000000001E-4</v>
      </c>
      <c r="P175" s="4">
        <v>123.2</v>
      </c>
      <c r="Q175" s="4">
        <v>0.26</v>
      </c>
      <c r="R175" s="4">
        <f t="shared" si="7"/>
        <v>0.29202962962962964</v>
      </c>
      <c r="S175" s="22">
        <f t="shared" si="6"/>
        <v>6.1629629629629632E-4</v>
      </c>
    </row>
    <row r="176" spans="1:19">
      <c r="A176" s="28" t="s">
        <v>82</v>
      </c>
      <c r="B176" s="29">
        <v>11222211</v>
      </c>
      <c r="C176" s="29" t="s">
        <v>19</v>
      </c>
      <c r="D176" s="29">
        <v>0.75</v>
      </c>
      <c r="E176" s="4">
        <v>8</v>
      </c>
      <c r="F176" s="4">
        <v>4</v>
      </c>
      <c r="G176" s="4">
        <v>15</v>
      </c>
      <c r="H176" s="41">
        <v>3.3089</v>
      </c>
      <c r="I176" s="4">
        <v>2.3999999999999998E-3</v>
      </c>
      <c r="J176" s="29">
        <v>-19.847999999999999</v>
      </c>
      <c r="K176" s="4">
        <v>1E-3</v>
      </c>
      <c r="L176" s="4">
        <v>0.17499999999999999</v>
      </c>
      <c r="M176" s="4">
        <v>2.5000000000000001E-2</v>
      </c>
      <c r="N176" s="4">
        <v>-3.5099999999999999E-2</v>
      </c>
      <c r="O176" s="4">
        <v>1E-4</v>
      </c>
      <c r="P176" s="4">
        <v>92.06</v>
      </c>
      <c r="Q176" s="4">
        <v>0.52</v>
      </c>
      <c r="R176" s="29">
        <f t="shared" si="7"/>
        <v>0.2182162962962963</v>
      </c>
      <c r="S176" s="22">
        <f t="shared" si="6"/>
        <v>1.2325925925925926E-3</v>
      </c>
    </row>
    <row r="177" spans="1:19">
      <c r="A177" s="19" t="s">
        <v>83</v>
      </c>
      <c r="B177" s="20">
        <v>12211212</v>
      </c>
      <c r="C177" s="20"/>
      <c r="D177" s="20">
        <v>0.25</v>
      </c>
      <c r="E177" s="4">
        <v>8</v>
      </c>
      <c r="F177" s="4">
        <v>4</v>
      </c>
      <c r="G177" s="4">
        <v>15</v>
      </c>
      <c r="H177" s="21">
        <v>5.2016</v>
      </c>
      <c r="I177" s="4">
        <v>5.9999999999999995E-4</v>
      </c>
      <c r="J177" s="20">
        <v>-26.4435</v>
      </c>
      <c r="K177" s="4">
        <v>1.1000000000000001E-3</v>
      </c>
      <c r="L177" s="4">
        <v>3.6999999999999998E-2</v>
      </c>
      <c r="M177" s="4">
        <v>8.9999999999999993E-3</v>
      </c>
      <c r="N177" s="4">
        <v>-7.7999999999999996E-3</v>
      </c>
      <c r="O177" s="4">
        <v>2.9999999999999997E-4</v>
      </c>
      <c r="P177" s="4">
        <v>129.18</v>
      </c>
      <c r="Q177" s="4">
        <v>0.26</v>
      </c>
      <c r="R177" s="20">
        <f t="shared" si="7"/>
        <v>0.30620444444444445</v>
      </c>
      <c r="S177" s="22">
        <f t="shared" si="6"/>
        <v>6.1629629629629632E-4</v>
      </c>
    </row>
    <row r="178" spans="1:19">
      <c r="A178" s="23" t="s">
        <v>83</v>
      </c>
      <c r="B178" s="4">
        <v>12211212</v>
      </c>
      <c r="D178" s="4">
        <v>0.5</v>
      </c>
      <c r="E178" s="4">
        <v>8</v>
      </c>
      <c r="F178" s="4">
        <v>4</v>
      </c>
      <c r="G178" s="4">
        <v>15</v>
      </c>
      <c r="H178" s="24">
        <v>4.4617000000000004</v>
      </c>
      <c r="I178" s="4">
        <v>2.9999999999999997E-4</v>
      </c>
      <c r="J178" s="4">
        <v>-22.7468</v>
      </c>
      <c r="K178" s="4">
        <v>1.6000000000000001E-3</v>
      </c>
      <c r="L178" s="4">
        <v>3.3000000000000002E-2</v>
      </c>
      <c r="M178" s="4">
        <v>3.0000000000000001E-3</v>
      </c>
      <c r="N178" s="4">
        <v>-9.4999999999999998E-3</v>
      </c>
      <c r="O178" s="4">
        <v>5.9999999999999995E-4</v>
      </c>
      <c r="P178" s="4">
        <v>127.64</v>
      </c>
      <c r="Q178" s="4">
        <v>0.3</v>
      </c>
      <c r="R178" s="4">
        <f t="shared" si="7"/>
        <v>0.30255407407407409</v>
      </c>
      <c r="S178" s="22">
        <f t="shared" si="6"/>
        <v>7.1111111111111104E-4</v>
      </c>
    </row>
    <row r="179" spans="1:19">
      <c r="A179" s="28" t="s">
        <v>83</v>
      </c>
      <c r="B179" s="29">
        <v>12211212</v>
      </c>
      <c r="C179" s="29"/>
      <c r="D179" s="29">
        <v>0.75</v>
      </c>
      <c r="E179" s="4">
        <v>8</v>
      </c>
      <c r="F179" s="4">
        <v>4</v>
      </c>
      <c r="G179" s="4">
        <v>15</v>
      </c>
      <c r="H179" s="32">
        <v>3.7195999999999998</v>
      </c>
      <c r="I179" s="39">
        <v>2.9999999999999997E-4</v>
      </c>
      <c r="J179" s="41">
        <v>-19.212299999999999</v>
      </c>
      <c r="K179" s="39">
        <v>1.1999999999999999E-3</v>
      </c>
      <c r="L179" s="39">
        <v>5.0999999999999997E-2</v>
      </c>
      <c r="M179" s="39">
        <v>8.0000000000000002E-3</v>
      </c>
      <c r="N179" s="39">
        <v>-1.3599999999999999E-2</v>
      </c>
      <c r="O179" s="39">
        <v>2.9999999999999997E-4</v>
      </c>
      <c r="P179" s="39">
        <v>122.53</v>
      </c>
      <c r="Q179" s="39">
        <v>0.13</v>
      </c>
      <c r="R179" s="29">
        <f t="shared" si="7"/>
        <v>0.29044148148148147</v>
      </c>
      <c r="S179" s="22">
        <f t="shared" si="6"/>
        <v>3.0814814814814816E-4</v>
      </c>
    </row>
    <row r="180" spans="1:19">
      <c r="A180" s="19" t="s">
        <v>84</v>
      </c>
      <c r="B180" s="20">
        <v>12212112</v>
      </c>
      <c r="C180" s="20"/>
      <c r="D180" s="20">
        <v>0.25</v>
      </c>
      <c r="E180" s="4">
        <v>8</v>
      </c>
      <c r="F180" s="4">
        <v>4</v>
      </c>
      <c r="G180" s="4">
        <v>15</v>
      </c>
      <c r="H180" s="21">
        <v>5.1959999999999997</v>
      </c>
      <c r="I180" s="4">
        <v>8.0000000000000004E-4</v>
      </c>
      <c r="J180" s="20">
        <v>-26.454699999999999</v>
      </c>
      <c r="K180" s="4">
        <v>1E-3</v>
      </c>
      <c r="L180" s="4">
        <v>3.1E-2</v>
      </c>
      <c r="M180" s="4">
        <v>4.0000000000000001E-3</v>
      </c>
      <c r="N180" s="4">
        <v>-7.7000000000000002E-3</v>
      </c>
      <c r="O180" s="4">
        <v>1E-4</v>
      </c>
      <c r="P180" s="4">
        <v>129.21</v>
      </c>
      <c r="Q180" s="4">
        <v>0.06</v>
      </c>
      <c r="R180" s="20">
        <f t="shared" si="7"/>
        <v>0.30627555555555558</v>
      </c>
      <c r="S180" s="22">
        <f t="shared" si="6"/>
        <v>1.4222222222222221E-4</v>
      </c>
    </row>
    <row r="181" spans="1:19">
      <c r="A181" s="23" t="s">
        <v>84</v>
      </c>
      <c r="B181" s="4">
        <v>12212112</v>
      </c>
      <c r="D181" s="4">
        <v>0.5</v>
      </c>
      <c r="E181" s="4">
        <v>8</v>
      </c>
      <c r="F181" s="4">
        <v>4</v>
      </c>
      <c r="G181" s="4">
        <v>15</v>
      </c>
      <c r="H181" s="24">
        <v>4.4489999999999998</v>
      </c>
      <c r="I181" s="4">
        <v>5.9999999999999995E-4</v>
      </c>
      <c r="J181" s="4">
        <v>-22.7727</v>
      </c>
      <c r="K181" s="4">
        <v>4.0000000000000002E-4</v>
      </c>
      <c r="L181" s="4">
        <v>3.4000000000000002E-2</v>
      </c>
      <c r="M181" s="4">
        <v>3.0000000000000001E-3</v>
      </c>
      <c r="N181" s="4">
        <v>-9.7000000000000003E-3</v>
      </c>
      <c r="O181" s="4">
        <v>2.9999999999999997E-4</v>
      </c>
      <c r="P181" s="4">
        <v>127.54</v>
      </c>
      <c r="Q181" s="4">
        <v>0.16</v>
      </c>
      <c r="R181" s="4">
        <f t="shared" si="7"/>
        <v>0.30231703703703705</v>
      </c>
      <c r="S181" s="22">
        <f t="shared" si="6"/>
        <v>3.7925925925925925E-4</v>
      </c>
    </row>
    <row r="182" spans="1:19">
      <c r="A182" s="28" t="s">
        <v>84</v>
      </c>
      <c r="B182" s="29">
        <v>12212112</v>
      </c>
      <c r="C182" s="29"/>
      <c r="D182" s="29">
        <v>0.75</v>
      </c>
      <c r="E182" s="4">
        <v>8</v>
      </c>
      <c r="F182" s="4">
        <v>4</v>
      </c>
      <c r="G182" s="4">
        <v>15</v>
      </c>
      <c r="H182" s="30">
        <v>3.6999</v>
      </c>
      <c r="I182" s="4">
        <v>5.0000000000000001E-4</v>
      </c>
      <c r="J182" s="29">
        <v>-19.259599999999999</v>
      </c>
      <c r="K182" s="4">
        <v>1E-3</v>
      </c>
      <c r="L182" s="4">
        <v>4.3999999999999997E-2</v>
      </c>
      <c r="M182" s="4">
        <v>0.01</v>
      </c>
      <c r="N182" s="4">
        <v>-1.4200000000000001E-2</v>
      </c>
      <c r="O182" s="4">
        <v>2.9999999999999997E-4</v>
      </c>
      <c r="P182" s="4">
        <v>122.28</v>
      </c>
      <c r="Q182" s="4">
        <v>0.11</v>
      </c>
      <c r="R182" s="29">
        <f t="shared" si="7"/>
        <v>0.28984888888888888</v>
      </c>
      <c r="S182" s="22">
        <f t="shared" si="6"/>
        <v>2.6074074074074075E-4</v>
      </c>
    </row>
    <row r="183" spans="1:19">
      <c r="A183" s="33" t="s">
        <v>84</v>
      </c>
      <c r="B183" s="34">
        <v>12212112</v>
      </c>
      <c r="C183" s="34"/>
      <c r="D183" s="34">
        <v>1</v>
      </c>
      <c r="E183" s="4">
        <v>8</v>
      </c>
      <c r="F183" s="4">
        <v>4</v>
      </c>
      <c r="G183" s="4">
        <v>15</v>
      </c>
      <c r="H183" s="34">
        <v>2.9464000000000001</v>
      </c>
      <c r="I183" s="4">
        <v>4.0000000000000002E-4</v>
      </c>
      <c r="J183" s="34">
        <v>-16.137599999999999</v>
      </c>
      <c r="K183" s="4">
        <v>8.0000000000000004E-4</v>
      </c>
      <c r="L183" s="4">
        <v>0.13</v>
      </c>
      <c r="M183" s="4">
        <v>1.7000000000000001E-2</v>
      </c>
      <c r="N183" s="4">
        <v>-2.7799999999999998E-2</v>
      </c>
      <c r="O183" s="4">
        <v>8.0000000000000004E-4</v>
      </c>
      <c r="P183" s="4">
        <v>106.16</v>
      </c>
      <c r="Q183" s="4">
        <v>0.44</v>
      </c>
      <c r="R183" s="34">
        <f t="shared" si="7"/>
        <v>0.25163851851851848</v>
      </c>
      <c r="S183" s="22">
        <f t="shared" si="6"/>
        <v>1.042962962962963E-3</v>
      </c>
    </row>
    <row r="184" spans="1:19">
      <c r="A184" s="19" t="s">
        <v>85</v>
      </c>
      <c r="B184" s="20">
        <v>12221112</v>
      </c>
      <c r="C184" s="20"/>
      <c r="D184" s="20">
        <v>0.25</v>
      </c>
      <c r="E184" s="4">
        <v>8</v>
      </c>
      <c r="F184" s="4">
        <v>4</v>
      </c>
      <c r="G184" s="4">
        <v>15</v>
      </c>
      <c r="H184" s="21">
        <v>5.1948999999999996</v>
      </c>
      <c r="I184" s="4">
        <v>2.0000000000000001E-4</v>
      </c>
      <c r="J184" s="20">
        <v>-26.3812</v>
      </c>
      <c r="K184" s="4">
        <v>1.6000000000000001E-3</v>
      </c>
      <c r="L184" s="4">
        <v>0.04</v>
      </c>
      <c r="M184" s="4">
        <v>8.9999999999999993E-3</v>
      </c>
      <c r="N184" s="4">
        <v>-7.7999999999999996E-3</v>
      </c>
      <c r="O184" s="4">
        <v>2.9999999999999997E-4</v>
      </c>
      <c r="P184" s="4">
        <v>128.93</v>
      </c>
      <c r="Q184" s="4">
        <v>0.27</v>
      </c>
      <c r="R184" s="20">
        <f t="shared" si="7"/>
        <v>0.30561185185185186</v>
      </c>
      <c r="S184" s="22">
        <f t="shared" si="6"/>
        <v>6.4000000000000005E-4</v>
      </c>
    </row>
    <row r="185" spans="1:19">
      <c r="A185" s="23" t="s">
        <v>85</v>
      </c>
      <c r="B185" s="4">
        <v>12221112</v>
      </c>
      <c r="D185" s="4">
        <v>0.5</v>
      </c>
      <c r="E185" s="4">
        <v>8</v>
      </c>
      <c r="F185" s="4">
        <v>4</v>
      </c>
      <c r="G185" s="4">
        <v>15</v>
      </c>
      <c r="H185" s="24">
        <v>4.4485000000000001</v>
      </c>
      <c r="I185" s="4">
        <v>5.0000000000000001E-4</v>
      </c>
      <c r="J185" s="4">
        <v>-22.6813</v>
      </c>
      <c r="K185" s="4">
        <v>8.0000000000000004E-4</v>
      </c>
      <c r="L185" s="4">
        <v>3.4000000000000002E-2</v>
      </c>
      <c r="M185" s="4">
        <v>5.0000000000000001E-3</v>
      </c>
      <c r="N185" s="4">
        <v>-1.0200000000000001E-2</v>
      </c>
      <c r="O185" s="4">
        <v>4.0000000000000002E-4</v>
      </c>
      <c r="P185" s="4">
        <v>125.99</v>
      </c>
      <c r="Q185" s="4">
        <v>0.22</v>
      </c>
      <c r="R185" s="4">
        <f t="shared" si="7"/>
        <v>0.29864296296296294</v>
      </c>
      <c r="S185" s="22">
        <f t="shared" si="6"/>
        <v>5.2148148148148149E-4</v>
      </c>
    </row>
    <row r="186" spans="1:19">
      <c r="A186" s="28" t="s">
        <v>85</v>
      </c>
      <c r="B186" s="29">
        <v>12221112</v>
      </c>
      <c r="C186" s="29"/>
      <c r="D186" s="29">
        <v>0.75</v>
      </c>
      <c r="E186" s="4">
        <v>8</v>
      </c>
      <c r="F186" s="4">
        <v>4</v>
      </c>
      <c r="G186" s="4">
        <v>15</v>
      </c>
      <c r="H186" s="30">
        <v>3.6968000000000001</v>
      </c>
      <c r="I186" s="4">
        <v>8.9999999999999998E-4</v>
      </c>
      <c r="J186" s="29">
        <v>-19.287600000000001</v>
      </c>
      <c r="K186" s="4">
        <v>5.0000000000000001E-4</v>
      </c>
      <c r="L186" s="4">
        <v>9.1999999999999998E-2</v>
      </c>
      <c r="M186" s="4">
        <v>6.0000000000000001E-3</v>
      </c>
      <c r="N186" s="4">
        <v>-1.72E-2</v>
      </c>
      <c r="O186" s="4">
        <v>2.9999999999999997E-4</v>
      </c>
      <c r="P186" s="4">
        <v>116.36</v>
      </c>
      <c r="Q186" s="4">
        <v>0.15</v>
      </c>
      <c r="R186" s="29">
        <f t="shared" si="7"/>
        <v>0.27581629629629628</v>
      </c>
      <c r="S186" s="22">
        <f t="shared" si="6"/>
        <v>3.5555555555555552E-4</v>
      </c>
    </row>
    <row r="187" spans="1:19">
      <c r="A187" s="19" t="s">
        <v>86</v>
      </c>
      <c r="B187" s="20">
        <v>21112122</v>
      </c>
      <c r="C187" s="20"/>
      <c r="D187" s="20">
        <v>0.25</v>
      </c>
      <c r="E187" s="4">
        <v>8</v>
      </c>
      <c r="F187" s="4">
        <v>4</v>
      </c>
      <c r="G187" s="4">
        <v>15</v>
      </c>
      <c r="H187" s="21">
        <v>5.2342000000000004</v>
      </c>
      <c r="I187" s="4">
        <v>8.9999999999999998E-4</v>
      </c>
      <c r="J187" s="20">
        <v>-26.532599999999999</v>
      </c>
      <c r="K187" s="4">
        <v>5.9999999999999995E-4</v>
      </c>
      <c r="L187" s="4">
        <v>3.1E-2</v>
      </c>
      <c r="M187" s="4">
        <v>5.0000000000000001E-3</v>
      </c>
      <c r="N187" s="4">
        <v>-7.7000000000000002E-3</v>
      </c>
      <c r="O187" s="4">
        <v>5.0000000000000001E-4</v>
      </c>
      <c r="P187" s="4">
        <v>128.78</v>
      </c>
      <c r="Q187" s="4">
        <v>0.26</v>
      </c>
      <c r="R187" s="20">
        <f t="shared" si="7"/>
        <v>0.3052562962962963</v>
      </c>
      <c r="S187" s="22">
        <f t="shared" si="6"/>
        <v>6.1629629629629632E-4</v>
      </c>
    </row>
    <row r="188" spans="1:19">
      <c r="A188" s="23" t="s">
        <v>86</v>
      </c>
      <c r="B188" s="4">
        <v>21112122</v>
      </c>
      <c r="D188" s="4">
        <v>0.5</v>
      </c>
      <c r="E188" s="4">
        <v>8</v>
      </c>
      <c r="F188" s="4">
        <v>4</v>
      </c>
      <c r="G188" s="4">
        <v>15</v>
      </c>
      <c r="H188" s="24">
        <v>4.5227000000000004</v>
      </c>
      <c r="I188" s="4">
        <v>4.0000000000000002E-4</v>
      </c>
      <c r="J188" s="4">
        <v>-22.9682</v>
      </c>
      <c r="K188" s="4">
        <v>1.1000000000000001E-3</v>
      </c>
      <c r="L188" s="4">
        <v>2.8000000000000001E-2</v>
      </c>
      <c r="M188" s="4">
        <v>3.0000000000000001E-3</v>
      </c>
      <c r="N188" s="4">
        <v>-1.0200000000000001E-2</v>
      </c>
      <c r="O188" s="4">
        <v>5.9999999999999995E-4</v>
      </c>
      <c r="P188" s="4">
        <v>125.8</v>
      </c>
      <c r="Q188" s="4">
        <v>0.26</v>
      </c>
      <c r="R188" s="4">
        <f t="shared" si="7"/>
        <v>0.29819259259259256</v>
      </c>
      <c r="S188" s="22">
        <f t="shared" si="6"/>
        <v>6.1629629629629632E-4</v>
      </c>
    </row>
    <row r="189" spans="1:19">
      <c r="A189" s="28" t="s">
        <v>86</v>
      </c>
      <c r="B189" s="29">
        <v>21112122</v>
      </c>
      <c r="C189" s="29"/>
      <c r="D189" s="29">
        <v>0.75</v>
      </c>
      <c r="E189" s="4">
        <v>8</v>
      </c>
      <c r="F189" s="4">
        <v>4</v>
      </c>
      <c r="G189" s="4">
        <v>15</v>
      </c>
      <c r="H189" s="30">
        <v>3.8111000000000002</v>
      </c>
      <c r="I189" s="4">
        <v>6.9999999999999999E-4</v>
      </c>
      <c r="J189" s="29">
        <v>-19.664200000000001</v>
      </c>
      <c r="K189" s="4">
        <v>6.9999999999999999E-4</v>
      </c>
      <c r="L189" s="4">
        <v>5.0999999999999997E-2</v>
      </c>
      <c r="M189" s="4">
        <v>0.01</v>
      </c>
      <c r="N189" s="4">
        <v>-1.61E-2</v>
      </c>
      <c r="O189" s="4">
        <v>8.0000000000000004E-4</v>
      </c>
      <c r="P189" s="4">
        <v>117.14</v>
      </c>
      <c r="Q189" s="4">
        <v>0.27</v>
      </c>
      <c r="R189" s="29">
        <f t="shared" si="7"/>
        <v>0.27766518518518518</v>
      </c>
      <c r="S189" s="22">
        <f t="shared" si="6"/>
        <v>6.4000000000000005E-4</v>
      </c>
    </row>
    <row r="190" spans="1:19">
      <c r="A190" s="19" t="s">
        <v>87</v>
      </c>
      <c r="B190" s="20">
        <v>21112212</v>
      </c>
      <c r="C190" s="20"/>
      <c r="D190" s="20">
        <v>0.25</v>
      </c>
      <c r="E190" s="4">
        <v>8</v>
      </c>
      <c r="F190" s="4">
        <v>4</v>
      </c>
      <c r="G190" s="4">
        <v>15</v>
      </c>
      <c r="H190" s="21">
        <v>5.2237</v>
      </c>
      <c r="I190" s="4">
        <v>2.9999999999999997E-4</v>
      </c>
      <c r="J190" s="20">
        <v>-26.5105</v>
      </c>
      <c r="K190" s="4">
        <v>1.1000000000000001E-3</v>
      </c>
      <c r="L190" s="4">
        <v>3.5000000000000003E-2</v>
      </c>
      <c r="M190" s="4">
        <v>5.0000000000000001E-3</v>
      </c>
      <c r="N190" s="4">
        <v>-7.4999999999999997E-3</v>
      </c>
      <c r="O190" s="4">
        <v>2.0000000000000001E-4</v>
      </c>
      <c r="P190" s="4">
        <v>129.21</v>
      </c>
      <c r="Q190" s="4">
        <v>0.15</v>
      </c>
      <c r="R190" s="20">
        <f t="shared" si="7"/>
        <v>0.30627555555555558</v>
      </c>
      <c r="S190" s="22">
        <f t="shared" si="6"/>
        <v>3.5555555555555552E-4</v>
      </c>
    </row>
    <row r="191" spans="1:19">
      <c r="A191" s="23" t="s">
        <v>87</v>
      </c>
      <c r="B191" s="4">
        <v>21112212</v>
      </c>
      <c r="D191" s="4">
        <v>0.5</v>
      </c>
      <c r="E191" s="4">
        <v>8</v>
      </c>
      <c r="F191" s="4">
        <v>4</v>
      </c>
      <c r="G191" s="4">
        <v>15</v>
      </c>
      <c r="H191" s="24">
        <v>4.5022000000000002</v>
      </c>
      <c r="I191" s="4">
        <v>8.0000000000000004E-4</v>
      </c>
      <c r="J191" s="4">
        <v>-22.912199999999999</v>
      </c>
      <c r="K191" s="4">
        <v>6.9999999999999999E-4</v>
      </c>
      <c r="L191" s="4">
        <v>2.9000000000000001E-2</v>
      </c>
      <c r="M191" s="4">
        <v>6.0000000000000001E-3</v>
      </c>
      <c r="N191" s="4">
        <v>-9.9000000000000008E-3</v>
      </c>
      <c r="O191" s="4">
        <v>4.0000000000000002E-4</v>
      </c>
      <c r="P191" s="4">
        <v>126.45</v>
      </c>
      <c r="Q191" s="4">
        <v>0.14000000000000001</v>
      </c>
      <c r="R191" s="4">
        <f t="shared" si="7"/>
        <v>0.29973333333333335</v>
      </c>
      <c r="S191" s="22">
        <f t="shared" si="6"/>
        <v>3.3185185185185189E-4</v>
      </c>
    </row>
    <row r="192" spans="1:19">
      <c r="A192" s="28" t="s">
        <v>87</v>
      </c>
      <c r="B192" s="29">
        <v>21112212</v>
      </c>
      <c r="C192" s="29"/>
      <c r="D192" s="29">
        <v>0.75</v>
      </c>
      <c r="E192" s="4">
        <v>8</v>
      </c>
      <c r="F192" s="4">
        <v>4</v>
      </c>
      <c r="G192" s="4">
        <v>15</v>
      </c>
      <c r="H192" s="30">
        <v>3.7793000000000001</v>
      </c>
      <c r="I192" s="4">
        <v>8.0000000000000004E-4</v>
      </c>
      <c r="J192" s="29">
        <v>-19.530999999999999</v>
      </c>
      <c r="K192" s="4">
        <v>1.4E-3</v>
      </c>
      <c r="L192" s="4">
        <v>4.7E-2</v>
      </c>
      <c r="M192" s="4">
        <v>4.0000000000000001E-3</v>
      </c>
      <c r="N192" s="4">
        <v>-1.52E-2</v>
      </c>
      <c r="O192" s="4">
        <v>5.0000000000000001E-4</v>
      </c>
      <c r="P192" s="4">
        <v>119.37</v>
      </c>
      <c r="Q192" s="4">
        <v>0.19</v>
      </c>
      <c r="R192" s="29">
        <f t="shared" si="7"/>
        <v>0.2829511111111111</v>
      </c>
      <c r="S192" s="22">
        <f t="shared" si="6"/>
        <v>4.503703703703704E-4</v>
      </c>
    </row>
    <row r="193" spans="1:19">
      <c r="A193" s="33" t="s">
        <v>87</v>
      </c>
      <c r="B193" s="34">
        <v>21112212</v>
      </c>
      <c r="C193" s="34"/>
      <c r="D193" s="34">
        <v>1</v>
      </c>
      <c r="E193" s="4">
        <v>8</v>
      </c>
      <c r="F193" s="4">
        <v>4</v>
      </c>
      <c r="G193" s="4">
        <v>15</v>
      </c>
      <c r="H193" s="34">
        <v>3.0695000000000001</v>
      </c>
      <c r="I193" s="4">
        <v>5.0000000000000001E-4</v>
      </c>
      <c r="J193" s="34">
        <v>-16.6861</v>
      </c>
      <c r="K193" s="4">
        <v>5.9999999999999995E-4</v>
      </c>
      <c r="L193" s="4">
        <v>9.7000000000000003E-2</v>
      </c>
      <c r="M193" s="4">
        <v>1.7999999999999999E-2</v>
      </c>
      <c r="N193" s="4">
        <v>-3.0700000000000002E-2</v>
      </c>
      <c r="O193" s="4">
        <v>2.9999999999999997E-4</v>
      </c>
      <c r="P193" s="4">
        <v>98.59</v>
      </c>
      <c r="Q193" s="4">
        <v>0.18</v>
      </c>
      <c r="R193" s="34">
        <f t="shared" si="7"/>
        <v>0.23369481481481483</v>
      </c>
      <c r="S193" s="22">
        <f t="shared" si="6"/>
        <v>4.2666666666666667E-4</v>
      </c>
    </row>
    <row r="194" spans="1:19">
      <c r="A194" s="19" t="s">
        <v>88</v>
      </c>
      <c r="B194" s="20">
        <v>21121122</v>
      </c>
      <c r="C194" s="20"/>
      <c r="D194" s="20">
        <v>0.25</v>
      </c>
      <c r="E194" s="4">
        <v>8</v>
      </c>
      <c r="F194" s="4">
        <v>4</v>
      </c>
      <c r="G194" s="4">
        <v>15</v>
      </c>
      <c r="H194" s="21">
        <v>5.2355</v>
      </c>
      <c r="I194" s="4">
        <v>6.9999999999999999E-4</v>
      </c>
      <c r="J194" s="20">
        <v>-26.490300000000001</v>
      </c>
      <c r="K194" s="4">
        <v>5.9999999999999995E-4</v>
      </c>
      <c r="L194" s="4">
        <v>3.5000000000000003E-2</v>
      </c>
      <c r="M194" s="4">
        <v>4.0000000000000001E-3</v>
      </c>
      <c r="N194" s="4">
        <v>-7.6E-3</v>
      </c>
      <c r="O194" s="4">
        <v>1E-4</v>
      </c>
      <c r="P194" s="4">
        <v>129.11000000000001</v>
      </c>
      <c r="Q194" s="4">
        <v>0.09</v>
      </c>
      <c r="R194" s="20">
        <f t="shared" si="7"/>
        <v>0.30603851851851854</v>
      </c>
      <c r="S194" s="22">
        <f t="shared" si="6"/>
        <v>2.1333333333333333E-4</v>
      </c>
    </row>
    <row r="195" spans="1:19">
      <c r="A195" s="23" t="s">
        <v>88</v>
      </c>
      <c r="B195" s="4">
        <v>21121122</v>
      </c>
      <c r="D195" s="4">
        <v>0.5</v>
      </c>
      <c r="E195" s="4">
        <v>8</v>
      </c>
      <c r="F195" s="4">
        <v>4</v>
      </c>
      <c r="G195" s="4">
        <v>15</v>
      </c>
      <c r="H195" s="24">
        <v>4.5263999999999998</v>
      </c>
      <c r="I195" s="4">
        <v>5.9999999999999995E-4</v>
      </c>
      <c r="J195" s="4">
        <v>-22.8596</v>
      </c>
      <c r="K195" s="4">
        <v>1E-3</v>
      </c>
      <c r="L195" s="4">
        <v>3.1E-2</v>
      </c>
      <c r="M195" s="4">
        <v>3.0000000000000001E-3</v>
      </c>
      <c r="N195" s="4">
        <v>-9.2999999999999992E-3</v>
      </c>
      <c r="O195" s="4">
        <v>4.0000000000000002E-4</v>
      </c>
      <c r="P195" s="4">
        <v>126.88</v>
      </c>
      <c r="Q195" s="4">
        <v>0.28000000000000003</v>
      </c>
      <c r="R195" s="4">
        <f t="shared" si="7"/>
        <v>0.30075259259259257</v>
      </c>
      <c r="S195" s="22">
        <f t="shared" si="6"/>
        <v>6.6370370370370379E-4</v>
      </c>
    </row>
    <row r="196" spans="1:19">
      <c r="A196" s="28" t="s">
        <v>88</v>
      </c>
      <c r="B196" s="29">
        <v>21121122</v>
      </c>
      <c r="C196" s="29"/>
      <c r="D196" s="29">
        <v>0.75</v>
      </c>
      <c r="E196" s="4">
        <v>8</v>
      </c>
      <c r="F196" s="4">
        <v>4</v>
      </c>
      <c r="G196" s="4">
        <v>15</v>
      </c>
      <c r="H196" s="30">
        <v>3.8180000000000001</v>
      </c>
      <c r="I196" s="4">
        <v>5.0000000000000001E-4</v>
      </c>
      <c r="J196" s="29">
        <v>-19.4269</v>
      </c>
      <c r="K196" s="4">
        <v>8.0000000000000004E-4</v>
      </c>
      <c r="L196" s="4">
        <v>3.5000000000000003E-2</v>
      </c>
      <c r="M196" s="4">
        <v>7.0000000000000001E-3</v>
      </c>
      <c r="N196" s="4">
        <v>-1.4E-2</v>
      </c>
      <c r="O196" s="4">
        <v>2.9999999999999997E-4</v>
      </c>
      <c r="P196" s="4">
        <v>120.44</v>
      </c>
      <c r="Q196" s="4">
        <v>0.17</v>
      </c>
      <c r="R196" s="29">
        <f t="shared" si="7"/>
        <v>0.28548740740740741</v>
      </c>
      <c r="S196" s="22">
        <f t="shared" si="6"/>
        <v>4.0296296296296299E-4</v>
      </c>
    </row>
    <row r="197" spans="1:19">
      <c r="A197" s="33" t="s">
        <v>88</v>
      </c>
      <c r="B197" s="34">
        <v>21121122</v>
      </c>
      <c r="C197" s="34"/>
      <c r="D197" s="34">
        <v>1</v>
      </c>
      <c r="E197" s="4">
        <v>8</v>
      </c>
      <c r="F197" s="4">
        <v>4</v>
      </c>
      <c r="G197" s="4">
        <v>15</v>
      </c>
      <c r="H197" s="34">
        <v>3.1284999999999998</v>
      </c>
      <c r="I197" s="4">
        <v>2.9999999999999997E-4</v>
      </c>
      <c r="J197" s="34">
        <v>-16.456299999999999</v>
      </c>
      <c r="K197" s="4">
        <v>8.9999999999999998E-4</v>
      </c>
      <c r="L197" s="4">
        <v>7.0999999999999994E-2</v>
      </c>
      <c r="M197" s="4">
        <v>5.0000000000000001E-3</v>
      </c>
      <c r="N197" s="4">
        <v>-2.7699999999999999E-2</v>
      </c>
      <c r="O197" s="4">
        <v>2.9999999999999997E-4</v>
      </c>
      <c r="P197" s="4">
        <v>102.37</v>
      </c>
      <c r="Q197" s="4">
        <v>0.24</v>
      </c>
      <c r="R197" s="34">
        <f t="shared" si="7"/>
        <v>0.24265481481481482</v>
      </c>
      <c r="S197" s="22">
        <f t="shared" si="6"/>
        <v>5.6888888888888885E-4</v>
      </c>
    </row>
    <row r="198" spans="1:19">
      <c r="A198" s="19" t="s">
        <v>89</v>
      </c>
      <c r="B198" s="20">
        <v>21121212</v>
      </c>
      <c r="C198" s="20"/>
      <c r="D198" s="20">
        <v>0.25</v>
      </c>
      <c r="E198" s="4">
        <v>8</v>
      </c>
      <c r="F198" s="4">
        <v>4</v>
      </c>
      <c r="G198" s="4">
        <v>15</v>
      </c>
      <c r="H198" s="31">
        <v>5.2237999999999998</v>
      </c>
      <c r="I198" s="39">
        <v>2.9999999999999997E-4</v>
      </c>
      <c r="J198" s="42">
        <v>-26.5989</v>
      </c>
      <c r="K198" s="39">
        <v>1.1000000000000001E-3</v>
      </c>
      <c r="L198" s="39">
        <v>3.4000000000000002E-2</v>
      </c>
      <c r="M198" s="39">
        <v>3.0000000000000001E-3</v>
      </c>
      <c r="N198" s="39">
        <v>-7.4999999999999997E-3</v>
      </c>
      <c r="O198" s="39">
        <v>1E-4</v>
      </c>
      <c r="P198" s="39">
        <v>129.37</v>
      </c>
      <c r="Q198" s="39">
        <v>7.0000000000000007E-2</v>
      </c>
      <c r="R198" s="20">
        <f t="shared" si="7"/>
        <v>0.30665481481481482</v>
      </c>
      <c r="S198" s="22">
        <f t="shared" si="6"/>
        <v>1.6592592592592595E-4</v>
      </c>
    </row>
    <row r="199" spans="1:19">
      <c r="A199" s="23" t="s">
        <v>89</v>
      </c>
      <c r="B199" s="4">
        <v>21121212</v>
      </c>
      <c r="D199" s="4">
        <v>0.5</v>
      </c>
      <c r="E199" s="4">
        <v>8</v>
      </c>
      <c r="F199" s="4">
        <v>4</v>
      </c>
      <c r="G199" s="4">
        <v>15</v>
      </c>
      <c r="H199" s="24">
        <v>4.5050999999999997</v>
      </c>
      <c r="I199" s="4">
        <v>5.0000000000000001E-4</v>
      </c>
      <c r="J199" s="4">
        <v>-23.0518</v>
      </c>
      <c r="K199" s="4">
        <v>5.9999999999999995E-4</v>
      </c>
      <c r="L199" s="4">
        <v>3.4000000000000002E-2</v>
      </c>
      <c r="M199" s="4">
        <v>5.0000000000000001E-3</v>
      </c>
      <c r="N199" s="4">
        <v>-9.2999999999999992E-3</v>
      </c>
      <c r="O199" s="4">
        <v>1E-4</v>
      </c>
      <c r="P199" s="4">
        <v>127.77</v>
      </c>
      <c r="Q199" s="4">
        <v>0.15</v>
      </c>
      <c r="R199" s="4">
        <f t="shared" si="7"/>
        <v>0.3028622222222222</v>
      </c>
      <c r="S199" s="22">
        <f t="shared" si="6"/>
        <v>3.5555555555555552E-4</v>
      </c>
    </row>
    <row r="200" spans="1:19">
      <c r="A200" s="28" t="s">
        <v>89</v>
      </c>
      <c r="B200" s="29">
        <v>21121212</v>
      </c>
      <c r="C200" s="29"/>
      <c r="D200" s="29">
        <v>0.75</v>
      </c>
      <c r="E200" s="4">
        <v>8</v>
      </c>
      <c r="F200" s="4">
        <v>4</v>
      </c>
      <c r="G200" s="4">
        <v>15</v>
      </c>
      <c r="H200" s="30">
        <v>3.7856999999999998</v>
      </c>
      <c r="I200" s="4">
        <v>1E-4</v>
      </c>
      <c r="J200" s="29">
        <v>-19.638000000000002</v>
      </c>
      <c r="K200" s="4">
        <v>8.9999999999999998E-4</v>
      </c>
      <c r="L200" s="4">
        <v>0.03</v>
      </c>
      <c r="M200" s="4">
        <v>3.0000000000000001E-3</v>
      </c>
      <c r="N200" s="4">
        <v>-1.2500000000000001E-2</v>
      </c>
      <c r="O200" s="4">
        <v>6.9999999999999999E-4</v>
      </c>
      <c r="P200" s="4">
        <v>123.87</v>
      </c>
      <c r="Q200" s="4">
        <v>0.28000000000000003</v>
      </c>
      <c r="R200" s="29">
        <f t="shared" si="7"/>
        <v>0.29361777777777781</v>
      </c>
      <c r="S200" s="22">
        <f t="shared" si="6"/>
        <v>6.6370370370370379E-4</v>
      </c>
    </row>
    <row r="201" spans="1:19">
      <c r="A201" s="33" t="s">
        <v>89</v>
      </c>
      <c r="B201" s="34">
        <v>21121212</v>
      </c>
      <c r="C201" s="34"/>
      <c r="D201" s="34">
        <v>1</v>
      </c>
      <c r="E201" s="4">
        <v>8</v>
      </c>
      <c r="F201" s="4">
        <v>4</v>
      </c>
      <c r="G201" s="4">
        <v>15</v>
      </c>
      <c r="H201" s="34">
        <v>3.0709</v>
      </c>
      <c r="I201" s="4">
        <v>6.9999999999999999E-4</v>
      </c>
      <c r="J201" s="34">
        <v>-16.495899999999999</v>
      </c>
      <c r="K201" s="4">
        <v>5.9999999999999995E-4</v>
      </c>
      <c r="L201" s="4">
        <v>5.7000000000000002E-2</v>
      </c>
      <c r="M201" s="4">
        <v>0.01</v>
      </c>
      <c r="N201" s="4">
        <v>-2.0899999999999998E-2</v>
      </c>
      <c r="O201" s="4">
        <v>5.0000000000000001E-4</v>
      </c>
      <c r="P201" s="4">
        <v>113.41</v>
      </c>
      <c r="Q201" s="4">
        <v>0.25</v>
      </c>
      <c r="R201" s="34">
        <f t="shared" si="7"/>
        <v>0.26882370370370368</v>
      </c>
      <c r="S201" s="22">
        <f t="shared" si="6"/>
        <v>5.9259259259259258E-4</v>
      </c>
    </row>
    <row r="202" spans="1:19">
      <c r="A202" s="19" t="s">
        <v>90</v>
      </c>
      <c r="B202" s="20">
        <v>21211122</v>
      </c>
      <c r="C202" s="20"/>
      <c r="D202" s="20">
        <v>0.25</v>
      </c>
      <c r="E202" s="4">
        <v>8</v>
      </c>
      <c r="F202" s="4">
        <v>4</v>
      </c>
      <c r="G202" s="4">
        <v>15</v>
      </c>
      <c r="H202" s="21">
        <v>5.2397999999999998</v>
      </c>
      <c r="I202" s="4">
        <v>4.0000000000000002E-4</v>
      </c>
      <c r="J202" s="20">
        <v>-26.5032</v>
      </c>
      <c r="K202" s="4">
        <v>1.2999999999999999E-3</v>
      </c>
      <c r="L202" s="4">
        <v>3.6999999999999998E-2</v>
      </c>
      <c r="M202" s="4">
        <v>1.0999999999999999E-2</v>
      </c>
      <c r="N202" s="4">
        <v>-7.3000000000000001E-3</v>
      </c>
      <c r="O202" s="4">
        <v>5.9999999999999995E-4</v>
      </c>
      <c r="P202" s="4">
        <v>129.16999999999999</v>
      </c>
      <c r="Q202" s="4">
        <v>0.3</v>
      </c>
      <c r="R202" s="20">
        <f t="shared" si="7"/>
        <v>0.3061807407407407</v>
      </c>
      <c r="S202" s="22">
        <f t="shared" si="6"/>
        <v>7.1111111111111104E-4</v>
      </c>
    </row>
    <row r="203" spans="1:19">
      <c r="A203" s="23" t="s">
        <v>90</v>
      </c>
      <c r="B203" s="4">
        <v>21211122</v>
      </c>
      <c r="D203" s="4">
        <v>0.5</v>
      </c>
      <c r="E203" s="4">
        <v>8</v>
      </c>
      <c r="F203" s="4">
        <v>4</v>
      </c>
      <c r="G203" s="4">
        <v>15</v>
      </c>
      <c r="H203" s="24">
        <v>4.5382999999999996</v>
      </c>
      <c r="I203" s="4">
        <v>5.0000000000000001E-4</v>
      </c>
      <c r="J203" s="4">
        <v>-22.899000000000001</v>
      </c>
      <c r="K203" s="4">
        <v>2.2000000000000001E-3</v>
      </c>
      <c r="L203" s="4">
        <v>5.3999999999999999E-2</v>
      </c>
      <c r="M203" s="4">
        <v>1.2E-2</v>
      </c>
      <c r="N203" s="4">
        <v>-8.9999999999999993E-3</v>
      </c>
      <c r="O203" s="4">
        <v>5.0000000000000001E-4</v>
      </c>
      <c r="P203" s="4">
        <v>126.67</v>
      </c>
      <c r="Q203" s="4">
        <v>0.27</v>
      </c>
      <c r="R203" s="4">
        <f t="shared" si="7"/>
        <v>0.30025481481481481</v>
      </c>
      <c r="S203" s="22">
        <f t="shared" si="6"/>
        <v>6.4000000000000005E-4</v>
      </c>
    </row>
    <row r="204" spans="1:19">
      <c r="A204" s="19" t="s">
        <v>92</v>
      </c>
      <c r="B204" s="20">
        <v>11212212</v>
      </c>
      <c r="C204" s="20"/>
      <c r="D204" s="20">
        <v>0.25</v>
      </c>
      <c r="E204" s="4">
        <v>8</v>
      </c>
      <c r="F204" s="4">
        <v>4</v>
      </c>
      <c r="G204" s="4">
        <v>15</v>
      </c>
      <c r="H204" s="21">
        <v>5.1802999999999999</v>
      </c>
      <c r="I204" s="4">
        <v>5.0000000000000001E-4</v>
      </c>
      <c r="J204" s="20">
        <v>-26.514299999999999</v>
      </c>
      <c r="K204" s="4">
        <v>6.9999999999999999E-4</v>
      </c>
      <c r="L204" s="4">
        <v>3.5999999999999997E-2</v>
      </c>
      <c r="M204" s="4">
        <v>2E-3</v>
      </c>
      <c r="N204" s="4">
        <v>-8.0000000000000002E-3</v>
      </c>
      <c r="O204" s="4">
        <v>1E-4</v>
      </c>
      <c r="P204" s="4">
        <v>129.07</v>
      </c>
      <c r="Q204" s="4">
        <v>0.05</v>
      </c>
      <c r="R204" s="20">
        <f t="shared" si="7"/>
        <v>0.30594370370370366</v>
      </c>
      <c r="S204" s="22">
        <f t="shared" si="6"/>
        <v>1.1851851851851852E-4</v>
      </c>
    </row>
    <row r="205" spans="1:19">
      <c r="A205" s="23" t="s">
        <v>92</v>
      </c>
      <c r="B205" s="4">
        <v>11212212</v>
      </c>
      <c r="D205" s="4">
        <v>0.5</v>
      </c>
      <c r="E205" s="4">
        <v>8</v>
      </c>
      <c r="F205" s="4">
        <v>4</v>
      </c>
      <c r="G205" s="4">
        <v>15</v>
      </c>
      <c r="H205" s="24">
        <v>4.4086999999999996</v>
      </c>
      <c r="I205" s="4">
        <v>2.0000000000000001E-4</v>
      </c>
      <c r="J205" s="4">
        <v>-22.9313</v>
      </c>
      <c r="K205" s="4">
        <v>4.0000000000000002E-4</v>
      </c>
      <c r="L205" s="4">
        <v>4.9000000000000002E-2</v>
      </c>
      <c r="M205" s="4">
        <v>6.0000000000000001E-3</v>
      </c>
      <c r="N205" s="4">
        <v>-1.12E-2</v>
      </c>
      <c r="O205" s="4">
        <v>2.0000000000000001E-4</v>
      </c>
      <c r="P205" s="4">
        <v>125.67</v>
      </c>
      <c r="Q205" s="4">
        <v>0.12</v>
      </c>
      <c r="R205" s="4">
        <f t="shared" si="7"/>
        <v>0.29788444444444445</v>
      </c>
      <c r="S205" s="22">
        <f t="shared" si="6"/>
        <v>2.8444444444444443E-4</v>
      </c>
    </row>
    <row r="206" spans="1:19">
      <c r="A206" s="28" t="s">
        <v>92</v>
      </c>
      <c r="B206" s="29">
        <v>11212212</v>
      </c>
      <c r="C206" s="29"/>
      <c r="D206" s="29">
        <v>0.75</v>
      </c>
      <c r="E206" s="4">
        <v>8</v>
      </c>
      <c r="F206" s="4">
        <v>4</v>
      </c>
      <c r="G206" s="4">
        <v>15</v>
      </c>
      <c r="H206" s="32">
        <v>3.6110000000000002</v>
      </c>
      <c r="I206" s="39">
        <v>5.0000000000000001E-4</v>
      </c>
      <c r="J206" s="41">
        <v>-19.625299999999999</v>
      </c>
      <c r="K206" s="39">
        <v>4.0000000000000001E-3</v>
      </c>
      <c r="L206" s="39">
        <v>0.14399999999999999</v>
      </c>
      <c r="M206" s="39">
        <v>1.4999999999999999E-2</v>
      </c>
      <c r="N206" s="39">
        <v>-2.1600000000000001E-2</v>
      </c>
      <c r="O206" s="39">
        <v>1.5E-3</v>
      </c>
      <c r="P206" s="39">
        <v>113.12</v>
      </c>
      <c r="Q206" s="39">
        <v>1.0900000000000001</v>
      </c>
      <c r="R206" s="29">
        <f t="shared" si="7"/>
        <v>0.26813629629629632</v>
      </c>
      <c r="S206" s="22">
        <f t="shared" si="6"/>
        <v>2.5837037037037039E-3</v>
      </c>
    </row>
    <row r="207" spans="1:19">
      <c r="A207" s="19" t="s">
        <v>94</v>
      </c>
      <c r="B207" s="20">
        <v>11212221</v>
      </c>
      <c r="C207" s="20"/>
      <c r="D207" s="20">
        <v>0.25</v>
      </c>
      <c r="E207" s="4">
        <v>8</v>
      </c>
      <c r="F207" s="4">
        <v>4</v>
      </c>
      <c r="G207" s="4">
        <v>15</v>
      </c>
      <c r="H207" s="31">
        <v>5.1524999999999999</v>
      </c>
      <c r="I207" s="39">
        <v>2.9999999999999997E-4</v>
      </c>
      <c r="J207" s="42">
        <v>-26.390499999999999</v>
      </c>
      <c r="K207" s="39">
        <v>4.0000000000000002E-4</v>
      </c>
      <c r="L207" s="39">
        <v>3.5999999999999997E-2</v>
      </c>
      <c r="M207" s="39">
        <v>4.0000000000000001E-3</v>
      </c>
      <c r="N207" s="39">
        <v>-8.0000000000000002E-3</v>
      </c>
      <c r="O207" s="39">
        <v>2.0000000000000001E-4</v>
      </c>
      <c r="P207" s="39">
        <v>128.86000000000001</v>
      </c>
      <c r="Q207" s="39">
        <v>0.09</v>
      </c>
      <c r="R207" s="20">
        <f t="shared" si="7"/>
        <v>0.30544592592592595</v>
      </c>
      <c r="S207" s="22">
        <f t="shared" si="6"/>
        <v>2.1333333333333333E-4</v>
      </c>
    </row>
    <row r="208" spans="1:19">
      <c r="A208" s="23" t="s">
        <v>94</v>
      </c>
      <c r="B208" s="4">
        <v>11212221</v>
      </c>
      <c r="D208" s="4">
        <v>0.5</v>
      </c>
      <c r="E208" s="4">
        <v>8</v>
      </c>
      <c r="F208" s="4">
        <v>4</v>
      </c>
      <c r="G208" s="4">
        <v>15</v>
      </c>
      <c r="H208" s="24">
        <v>4.3472999999999997</v>
      </c>
      <c r="I208" s="4">
        <v>6.9999999999999999E-4</v>
      </c>
      <c r="J208" s="4">
        <v>-22.719899999999999</v>
      </c>
      <c r="K208" s="4">
        <v>6.9999999999999999E-4</v>
      </c>
      <c r="L208" s="4">
        <v>7.3999999999999996E-2</v>
      </c>
      <c r="M208" s="4">
        <v>4.0000000000000001E-3</v>
      </c>
      <c r="N208" s="4">
        <v>-1.2200000000000001E-2</v>
      </c>
      <c r="O208" s="4">
        <v>6.9999999999999999E-4</v>
      </c>
      <c r="P208" s="4">
        <v>124.65</v>
      </c>
      <c r="Q208" s="4">
        <v>0.34</v>
      </c>
      <c r="R208" s="4">
        <f t="shared" si="7"/>
        <v>0.29546666666666666</v>
      </c>
      <c r="S208" s="22">
        <f t="shared" si="6"/>
        <v>8.0592592592592597E-4</v>
      </c>
    </row>
    <row r="209" spans="1:19">
      <c r="A209" s="19" t="s">
        <v>95</v>
      </c>
      <c r="B209" s="20">
        <v>11221122</v>
      </c>
      <c r="C209" s="20"/>
      <c r="D209" s="20">
        <v>0.25</v>
      </c>
      <c r="E209" s="4">
        <v>8</v>
      </c>
      <c r="F209" s="4">
        <v>4</v>
      </c>
      <c r="G209" s="4">
        <v>15</v>
      </c>
      <c r="H209" s="21">
        <v>5.1943000000000001</v>
      </c>
      <c r="I209" s="4">
        <v>6.9999999999999999E-4</v>
      </c>
      <c r="J209" s="20">
        <v>-26.365500000000001</v>
      </c>
      <c r="K209" s="4">
        <v>8.0000000000000004E-4</v>
      </c>
      <c r="L209" s="4">
        <v>3.3000000000000002E-2</v>
      </c>
      <c r="M209" s="4">
        <v>5.0000000000000001E-3</v>
      </c>
      <c r="N209" s="4">
        <v>-7.7000000000000002E-3</v>
      </c>
      <c r="O209" s="4">
        <v>2.0000000000000001E-4</v>
      </c>
      <c r="P209" s="4">
        <v>128.94</v>
      </c>
      <c r="Q209" s="4">
        <v>0.16</v>
      </c>
      <c r="R209" s="20">
        <f t="shared" si="7"/>
        <v>0.30563555555555555</v>
      </c>
      <c r="S209" s="22">
        <f t="shared" si="6"/>
        <v>3.7925925925925925E-4</v>
      </c>
    </row>
    <row r="210" spans="1:19">
      <c r="A210" s="23" t="s">
        <v>95</v>
      </c>
      <c r="B210" s="4">
        <v>11221122</v>
      </c>
      <c r="D210" s="4">
        <v>0.5</v>
      </c>
      <c r="E210" s="4">
        <v>8</v>
      </c>
      <c r="F210" s="4">
        <v>4</v>
      </c>
      <c r="G210" s="4">
        <v>15</v>
      </c>
      <c r="H210" s="24">
        <v>4.4397000000000002</v>
      </c>
      <c r="I210" s="4">
        <v>1E-3</v>
      </c>
      <c r="J210" s="4">
        <v>-22.642800000000001</v>
      </c>
      <c r="K210" s="4">
        <v>5.9999999999999995E-4</v>
      </c>
      <c r="L210" s="4">
        <v>4.3999999999999997E-2</v>
      </c>
      <c r="M210" s="4">
        <v>7.0000000000000001E-3</v>
      </c>
      <c r="N210" s="4">
        <v>-1.0699999999999999E-2</v>
      </c>
      <c r="O210" s="4">
        <v>1E-4</v>
      </c>
      <c r="P210" s="4">
        <v>125.54</v>
      </c>
      <c r="Q210" s="4">
        <v>0.13</v>
      </c>
      <c r="R210" s="4">
        <f t="shared" si="7"/>
        <v>0.29757629629629634</v>
      </c>
      <c r="S210" s="22">
        <f t="shared" si="6"/>
        <v>3.0814814814814816E-4</v>
      </c>
    </row>
    <row r="211" spans="1:19">
      <c r="A211" s="19" t="s">
        <v>96</v>
      </c>
      <c r="B211" s="20">
        <v>11221212</v>
      </c>
      <c r="C211" s="20"/>
      <c r="D211" s="20">
        <v>0.25</v>
      </c>
      <c r="E211" s="4">
        <v>8</v>
      </c>
      <c r="F211" s="4">
        <v>4</v>
      </c>
      <c r="G211" s="4">
        <v>15</v>
      </c>
      <c r="H211" s="21">
        <v>5.1818</v>
      </c>
      <c r="I211" s="4">
        <v>5.0000000000000001E-4</v>
      </c>
      <c r="J211" s="20">
        <v>-26.486499999999999</v>
      </c>
      <c r="K211" s="4">
        <v>1.1999999999999999E-3</v>
      </c>
      <c r="L211" s="4">
        <v>3.2000000000000001E-2</v>
      </c>
      <c r="M211" s="4">
        <v>3.0000000000000001E-3</v>
      </c>
      <c r="N211" s="4">
        <v>-8.0000000000000002E-3</v>
      </c>
      <c r="O211" s="4">
        <v>2.0000000000000001E-4</v>
      </c>
      <c r="P211" s="4">
        <v>129.16</v>
      </c>
      <c r="Q211" s="4">
        <v>0.13</v>
      </c>
      <c r="R211" s="20">
        <f t="shared" si="7"/>
        <v>0.30615703703703701</v>
      </c>
      <c r="S211" s="22">
        <f t="shared" si="6"/>
        <v>3.0814814814814816E-4</v>
      </c>
    </row>
    <row r="212" spans="1:19">
      <c r="A212" s="23" t="s">
        <v>96</v>
      </c>
      <c r="B212" s="4">
        <v>11221212</v>
      </c>
      <c r="D212" s="4">
        <v>0.5</v>
      </c>
      <c r="E212" s="4">
        <v>8</v>
      </c>
      <c r="F212" s="4">
        <v>4</v>
      </c>
      <c r="G212" s="4">
        <v>15</v>
      </c>
      <c r="H212" s="24">
        <v>4.4150999999999998</v>
      </c>
      <c r="I212" s="4">
        <v>8.0000000000000004E-4</v>
      </c>
      <c r="J212" s="4">
        <v>-22.8582</v>
      </c>
      <c r="K212" s="4">
        <v>5.9999999999999995E-4</v>
      </c>
      <c r="L212" s="4">
        <v>5.5E-2</v>
      </c>
      <c r="M212" s="4">
        <v>4.0000000000000001E-3</v>
      </c>
      <c r="N212" s="4">
        <v>-1.0500000000000001E-2</v>
      </c>
      <c r="O212" s="4">
        <v>2.9999999999999997E-4</v>
      </c>
      <c r="P212" s="4">
        <v>126.78</v>
      </c>
      <c r="Q212" s="4">
        <v>0.15</v>
      </c>
      <c r="R212" s="4">
        <f t="shared" si="7"/>
        <v>0.30051555555555554</v>
      </c>
      <c r="S212" s="22">
        <f t="shared" si="6"/>
        <v>3.5555555555555552E-4</v>
      </c>
    </row>
    <row r="213" spans="1:19">
      <c r="A213" s="19" t="s">
        <v>97</v>
      </c>
      <c r="B213" s="20">
        <v>11221221</v>
      </c>
      <c r="C213" s="20"/>
      <c r="D213" s="20">
        <v>0.25</v>
      </c>
      <c r="E213" s="4">
        <v>8</v>
      </c>
      <c r="F213" s="4">
        <v>4</v>
      </c>
      <c r="G213" s="4">
        <v>15</v>
      </c>
      <c r="H213" s="21">
        <v>5.1519000000000004</v>
      </c>
      <c r="I213" s="4">
        <v>8.9999999999999998E-4</v>
      </c>
      <c r="J213" s="20">
        <v>-26.348600000000001</v>
      </c>
      <c r="K213" s="4">
        <v>3.5999999999999999E-3</v>
      </c>
      <c r="L213" s="4">
        <v>5.2999999999999999E-2</v>
      </c>
      <c r="M213" s="4">
        <v>1.4E-2</v>
      </c>
      <c r="N213" s="4">
        <v>-8.0000000000000002E-3</v>
      </c>
      <c r="O213" s="4">
        <v>4.0000000000000002E-4</v>
      </c>
      <c r="P213" s="4">
        <v>129.13</v>
      </c>
      <c r="Q213" s="4">
        <v>0.3</v>
      </c>
      <c r="R213" s="20">
        <f t="shared" si="7"/>
        <v>0.30608592592592593</v>
      </c>
      <c r="S213" s="22">
        <f t="shared" si="6"/>
        <v>7.1111111111111104E-4</v>
      </c>
    </row>
    <row r="214" spans="1:19">
      <c r="A214" s="23" t="s">
        <v>97</v>
      </c>
      <c r="B214" s="4">
        <v>11221221</v>
      </c>
      <c r="D214" s="4">
        <v>0.5</v>
      </c>
      <c r="E214" s="4">
        <v>8</v>
      </c>
      <c r="F214" s="4">
        <v>4</v>
      </c>
      <c r="G214" s="4">
        <v>15</v>
      </c>
      <c r="H214" s="24">
        <v>4.3525999999999998</v>
      </c>
      <c r="I214" s="4">
        <v>4.0000000000000002E-4</v>
      </c>
      <c r="J214" s="4">
        <v>-22.603200000000001</v>
      </c>
      <c r="K214" s="4">
        <v>1.1999999999999999E-3</v>
      </c>
      <c r="L214" s="4">
        <v>6.9000000000000006E-2</v>
      </c>
      <c r="M214" s="4">
        <v>1.7000000000000001E-2</v>
      </c>
      <c r="N214" s="4">
        <v>-1.12E-2</v>
      </c>
      <c r="O214" s="4">
        <v>5.9999999999999995E-4</v>
      </c>
      <c r="P214" s="4">
        <v>126.17</v>
      </c>
      <c r="Q214" s="4">
        <v>0.35</v>
      </c>
      <c r="R214" s="4">
        <f t="shared" si="7"/>
        <v>0.29906962962962963</v>
      </c>
      <c r="S214" s="22">
        <f t="shared" si="6"/>
        <v>8.296296296296296E-4</v>
      </c>
    </row>
    <row r="215" spans="1:19">
      <c r="A215" s="28" t="s">
        <v>97</v>
      </c>
      <c r="B215" s="29">
        <v>11221221</v>
      </c>
      <c r="C215" s="29"/>
      <c r="D215" s="29">
        <v>0.75</v>
      </c>
      <c r="E215" s="4">
        <v>8</v>
      </c>
      <c r="F215" s="4">
        <v>4</v>
      </c>
      <c r="G215" s="4">
        <v>15</v>
      </c>
      <c r="H215" s="32">
        <v>3.5179</v>
      </c>
      <c r="I215" s="4">
        <v>1E-3</v>
      </c>
      <c r="J215" s="29">
        <v>-19.168600000000001</v>
      </c>
      <c r="K215" s="4">
        <v>2.9999999999999997E-4</v>
      </c>
      <c r="L215" s="4">
        <v>0.16400000000000001</v>
      </c>
      <c r="M215" s="4">
        <v>1.6E-2</v>
      </c>
      <c r="N215" s="4">
        <v>-2.18E-2</v>
      </c>
      <c r="O215" s="4">
        <v>2.0000000000000001E-4</v>
      </c>
      <c r="P215" s="4">
        <v>113.66</v>
      </c>
      <c r="Q215" s="4">
        <v>0.23</v>
      </c>
      <c r="R215" s="29">
        <f t="shared" si="7"/>
        <v>0.26941629629629626</v>
      </c>
      <c r="S215" s="22">
        <f t="shared" si="6"/>
        <v>5.4518518518518523E-4</v>
      </c>
    </row>
    <row r="216" spans="1:19">
      <c r="A216" s="19" t="s">
        <v>98</v>
      </c>
      <c r="B216" s="20">
        <v>11222112</v>
      </c>
      <c r="C216" s="20"/>
      <c r="D216" s="20">
        <v>0.25</v>
      </c>
      <c r="E216" s="4">
        <v>8</v>
      </c>
      <c r="F216" s="4">
        <v>4</v>
      </c>
      <c r="G216" s="4">
        <v>15</v>
      </c>
      <c r="H216" s="21">
        <v>5.1764999999999999</v>
      </c>
      <c r="I216" s="4">
        <v>8.9999999999999998E-4</v>
      </c>
      <c r="J216" s="20">
        <v>-26.385100000000001</v>
      </c>
      <c r="K216" s="4">
        <v>1E-3</v>
      </c>
      <c r="L216" s="4">
        <v>3.3000000000000002E-2</v>
      </c>
      <c r="M216" s="4">
        <v>8.0000000000000002E-3</v>
      </c>
      <c r="N216" s="4">
        <v>-7.7999999999999996E-3</v>
      </c>
      <c r="O216" s="4">
        <v>2.0000000000000001E-4</v>
      </c>
      <c r="P216" s="4">
        <v>129.08000000000001</v>
      </c>
      <c r="Q216" s="4">
        <v>0.11</v>
      </c>
      <c r="R216" s="20">
        <f t="shared" si="7"/>
        <v>0.30596740740740741</v>
      </c>
      <c r="S216" s="22">
        <f t="shared" si="6"/>
        <v>2.6074074074074075E-4</v>
      </c>
    </row>
    <row r="217" spans="1:19">
      <c r="A217" s="23" t="s">
        <v>98</v>
      </c>
      <c r="B217" s="4">
        <v>11222112</v>
      </c>
      <c r="D217" s="4">
        <v>0.5</v>
      </c>
      <c r="E217" s="4">
        <v>8</v>
      </c>
      <c r="F217" s="4">
        <v>4</v>
      </c>
      <c r="G217" s="4">
        <v>15</v>
      </c>
      <c r="H217" s="24">
        <v>4.4040999999999997</v>
      </c>
      <c r="I217" s="4">
        <v>5.9999999999999995E-4</v>
      </c>
      <c r="J217" s="4">
        <v>-22.687999999999999</v>
      </c>
      <c r="K217" s="4">
        <v>1E-3</v>
      </c>
      <c r="L217" s="4">
        <v>5.8000000000000003E-2</v>
      </c>
      <c r="M217" s="4">
        <v>6.0000000000000001E-3</v>
      </c>
      <c r="N217" s="4">
        <v>-1.09E-2</v>
      </c>
      <c r="O217" s="4">
        <v>4.0000000000000002E-4</v>
      </c>
      <c r="P217" s="4">
        <v>125.77</v>
      </c>
      <c r="Q217" s="4">
        <v>0.14000000000000001</v>
      </c>
      <c r="R217" s="4">
        <f t="shared" si="7"/>
        <v>0.29812148148148149</v>
      </c>
      <c r="S217" s="22">
        <f t="shared" si="6"/>
        <v>3.3185185185185189E-4</v>
      </c>
    </row>
    <row r="218" spans="1:19">
      <c r="A218" s="19" t="s">
        <v>99</v>
      </c>
      <c r="B218" s="20">
        <v>11222121</v>
      </c>
      <c r="C218" s="20"/>
      <c r="D218" s="20">
        <v>0.25</v>
      </c>
      <c r="E218" s="4">
        <v>8</v>
      </c>
      <c r="F218" s="4">
        <v>4</v>
      </c>
      <c r="G218" s="4">
        <v>15</v>
      </c>
      <c r="H218" s="21">
        <v>5.1456</v>
      </c>
      <c r="I218" s="4">
        <v>5.0000000000000001E-4</v>
      </c>
      <c r="J218" s="20">
        <v>-26.3735</v>
      </c>
      <c r="K218" s="4">
        <v>1.6000000000000001E-3</v>
      </c>
      <c r="L218" s="4">
        <v>3.9E-2</v>
      </c>
      <c r="M218" s="4">
        <v>3.0000000000000001E-3</v>
      </c>
      <c r="N218" s="4">
        <v>-8.0000000000000002E-3</v>
      </c>
      <c r="O218" s="4">
        <v>2.9999999999999997E-4</v>
      </c>
      <c r="P218" s="4">
        <v>129.16999999999999</v>
      </c>
      <c r="Q218" s="4">
        <v>0.21</v>
      </c>
      <c r="R218" s="20">
        <f>P218*E218/G218^3</f>
        <v>0.3061807407407407</v>
      </c>
      <c r="S218" s="22">
        <f>Q218*E218/G218^3</f>
        <v>4.9777777777777776E-4</v>
      </c>
    </row>
    <row r="219" spans="1:19">
      <c r="A219" s="23" t="s">
        <v>99</v>
      </c>
      <c r="B219" s="4">
        <v>11222121</v>
      </c>
      <c r="D219" s="4">
        <v>0.5</v>
      </c>
      <c r="E219" s="4">
        <v>8</v>
      </c>
      <c r="F219" s="4">
        <v>4</v>
      </c>
      <c r="G219" s="4">
        <v>15</v>
      </c>
      <c r="H219" s="24">
        <v>4.3388</v>
      </c>
      <c r="I219" s="4">
        <v>2.0000000000000001E-4</v>
      </c>
      <c r="J219" s="4">
        <v>-22.674800000000001</v>
      </c>
      <c r="K219" s="4">
        <v>1.1000000000000001E-3</v>
      </c>
      <c r="L219" s="4">
        <v>7.2999999999999995E-2</v>
      </c>
      <c r="M219" s="4">
        <v>3.0000000000000001E-3</v>
      </c>
      <c r="N219" s="4">
        <v>-1.14E-2</v>
      </c>
      <c r="O219" s="4">
        <v>2.9999999999999997E-4</v>
      </c>
      <c r="P219" s="4">
        <v>125.65</v>
      </c>
      <c r="Q219" s="4">
        <v>0.19</v>
      </c>
      <c r="R219" s="4">
        <f t="shared" si="7"/>
        <v>0.29783703703703707</v>
      </c>
      <c r="S219" s="22">
        <f t="shared" si="6"/>
        <v>4.503703703703704E-4</v>
      </c>
    </row>
    <row r="220" spans="1:19">
      <c r="A220" s="28" t="s">
        <v>99</v>
      </c>
      <c r="B220" s="29">
        <v>11222121</v>
      </c>
      <c r="C220" s="29"/>
      <c r="D220" s="29">
        <v>0.75</v>
      </c>
      <c r="E220" s="4">
        <v>8</v>
      </c>
      <c r="F220" s="4">
        <v>4</v>
      </c>
      <c r="G220" s="4">
        <v>15</v>
      </c>
      <c r="H220" s="32">
        <v>3.4861</v>
      </c>
      <c r="I220" s="4">
        <v>6.9999999999999999E-4</v>
      </c>
      <c r="J220" s="29">
        <v>-19.343399999999999</v>
      </c>
      <c r="K220" s="4">
        <v>1.1000000000000001E-3</v>
      </c>
      <c r="L220" s="4">
        <v>0.20200000000000001</v>
      </c>
      <c r="M220" s="4">
        <v>5.0000000000000001E-3</v>
      </c>
      <c r="N220" s="4">
        <v>-2.3800000000000002E-2</v>
      </c>
      <c r="O220" s="4">
        <v>4.0000000000000002E-4</v>
      </c>
      <c r="P220" s="4">
        <v>111.11</v>
      </c>
      <c r="Q220" s="4">
        <v>0.43</v>
      </c>
      <c r="R220" s="29">
        <f t="shared" si="7"/>
        <v>0.26337185185185186</v>
      </c>
      <c r="S220" s="22">
        <f t="shared" si="6"/>
        <v>1.0192592592592593E-3</v>
      </c>
    </row>
    <row r="221" spans="1:19">
      <c r="A221" s="19" t="s">
        <v>100</v>
      </c>
      <c r="B221" s="20">
        <v>12111222</v>
      </c>
      <c r="C221" s="20"/>
      <c r="D221" s="20">
        <v>0.25</v>
      </c>
      <c r="E221" s="4">
        <v>8</v>
      </c>
      <c r="F221" s="4">
        <v>4</v>
      </c>
      <c r="G221" s="4">
        <v>15</v>
      </c>
      <c r="H221" s="21">
        <v>5.2114000000000003</v>
      </c>
      <c r="I221" s="4">
        <v>6.9999999999999999E-4</v>
      </c>
      <c r="J221" s="20">
        <v>-26.432200000000002</v>
      </c>
      <c r="K221" s="4">
        <v>1.2999999999999999E-3</v>
      </c>
      <c r="L221" s="4">
        <v>3.2000000000000001E-2</v>
      </c>
      <c r="M221" s="4">
        <v>3.0000000000000001E-3</v>
      </c>
      <c r="N221" s="4">
        <v>-7.7999999999999996E-3</v>
      </c>
      <c r="O221" s="4">
        <v>2.0000000000000001E-4</v>
      </c>
      <c r="P221" s="4">
        <v>128.63999999999999</v>
      </c>
      <c r="Q221" s="4">
        <v>0.13</v>
      </c>
      <c r="R221" s="20">
        <f t="shared" si="7"/>
        <v>0.30492444444444439</v>
      </c>
      <c r="S221" s="22">
        <f t="shared" si="6"/>
        <v>3.0814814814814816E-4</v>
      </c>
    </row>
    <row r="222" spans="1:19">
      <c r="A222" s="23" t="s">
        <v>100</v>
      </c>
      <c r="B222" s="4">
        <v>12111222</v>
      </c>
      <c r="D222" s="4">
        <v>0.5</v>
      </c>
      <c r="E222" s="4">
        <v>8</v>
      </c>
      <c r="F222" s="4">
        <v>4</v>
      </c>
      <c r="G222" s="4">
        <v>15</v>
      </c>
      <c r="H222" s="24">
        <v>4.4747000000000003</v>
      </c>
      <c r="I222" s="4">
        <v>8.0000000000000004E-4</v>
      </c>
      <c r="J222" s="4">
        <v>-22.831499999999998</v>
      </c>
      <c r="K222" s="4">
        <v>1E-3</v>
      </c>
      <c r="L222" s="4">
        <v>3.6999999999999998E-2</v>
      </c>
      <c r="M222" s="4">
        <v>8.0000000000000002E-3</v>
      </c>
      <c r="N222" s="4">
        <v>-1.14E-2</v>
      </c>
      <c r="O222" s="4">
        <v>5.0000000000000001E-4</v>
      </c>
      <c r="P222" s="4">
        <v>123.75</v>
      </c>
      <c r="Q222" s="4">
        <v>0.23</v>
      </c>
      <c r="R222" s="4">
        <f t="shared" si="7"/>
        <v>0.29333333333333333</v>
      </c>
      <c r="S222" s="22">
        <f t="shared" si="6"/>
        <v>5.4518518518518523E-4</v>
      </c>
    </row>
    <row r="223" spans="1:19">
      <c r="A223" s="19" t="s">
        <v>101</v>
      </c>
      <c r="B223" s="20">
        <v>12112122</v>
      </c>
      <c r="C223" s="20"/>
      <c r="D223" s="20">
        <v>0.25</v>
      </c>
      <c r="E223" s="4">
        <v>8</v>
      </c>
      <c r="F223" s="4">
        <v>4</v>
      </c>
      <c r="G223" s="4">
        <v>15</v>
      </c>
      <c r="H223" s="21">
        <v>5.2065000000000001</v>
      </c>
      <c r="I223" s="4">
        <v>2.0000000000000001E-4</v>
      </c>
      <c r="J223" s="20">
        <v>-26.488199999999999</v>
      </c>
      <c r="K223" s="4">
        <v>1.5E-3</v>
      </c>
      <c r="L223" s="4">
        <v>0.03</v>
      </c>
      <c r="M223" s="4">
        <v>3.0000000000000001E-3</v>
      </c>
      <c r="N223" s="4">
        <v>-7.7000000000000002E-3</v>
      </c>
      <c r="O223" s="4">
        <v>2.0000000000000001E-4</v>
      </c>
      <c r="P223" s="4">
        <v>129.03</v>
      </c>
      <c r="Q223" s="4">
        <v>0.19</v>
      </c>
      <c r="R223" s="20">
        <f t="shared" si="7"/>
        <v>0.30584888888888889</v>
      </c>
      <c r="S223" s="22">
        <f t="shared" si="6"/>
        <v>4.503703703703704E-4</v>
      </c>
    </row>
    <row r="224" spans="1:19">
      <c r="A224" s="23" t="s">
        <v>101</v>
      </c>
      <c r="B224" s="4">
        <v>12112122</v>
      </c>
      <c r="D224" s="4">
        <v>0.5</v>
      </c>
      <c r="E224" s="4">
        <v>8</v>
      </c>
      <c r="F224" s="4">
        <v>4</v>
      </c>
      <c r="G224" s="4">
        <v>15</v>
      </c>
      <c r="H224" s="24">
        <v>4.4656000000000002</v>
      </c>
      <c r="I224" s="4">
        <v>8.9999999999999998E-4</v>
      </c>
      <c r="J224" s="4">
        <v>-22.866099999999999</v>
      </c>
      <c r="K224" s="4">
        <v>8.0000000000000004E-4</v>
      </c>
      <c r="L224" s="4">
        <v>3.5000000000000003E-2</v>
      </c>
      <c r="M224" s="4">
        <v>6.0000000000000001E-3</v>
      </c>
      <c r="N224" s="4">
        <v>-0.01</v>
      </c>
      <c r="O224" s="4">
        <v>2.0000000000000001E-4</v>
      </c>
      <c r="P224" s="4">
        <v>126.28</v>
      </c>
      <c r="Q224" s="4">
        <v>0.14000000000000001</v>
      </c>
      <c r="R224" s="4">
        <f t="shared" si="7"/>
        <v>0.29933037037037036</v>
      </c>
      <c r="S224" s="22">
        <f t="shared" si="6"/>
        <v>3.3185185185185189E-4</v>
      </c>
    </row>
    <row r="225" spans="1:19">
      <c r="A225" s="28" t="s">
        <v>101</v>
      </c>
      <c r="B225" s="29">
        <v>12112122</v>
      </c>
      <c r="C225" s="29"/>
      <c r="D225" s="29">
        <v>0.75</v>
      </c>
      <c r="E225" s="4">
        <v>8</v>
      </c>
      <c r="F225" s="4">
        <v>4</v>
      </c>
      <c r="G225" s="4">
        <v>15</v>
      </c>
      <c r="H225" s="41">
        <v>3.7117</v>
      </c>
      <c r="I225" s="4">
        <v>1E-3</v>
      </c>
      <c r="J225" s="29">
        <v>-19.478999999999999</v>
      </c>
      <c r="K225" s="4">
        <v>6.9999999999999999E-4</v>
      </c>
      <c r="L225" s="4">
        <v>8.1000000000000003E-2</v>
      </c>
      <c r="M225" s="4">
        <v>3.0000000000000001E-3</v>
      </c>
      <c r="N225" s="4">
        <v>-1.7899999999999999E-2</v>
      </c>
      <c r="O225" s="4">
        <v>5.0000000000000001E-4</v>
      </c>
      <c r="P225" s="4">
        <v>116.79</v>
      </c>
      <c r="Q225" s="4">
        <v>0.35</v>
      </c>
      <c r="R225" s="29">
        <f t="shared" si="7"/>
        <v>0.27683555555555556</v>
      </c>
      <c r="S225" s="22">
        <f t="shared" si="6"/>
        <v>8.296296296296296E-4</v>
      </c>
    </row>
    <row r="226" spans="1:19">
      <c r="A226" s="19" t="s">
        <v>102</v>
      </c>
      <c r="B226" s="20">
        <v>12112212</v>
      </c>
      <c r="C226" s="20"/>
      <c r="D226" s="20">
        <v>0.25</v>
      </c>
      <c r="E226" s="4">
        <v>8</v>
      </c>
      <c r="F226" s="4">
        <v>4</v>
      </c>
      <c r="G226" s="4">
        <v>15</v>
      </c>
      <c r="H226" s="21">
        <v>5.1951000000000001</v>
      </c>
      <c r="I226" s="4">
        <v>6.9999999999999999E-4</v>
      </c>
      <c r="J226" s="20">
        <v>-26.471</v>
      </c>
      <c r="K226" s="4">
        <v>1.1999999999999999E-3</v>
      </c>
      <c r="L226" s="4">
        <v>3.1E-2</v>
      </c>
      <c r="M226" s="4">
        <v>1E-3</v>
      </c>
      <c r="N226" s="4">
        <v>-7.6E-3</v>
      </c>
      <c r="O226" s="4">
        <v>2.0000000000000001E-4</v>
      </c>
      <c r="P226" s="4">
        <v>129.18</v>
      </c>
      <c r="Q226" s="4">
        <v>0.15</v>
      </c>
      <c r="R226" s="20">
        <f t="shared" si="7"/>
        <v>0.30620444444444445</v>
      </c>
      <c r="S226" s="22">
        <f t="shared" si="6"/>
        <v>3.5555555555555552E-4</v>
      </c>
    </row>
    <row r="227" spans="1:19">
      <c r="A227" s="23" t="s">
        <v>102</v>
      </c>
      <c r="B227" s="4">
        <v>12112212</v>
      </c>
      <c r="D227" s="4">
        <v>0.5</v>
      </c>
      <c r="E227" s="4">
        <v>8</v>
      </c>
      <c r="F227" s="4">
        <v>4</v>
      </c>
      <c r="G227" s="4">
        <v>15</v>
      </c>
      <c r="H227" s="24">
        <v>4.4443999999999999</v>
      </c>
      <c r="I227" s="4">
        <v>2.0000000000000001E-4</v>
      </c>
      <c r="J227" s="4">
        <v>-22.818300000000001</v>
      </c>
      <c r="K227" s="4">
        <v>1E-3</v>
      </c>
      <c r="L227" s="4">
        <v>3.9E-2</v>
      </c>
      <c r="M227" s="4">
        <v>7.0000000000000001E-3</v>
      </c>
      <c r="N227" s="4">
        <v>-9.7999999999999997E-3</v>
      </c>
      <c r="O227" s="4">
        <v>5.0000000000000001E-4</v>
      </c>
      <c r="P227" s="4">
        <v>126.95</v>
      </c>
      <c r="Q227" s="4">
        <v>0.23</v>
      </c>
      <c r="R227" s="4">
        <f t="shared" si="7"/>
        <v>0.30091851851851853</v>
      </c>
      <c r="S227" s="22">
        <f t="shared" si="6"/>
        <v>5.4518518518518523E-4</v>
      </c>
    </row>
    <row r="228" spans="1:19">
      <c r="A228" s="28" t="s">
        <v>102</v>
      </c>
      <c r="B228" s="29">
        <v>12112212</v>
      </c>
      <c r="C228" s="29"/>
      <c r="D228" s="29">
        <v>0.75</v>
      </c>
      <c r="E228" s="4">
        <v>8</v>
      </c>
      <c r="F228" s="4">
        <v>4</v>
      </c>
      <c r="G228" s="4">
        <v>15</v>
      </c>
      <c r="H228" s="30">
        <v>3.6817000000000002</v>
      </c>
      <c r="I228" s="4">
        <v>1E-3</v>
      </c>
      <c r="J228" s="29">
        <v>-19.362300000000001</v>
      </c>
      <c r="K228" s="4">
        <v>6.9999999999999999E-4</v>
      </c>
      <c r="L228" s="4">
        <v>8.2000000000000003E-2</v>
      </c>
      <c r="M228" s="4">
        <v>0.02</v>
      </c>
      <c r="N228" s="4">
        <v>-1.6199999999999999E-2</v>
      </c>
      <c r="O228" s="4">
        <v>4.0000000000000002E-4</v>
      </c>
      <c r="P228" s="4">
        <v>119.71</v>
      </c>
      <c r="Q228" s="4">
        <v>0.21</v>
      </c>
      <c r="R228" s="29">
        <f t="shared" si="7"/>
        <v>0.28375703703703703</v>
      </c>
      <c r="S228" s="22">
        <f t="shared" si="6"/>
        <v>4.9777777777777776E-4</v>
      </c>
    </row>
    <row r="229" spans="1:19">
      <c r="A229" s="33" t="s">
        <v>102</v>
      </c>
      <c r="B229" s="34">
        <v>12112212</v>
      </c>
      <c r="C229" s="34"/>
      <c r="D229" s="34">
        <v>1</v>
      </c>
      <c r="E229" s="4">
        <v>8</v>
      </c>
      <c r="F229" s="4">
        <v>4</v>
      </c>
      <c r="G229" s="4">
        <v>15</v>
      </c>
      <c r="H229" s="34">
        <v>2.8649</v>
      </c>
      <c r="I229" s="4">
        <v>5.9999999999999995E-4</v>
      </c>
      <c r="J229" s="34">
        <v>-16.442900000000002</v>
      </c>
      <c r="K229" s="4">
        <v>8.0000000000000004E-4</v>
      </c>
      <c r="L229" s="4">
        <v>3.3000000000000002E-2</v>
      </c>
      <c r="M229" s="4">
        <v>7.0000000000000001E-3</v>
      </c>
      <c r="N229" s="4">
        <v>-3.95E-2</v>
      </c>
      <c r="O229" s="4">
        <v>2.9999999999999997E-4</v>
      </c>
      <c r="P229" s="4">
        <v>92.26</v>
      </c>
      <c r="Q229" s="4">
        <v>0.26</v>
      </c>
      <c r="R229" s="34">
        <f t="shared" si="7"/>
        <v>0.2186903703703704</v>
      </c>
      <c r="S229" s="22">
        <f t="shared" si="6"/>
        <v>6.1629629629629632E-4</v>
      </c>
    </row>
    <row r="230" spans="1:19">
      <c r="A230" s="19" t="s">
        <v>103</v>
      </c>
      <c r="B230" s="20">
        <v>12112221</v>
      </c>
      <c r="C230" s="20"/>
      <c r="D230" s="20">
        <v>0.25</v>
      </c>
      <c r="E230" s="4">
        <v>8</v>
      </c>
      <c r="F230" s="4">
        <v>4</v>
      </c>
      <c r="G230" s="4">
        <v>15</v>
      </c>
      <c r="H230" s="21">
        <v>5.1668000000000003</v>
      </c>
      <c r="I230" s="4">
        <v>1E-3</v>
      </c>
      <c r="J230" s="20">
        <v>-26.342400000000001</v>
      </c>
      <c r="K230" s="4">
        <v>8.0000000000000004E-4</v>
      </c>
      <c r="L230" s="4">
        <v>3.1E-2</v>
      </c>
      <c r="M230" s="4">
        <v>1E-3</v>
      </c>
      <c r="N230" s="4">
        <v>-8.0000000000000002E-3</v>
      </c>
      <c r="O230" s="4">
        <v>1E-4</v>
      </c>
      <c r="P230" s="4">
        <v>129.05000000000001</v>
      </c>
      <c r="Q230" s="4">
        <v>7.0000000000000007E-2</v>
      </c>
      <c r="R230" s="20">
        <f t="shared" si="7"/>
        <v>0.30589629629629633</v>
      </c>
      <c r="S230" s="22">
        <f t="shared" si="6"/>
        <v>1.6592592592592595E-4</v>
      </c>
    </row>
    <row r="231" spans="1:19">
      <c r="A231" s="23" t="s">
        <v>103</v>
      </c>
      <c r="B231" s="4">
        <v>12112221</v>
      </c>
      <c r="D231" s="4">
        <v>0.5</v>
      </c>
      <c r="E231" s="4">
        <v>8</v>
      </c>
      <c r="F231" s="4">
        <v>4</v>
      </c>
      <c r="G231" s="4">
        <v>15</v>
      </c>
      <c r="H231" s="24">
        <v>4.3856999999999999</v>
      </c>
      <c r="I231" s="4">
        <v>5.9999999999999995E-4</v>
      </c>
      <c r="J231" s="4">
        <v>-22.587800000000001</v>
      </c>
      <c r="K231" s="4">
        <v>1.9E-3</v>
      </c>
      <c r="L231" s="4">
        <v>5.0999999999999997E-2</v>
      </c>
      <c r="M231" s="4">
        <v>4.0000000000000001E-3</v>
      </c>
      <c r="N231" s="4">
        <v>-1.0500000000000001E-2</v>
      </c>
      <c r="O231" s="4">
        <v>4.0000000000000002E-4</v>
      </c>
      <c r="P231" s="4">
        <v>126.29</v>
      </c>
      <c r="Q231" s="4">
        <v>0.33</v>
      </c>
      <c r="R231" s="4">
        <f t="shared" si="7"/>
        <v>0.29935407407407411</v>
      </c>
      <c r="S231" s="22">
        <f t="shared" si="6"/>
        <v>7.8222222222222224E-4</v>
      </c>
    </row>
    <row r="232" spans="1:19">
      <c r="A232" s="28" t="s">
        <v>103</v>
      </c>
      <c r="B232" s="29">
        <v>12112221</v>
      </c>
      <c r="C232" s="29"/>
      <c r="D232" s="29">
        <v>0.75</v>
      </c>
      <c r="E232" s="4">
        <v>8</v>
      </c>
      <c r="F232" s="4">
        <v>4</v>
      </c>
      <c r="G232" s="4">
        <v>15</v>
      </c>
      <c r="H232" s="41">
        <v>3.5817999999999999</v>
      </c>
      <c r="I232" s="4">
        <v>1E-3</v>
      </c>
      <c r="J232" s="29">
        <v>-19.121600000000001</v>
      </c>
      <c r="K232" s="4">
        <v>8.0000000000000004E-4</v>
      </c>
      <c r="L232" s="4">
        <v>0.14000000000000001</v>
      </c>
      <c r="M232" s="4">
        <v>1.2E-2</v>
      </c>
      <c r="N232" s="4">
        <v>-1.9300000000000001E-2</v>
      </c>
      <c r="O232" s="4">
        <v>5.0000000000000001E-4</v>
      </c>
      <c r="P232" s="4">
        <v>115.59</v>
      </c>
      <c r="Q232" s="4">
        <v>0.27</v>
      </c>
      <c r="R232" s="29">
        <f t="shared" si="7"/>
        <v>0.27399111111111113</v>
      </c>
      <c r="S232" s="22">
        <f t="shared" si="6"/>
        <v>6.4000000000000005E-4</v>
      </c>
    </row>
    <row r="233" spans="1:19">
      <c r="A233" s="19" t="s">
        <v>104</v>
      </c>
      <c r="B233" s="20">
        <v>12121122</v>
      </c>
      <c r="C233" s="20"/>
      <c r="D233" s="20">
        <v>0.25</v>
      </c>
      <c r="E233" s="4">
        <v>8</v>
      </c>
      <c r="F233" s="4">
        <v>4</v>
      </c>
      <c r="G233" s="4">
        <v>15</v>
      </c>
      <c r="H233" s="21">
        <v>5.2073999999999998</v>
      </c>
      <c r="I233" s="4">
        <v>2.9999999999999997E-4</v>
      </c>
      <c r="J233" s="20">
        <v>-26.4604</v>
      </c>
      <c r="K233" s="4">
        <v>5.0000000000000001E-4</v>
      </c>
      <c r="L233" s="4">
        <v>3.1E-2</v>
      </c>
      <c r="M233" s="4">
        <v>2E-3</v>
      </c>
      <c r="N233" s="4">
        <v>-7.6E-3</v>
      </c>
      <c r="O233" s="4">
        <v>2.0000000000000001E-4</v>
      </c>
      <c r="P233" s="4">
        <v>129.22999999999999</v>
      </c>
      <c r="Q233" s="4">
        <v>0.1</v>
      </c>
      <c r="R233" s="20">
        <f t="shared" si="7"/>
        <v>0.30632296296296296</v>
      </c>
      <c r="S233" s="22">
        <f t="shared" si="6"/>
        <v>2.3703703703703704E-4</v>
      </c>
    </row>
    <row r="234" spans="1:19">
      <c r="A234" s="23" t="s">
        <v>104</v>
      </c>
      <c r="B234" s="4">
        <v>12121122</v>
      </c>
      <c r="D234" s="4">
        <v>0.5</v>
      </c>
      <c r="E234" s="4">
        <v>8</v>
      </c>
      <c r="F234" s="4">
        <v>4</v>
      </c>
      <c r="G234" s="4">
        <v>15</v>
      </c>
      <c r="H234" s="24">
        <v>4.4713000000000003</v>
      </c>
      <c r="I234" s="4">
        <v>8.9999999999999998E-4</v>
      </c>
      <c r="J234" s="4">
        <v>-22.795999999999999</v>
      </c>
      <c r="K234" s="4">
        <v>8.0000000000000004E-4</v>
      </c>
      <c r="L234" s="4">
        <v>3.4000000000000002E-2</v>
      </c>
      <c r="M234" s="4">
        <v>3.0000000000000001E-3</v>
      </c>
      <c r="N234" s="4">
        <v>-9.7999999999999997E-3</v>
      </c>
      <c r="O234" s="4">
        <v>4.0000000000000002E-4</v>
      </c>
      <c r="P234" s="4">
        <v>126.88</v>
      </c>
      <c r="Q234" s="4">
        <v>0.26</v>
      </c>
      <c r="R234" s="4">
        <f t="shared" si="7"/>
        <v>0.30075259259259257</v>
      </c>
      <c r="S234" s="22">
        <f t="shared" si="6"/>
        <v>6.1629629629629632E-4</v>
      </c>
    </row>
    <row r="235" spans="1:19">
      <c r="A235" s="28" t="s">
        <v>104</v>
      </c>
      <c r="B235" s="29">
        <v>12121122</v>
      </c>
      <c r="C235" s="29"/>
      <c r="D235" s="29">
        <v>0.75</v>
      </c>
      <c r="E235" s="4">
        <v>8</v>
      </c>
      <c r="F235" s="4">
        <v>4</v>
      </c>
      <c r="G235" s="4">
        <v>15</v>
      </c>
      <c r="H235" s="41">
        <v>3.7277</v>
      </c>
      <c r="I235" s="4">
        <v>1E-3</v>
      </c>
      <c r="J235" s="29">
        <v>-19.323699999999999</v>
      </c>
      <c r="K235" s="4">
        <v>2.9999999999999997E-4</v>
      </c>
      <c r="L235" s="4">
        <v>6.3E-2</v>
      </c>
      <c r="M235" s="4">
        <v>1.7000000000000001E-2</v>
      </c>
      <c r="N235" s="4">
        <v>-1.54E-2</v>
      </c>
      <c r="O235" s="4">
        <v>5.0000000000000001E-4</v>
      </c>
      <c r="P235" s="4">
        <v>120.04</v>
      </c>
      <c r="Q235" s="4">
        <v>0.21</v>
      </c>
      <c r="R235" s="29">
        <f t="shared" si="7"/>
        <v>0.28453925925925927</v>
      </c>
      <c r="S235" s="22">
        <f t="shared" si="6"/>
        <v>4.9777777777777776E-4</v>
      </c>
    </row>
    <row r="236" spans="1:19">
      <c r="A236" s="19" t="s">
        <v>105</v>
      </c>
      <c r="B236" s="20">
        <v>12122112</v>
      </c>
      <c r="C236" s="20"/>
      <c r="D236" s="20">
        <v>0.25</v>
      </c>
      <c r="E236" s="4">
        <v>8</v>
      </c>
      <c r="F236" s="4">
        <v>4</v>
      </c>
      <c r="G236" s="4">
        <v>15</v>
      </c>
      <c r="H236" s="21">
        <v>5.1905999999999999</v>
      </c>
      <c r="I236" s="4">
        <v>5.9999999999999995E-4</v>
      </c>
      <c r="J236" s="20">
        <v>-26.455300000000001</v>
      </c>
      <c r="K236" s="4">
        <v>1.2999999999999999E-3</v>
      </c>
      <c r="L236" s="4">
        <v>0.03</v>
      </c>
      <c r="M236" s="4">
        <v>3.0000000000000001E-3</v>
      </c>
      <c r="N236" s="4">
        <v>-7.4999999999999997E-3</v>
      </c>
      <c r="O236" s="4">
        <v>2.9999999999999997E-4</v>
      </c>
      <c r="P236" s="4">
        <v>129.37</v>
      </c>
      <c r="Q236" s="4">
        <v>0.22</v>
      </c>
      <c r="R236" s="20">
        <f t="shared" ref="R236:R396" si="8">P236*E236/G236^3</f>
        <v>0.30665481481481482</v>
      </c>
      <c r="S236" s="22">
        <f t="shared" si="6"/>
        <v>5.2148148148148149E-4</v>
      </c>
    </row>
    <row r="237" spans="1:19">
      <c r="A237" s="23" t="s">
        <v>105</v>
      </c>
      <c r="B237" s="4">
        <v>12122112</v>
      </c>
      <c r="D237" s="4">
        <v>0.5</v>
      </c>
      <c r="E237" s="4">
        <v>8</v>
      </c>
      <c r="F237" s="4">
        <v>4</v>
      </c>
      <c r="G237" s="4">
        <v>15</v>
      </c>
      <c r="H237" s="24">
        <v>4.4367999999999999</v>
      </c>
      <c r="I237" s="4">
        <v>6.9999999999999999E-4</v>
      </c>
      <c r="J237" s="4">
        <v>-22.7743</v>
      </c>
      <c r="K237" s="4">
        <v>1.9E-3</v>
      </c>
      <c r="L237" s="4">
        <v>3.3000000000000002E-2</v>
      </c>
      <c r="M237" s="4">
        <v>4.0000000000000001E-3</v>
      </c>
      <c r="N237" s="4">
        <v>-9.4999999999999998E-3</v>
      </c>
      <c r="O237" s="4">
        <v>5.0000000000000001E-4</v>
      </c>
      <c r="P237" s="4">
        <v>127.57</v>
      </c>
      <c r="Q237" s="4">
        <v>0.21</v>
      </c>
      <c r="R237" s="4">
        <f t="shared" si="8"/>
        <v>0.30238814814814813</v>
      </c>
      <c r="S237" s="22">
        <f t="shared" si="6"/>
        <v>4.9777777777777776E-4</v>
      </c>
    </row>
    <row r="238" spans="1:19">
      <c r="A238" s="28" t="s">
        <v>105</v>
      </c>
      <c r="B238" s="29">
        <v>12122112</v>
      </c>
      <c r="C238" s="29"/>
      <c r="D238" s="29">
        <v>0.75</v>
      </c>
      <c r="E238" s="4">
        <v>8</v>
      </c>
      <c r="F238" s="4">
        <v>4</v>
      </c>
      <c r="G238" s="4">
        <v>15</v>
      </c>
      <c r="H238" s="41">
        <v>3.6783000000000001</v>
      </c>
      <c r="I238" s="4">
        <v>6.9999999999999999E-4</v>
      </c>
      <c r="J238" s="29">
        <v>-19.262</v>
      </c>
      <c r="K238" s="4">
        <v>8.0000000000000004E-4</v>
      </c>
      <c r="L238" s="4">
        <v>6.5000000000000002E-2</v>
      </c>
      <c r="M238" s="4">
        <v>7.0000000000000001E-3</v>
      </c>
      <c r="N238" s="4">
        <v>-1.41E-2</v>
      </c>
      <c r="O238" s="4">
        <v>2.0000000000000001E-4</v>
      </c>
      <c r="P238" s="4">
        <v>122.57</v>
      </c>
      <c r="Q238" s="4">
        <v>0.11</v>
      </c>
      <c r="R238" s="29">
        <f t="shared" si="8"/>
        <v>0.29053629629629629</v>
      </c>
      <c r="S238" s="22">
        <f t="shared" si="6"/>
        <v>2.6074074074074075E-4</v>
      </c>
    </row>
    <row r="239" spans="1:19">
      <c r="A239" s="33" t="s">
        <v>105</v>
      </c>
      <c r="B239" s="34">
        <v>12122112</v>
      </c>
      <c r="C239" s="34"/>
      <c r="D239" s="34">
        <v>1</v>
      </c>
      <c r="E239" s="4">
        <v>8</v>
      </c>
      <c r="F239" s="4">
        <v>4</v>
      </c>
      <c r="G239" s="4">
        <v>15</v>
      </c>
      <c r="H239" s="38">
        <v>2.9039000000000001</v>
      </c>
      <c r="I239" s="4">
        <v>8.0000000000000004E-4</v>
      </c>
      <c r="J239" s="34">
        <v>-16.1556</v>
      </c>
      <c r="K239" s="4">
        <v>6.9999999999999999E-4</v>
      </c>
      <c r="L239" s="4">
        <v>0.16200000000000001</v>
      </c>
      <c r="M239" s="4">
        <v>1.4999999999999999E-2</v>
      </c>
      <c r="N239" s="4">
        <v>-2.8899999999999999E-2</v>
      </c>
      <c r="O239" s="4">
        <v>8.0000000000000004E-4</v>
      </c>
      <c r="P239" s="4">
        <v>105.55</v>
      </c>
      <c r="Q239" s="4">
        <v>0.6</v>
      </c>
      <c r="R239" s="34">
        <f t="shared" si="8"/>
        <v>0.25019259259259258</v>
      </c>
      <c r="S239" s="22">
        <f t="shared" si="6"/>
        <v>1.4222222222222221E-3</v>
      </c>
    </row>
    <row r="240" spans="1:19">
      <c r="A240" s="19" t="s">
        <v>106</v>
      </c>
      <c r="B240" s="20">
        <v>12211122</v>
      </c>
      <c r="C240" s="20"/>
      <c r="D240" s="20">
        <v>0.25</v>
      </c>
      <c r="E240" s="4">
        <v>8</v>
      </c>
      <c r="F240" s="4">
        <v>4</v>
      </c>
      <c r="G240" s="4">
        <v>15</v>
      </c>
      <c r="H240" s="21">
        <v>5.2145999999999999</v>
      </c>
      <c r="I240" s="4">
        <v>8.0000000000000004E-4</v>
      </c>
      <c r="J240" s="20">
        <v>-26.345300000000002</v>
      </c>
      <c r="K240" s="4">
        <v>1E-3</v>
      </c>
      <c r="L240" s="4">
        <v>3.2000000000000001E-2</v>
      </c>
      <c r="M240" s="4">
        <v>7.0000000000000001E-3</v>
      </c>
      <c r="N240" s="4">
        <v>-7.7999999999999996E-3</v>
      </c>
      <c r="O240" s="4">
        <v>2.0000000000000001E-4</v>
      </c>
      <c r="P240" s="4">
        <v>128.93</v>
      </c>
      <c r="Q240" s="4">
        <v>0.08</v>
      </c>
      <c r="R240" s="20">
        <f t="shared" si="8"/>
        <v>0.30561185185185186</v>
      </c>
      <c r="S240" s="22">
        <f t="shared" si="6"/>
        <v>1.8962962962962963E-4</v>
      </c>
    </row>
    <row r="241" spans="1:19" ht="17" thickBot="1">
      <c r="A241" s="37" t="s">
        <v>106</v>
      </c>
      <c r="B241" s="10">
        <v>12211122</v>
      </c>
      <c r="C241" s="10"/>
      <c r="D241" s="10">
        <v>0.5</v>
      </c>
      <c r="E241" s="10">
        <v>8</v>
      </c>
      <c r="F241" s="10">
        <v>4</v>
      </c>
      <c r="G241" s="10">
        <v>15</v>
      </c>
      <c r="H241" s="13">
        <v>4.4862000000000002</v>
      </c>
      <c r="I241" s="10">
        <v>1E-3</v>
      </c>
      <c r="J241" s="10">
        <v>-22.594200000000001</v>
      </c>
      <c r="K241" s="10">
        <v>2.9999999999999997E-4</v>
      </c>
      <c r="L241" s="10">
        <v>3.1E-2</v>
      </c>
      <c r="M241" s="10">
        <v>7.0000000000000001E-3</v>
      </c>
      <c r="N241" s="10">
        <v>-1.0200000000000001E-2</v>
      </c>
      <c r="O241" s="10">
        <v>6.9999999999999999E-4</v>
      </c>
      <c r="P241" s="10">
        <v>126.09</v>
      </c>
      <c r="Q241" s="10">
        <v>0.3</v>
      </c>
      <c r="R241" s="10">
        <f t="shared" si="8"/>
        <v>0.29888000000000003</v>
      </c>
      <c r="S241" s="26">
        <f t="shared" si="6"/>
        <v>7.1111111111111104E-4</v>
      </c>
    </row>
    <row r="242" spans="1:19" ht="17" thickTop="1">
      <c r="A242" s="27" t="s">
        <v>107</v>
      </c>
      <c r="B242" s="5">
        <v>12112222</v>
      </c>
      <c r="C242" s="5"/>
      <c r="D242" s="5">
        <v>0.25</v>
      </c>
      <c r="E242" s="7">
        <v>8</v>
      </c>
      <c r="F242" s="7">
        <v>5</v>
      </c>
      <c r="G242" s="7">
        <v>15</v>
      </c>
      <c r="H242" s="12">
        <v>5.6059000000000001</v>
      </c>
      <c r="I242" s="7">
        <v>2.9999999999999997E-4</v>
      </c>
      <c r="J242" s="5">
        <v>-28.5867</v>
      </c>
      <c r="K242" s="7">
        <v>1.2999999999999999E-3</v>
      </c>
      <c r="L242" s="7">
        <v>2.9000000000000001E-2</v>
      </c>
      <c r="M242" s="7">
        <v>5.0000000000000001E-3</v>
      </c>
      <c r="N242" s="7">
        <v>-7.4999999999999997E-3</v>
      </c>
      <c r="O242" s="7">
        <v>2.0000000000000001E-4</v>
      </c>
      <c r="P242" s="7">
        <v>128.32</v>
      </c>
      <c r="Q242" s="7">
        <v>0.19</v>
      </c>
      <c r="R242" s="5">
        <f t="shared" si="8"/>
        <v>0.3041659259259259</v>
      </c>
      <c r="S242" s="18">
        <f t="shared" si="6"/>
        <v>4.503703703703704E-4</v>
      </c>
    </row>
    <row r="243" spans="1:19">
      <c r="A243" s="23" t="s">
        <v>107</v>
      </c>
      <c r="B243" s="4">
        <v>12112222</v>
      </c>
      <c r="D243" s="4">
        <v>0.5</v>
      </c>
      <c r="E243" s="4">
        <v>8</v>
      </c>
      <c r="F243" s="4">
        <v>5</v>
      </c>
      <c r="G243" s="4">
        <v>15</v>
      </c>
      <c r="H243" s="24">
        <v>5.2484999999999999</v>
      </c>
      <c r="I243" s="4">
        <v>1E-3</v>
      </c>
      <c r="J243" s="4">
        <v>-27.154499999999999</v>
      </c>
      <c r="K243" s="4">
        <v>1.4E-3</v>
      </c>
      <c r="L243" s="4">
        <v>6.6000000000000003E-2</v>
      </c>
      <c r="M243" s="4">
        <v>7.0000000000000001E-3</v>
      </c>
      <c r="N243" s="4">
        <v>-1.0500000000000001E-2</v>
      </c>
      <c r="O243" s="4">
        <v>2.9999999999999997E-4</v>
      </c>
      <c r="P243" s="4">
        <v>122.79</v>
      </c>
      <c r="Q243" s="4">
        <v>0.17</v>
      </c>
      <c r="R243" s="4">
        <f t="shared" si="8"/>
        <v>0.2910577777777778</v>
      </c>
      <c r="S243" s="22">
        <f t="shared" si="6"/>
        <v>4.0296296296296299E-4</v>
      </c>
    </row>
    <row r="244" spans="1:19">
      <c r="A244" s="28" t="s">
        <v>107</v>
      </c>
      <c r="B244" s="29">
        <v>12112222</v>
      </c>
      <c r="C244" s="29"/>
      <c r="D244" s="29">
        <v>0.75</v>
      </c>
      <c r="E244" s="4">
        <v>8</v>
      </c>
      <c r="F244" s="4">
        <v>5</v>
      </c>
      <c r="G244" s="4">
        <v>15</v>
      </c>
      <c r="H244" s="32">
        <v>4.8456999999999999</v>
      </c>
      <c r="I244" s="4">
        <v>6.9999999999999999E-4</v>
      </c>
      <c r="J244" s="29">
        <v>-26.090900000000001</v>
      </c>
      <c r="K244" s="4">
        <v>6.9999999999999999E-4</v>
      </c>
      <c r="L244" s="4">
        <v>0.16300000000000001</v>
      </c>
      <c r="M244" s="4">
        <v>0.01</v>
      </c>
      <c r="N244" s="4">
        <v>-1.9099999999999999E-2</v>
      </c>
      <c r="O244" s="4">
        <v>2.9999999999999997E-4</v>
      </c>
      <c r="P244" s="4">
        <v>106.57</v>
      </c>
      <c r="Q244" s="4">
        <v>0.28000000000000003</v>
      </c>
      <c r="R244" s="29">
        <f t="shared" si="8"/>
        <v>0.25261037037037037</v>
      </c>
      <c r="S244" s="22">
        <f t="shared" si="6"/>
        <v>6.6370370370370379E-4</v>
      </c>
    </row>
    <row r="245" spans="1:19">
      <c r="A245" s="19" t="s">
        <v>108</v>
      </c>
      <c r="B245" s="20">
        <v>12221122</v>
      </c>
      <c r="C245" s="20"/>
      <c r="D245" s="20">
        <v>0.25</v>
      </c>
      <c r="E245" s="4">
        <v>8</v>
      </c>
      <c r="F245" s="4">
        <v>5</v>
      </c>
      <c r="G245" s="4">
        <v>15</v>
      </c>
      <c r="H245" s="21">
        <v>5.6120000000000001</v>
      </c>
      <c r="I245" s="4">
        <v>6.9999999999999999E-4</v>
      </c>
      <c r="J245" s="20">
        <v>-28.466000000000001</v>
      </c>
      <c r="K245" s="4">
        <v>1.1999999999999999E-3</v>
      </c>
      <c r="L245" s="4">
        <v>3.1E-2</v>
      </c>
      <c r="M245" s="4">
        <v>3.0000000000000001E-3</v>
      </c>
      <c r="N245" s="4">
        <v>-7.3000000000000001E-3</v>
      </c>
      <c r="O245" s="4">
        <v>2.9999999999999997E-4</v>
      </c>
      <c r="P245" s="4">
        <v>128.99</v>
      </c>
      <c r="Q245" s="4">
        <v>0.24</v>
      </c>
      <c r="R245" s="20">
        <f t="shared" si="8"/>
        <v>0.30575407407407412</v>
      </c>
      <c r="S245" s="22">
        <f t="shared" si="6"/>
        <v>5.6888888888888885E-4</v>
      </c>
    </row>
    <row r="246" spans="1:19">
      <c r="A246" s="23" t="s">
        <v>108</v>
      </c>
      <c r="B246" s="4">
        <v>12221122</v>
      </c>
      <c r="D246" s="4">
        <v>0.5</v>
      </c>
      <c r="E246" s="4">
        <v>8</v>
      </c>
      <c r="F246" s="4">
        <v>5</v>
      </c>
      <c r="G246" s="4">
        <v>15</v>
      </c>
      <c r="H246" s="24">
        <v>5.2770000000000001</v>
      </c>
      <c r="I246" s="4">
        <v>2.9999999999999997E-4</v>
      </c>
      <c r="J246" s="4">
        <v>-26.822500000000002</v>
      </c>
      <c r="K246" s="4">
        <v>1.1000000000000001E-3</v>
      </c>
      <c r="L246" s="4">
        <v>0.04</v>
      </c>
      <c r="M246" s="4">
        <v>7.0000000000000001E-3</v>
      </c>
      <c r="N246" s="4">
        <v>-8.3999999999999995E-3</v>
      </c>
      <c r="O246" s="4">
        <v>2.9999999999999997E-4</v>
      </c>
      <c r="P246" s="4">
        <v>126.65</v>
      </c>
      <c r="Q246" s="4">
        <v>0.16</v>
      </c>
      <c r="R246" s="4">
        <f t="shared" si="8"/>
        <v>0.30020740740740742</v>
      </c>
      <c r="S246" s="22">
        <f t="shared" si="6"/>
        <v>3.7925925925925925E-4</v>
      </c>
    </row>
    <row r="247" spans="1:19">
      <c r="A247" s="28" t="s">
        <v>108</v>
      </c>
      <c r="B247" s="29">
        <v>12221122</v>
      </c>
      <c r="C247" s="29"/>
      <c r="D247" s="29">
        <v>0.75</v>
      </c>
      <c r="E247" s="4">
        <v>8</v>
      </c>
      <c r="F247" s="4">
        <v>5</v>
      </c>
      <c r="G247" s="4">
        <v>15</v>
      </c>
      <c r="H247" s="30">
        <v>4.9337</v>
      </c>
      <c r="I247" s="4">
        <v>8.9999999999999998E-4</v>
      </c>
      <c r="J247" s="29">
        <v>-25.3474</v>
      </c>
      <c r="K247" s="4">
        <v>1.1000000000000001E-3</v>
      </c>
      <c r="L247" s="4">
        <v>5.5E-2</v>
      </c>
      <c r="M247" s="4">
        <v>1.2E-2</v>
      </c>
      <c r="N247" s="4">
        <v>-1.15E-2</v>
      </c>
      <c r="O247" s="4">
        <v>2.0000000000000001E-4</v>
      </c>
      <c r="P247" s="4">
        <v>120.96</v>
      </c>
      <c r="Q247" s="4">
        <v>0.1</v>
      </c>
      <c r="R247" s="29">
        <f t="shared" si="8"/>
        <v>0.28671999999999997</v>
      </c>
      <c r="S247" s="22">
        <f t="shared" si="6"/>
        <v>2.3703703703703704E-4</v>
      </c>
    </row>
    <row r="248" spans="1:19">
      <c r="A248" s="33" t="s">
        <v>108</v>
      </c>
      <c r="B248" s="34">
        <v>12221122</v>
      </c>
      <c r="C248" s="34"/>
      <c r="D248" s="34">
        <v>1</v>
      </c>
      <c r="E248" s="4">
        <v>8</v>
      </c>
      <c r="F248" s="4">
        <v>5</v>
      </c>
      <c r="G248" s="4">
        <v>15</v>
      </c>
      <c r="H248" s="40">
        <v>4.5853000000000002</v>
      </c>
      <c r="I248" s="4">
        <v>5.9999999999999995E-4</v>
      </c>
      <c r="J248" s="34">
        <v>-24.130299999999998</v>
      </c>
      <c r="K248" s="4">
        <v>1.1999999999999999E-3</v>
      </c>
      <c r="L248" s="4">
        <v>9.8000000000000004E-2</v>
      </c>
      <c r="M248" s="4">
        <v>1.2999999999999999E-2</v>
      </c>
      <c r="N248" s="4">
        <v>-1.6199999999999999E-2</v>
      </c>
      <c r="O248" s="4">
        <v>5.0000000000000001E-4</v>
      </c>
      <c r="P248" s="4">
        <v>110.84</v>
      </c>
      <c r="Q248" s="4">
        <v>0.35</v>
      </c>
      <c r="R248" s="34">
        <f t="shared" si="8"/>
        <v>0.26273185185185188</v>
      </c>
      <c r="S248" s="22">
        <f t="shared" si="6"/>
        <v>8.296296296296296E-4</v>
      </c>
    </row>
    <row r="249" spans="1:19">
      <c r="A249" s="19" t="s">
        <v>109</v>
      </c>
      <c r="B249" s="20">
        <v>22221112</v>
      </c>
      <c r="C249" s="20"/>
      <c r="D249" s="20">
        <v>0.25</v>
      </c>
      <c r="E249" s="4">
        <v>8</v>
      </c>
      <c r="F249" s="4">
        <v>5</v>
      </c>
      <c r="G249" s="4">
        <v>15</v>
      </c>
      <c r="H249" s="21">
        <v>5.6413000000000002</v>
      </c>
      <c r="I249" s="4">
        <v>2.9999999999999997E-4</v>
      </c>
      <c r="J249" s="20">
        <v>-28.641500000000001</v>
      </c>
      <c r="K249" s="4">
        <v>1.4E-3</v>
      </c>
      <c r="L249" s="4">
        <v>0.03</v>
      </c>
      <c r="M249" s="4">
        <v>4.0000000000000001E-3</v>
      </c>
      <c r="N249" s="4">
        <v>-7.4000000000000003E-3</v>
      </c>
      <c r="O249" s="4">
        <v>2.9999999999999997E-4</v>
      </c>
      <c r="P249" s="4">
        <v>128.27000000000001</v>
      </c>
      <c r="Q249" s="4">
        <v>0.22</v>
      </c>
      <c r="R249" s="20">
        <f t="shared" si="8"/>
        <v>0.30404740740740743</v>
      </c>
      <c r="S249" s="22">
        <f t="shared" si="6"/>
        <v>5.2148148148148149E-4</v>
      </c>
    </row>
    <row r="250" spans="1:19">
      <c r="A250" s="23" t="s">
        <v>109</v>
      </c>
      <c r="B250" s="4">
        <v>22221112</v>
      </c>
      <c r="D250" s="4">
        <v>0.5</v>
      </c>
      <c r="E250" s="4">
        <v>8</v>
      </c>
      <c r="F250" s="4">
        <v>5</v>
      </c>
      <c r="G250" s="4">
        <v>15</v>
      </c>
      <c r="H250" s="24">
        <v>5.3262</v>
      </c>
      <c r="I250" s="4">
        <v>5.9999999999999995E-4</v>
      </c>
      <c r="J250" s="4">
        <v>-27.281400000000001</v>
      </c>
      <c r="K250" s="4">
        <v>2E-3</v>
      </c>
      <c r="L250" s="4">
        <v>5.0999999999999997E-2</v>
      </c>
      <c r="M250" s="4">
        <v>1.4999999999999999E-2</v>
      </c>
      <c r="N250" s="4">
        <v>-0.01</v>
      </c>
      <c r="O250" s="4">
        <v>2.9999999999999997E-4</v>
      </c>
      <c r="P250" s="4">
        <v>122.86</v>
      </c>
      <c r="Q250" s="4">
        <v>0.21</v>
      </c>
      <c r="R250" s="4">
        <f t="shared" si="8"/>
        <v>0.29122370370370371</v>
      </c>
      <c r="S250" s="22">
        <f t="shared" si="6"/>
        <v>4.9777777777777776E-4</v>
      </c>
    </row>
    <row r="251" spans="1:19">
      <c r="A251" s="28" t="s">
        <v>109</v>
      </c>
      <c r="B251" s="29">
        <v>22221112</v>
      </c>
      <c r="C251" s="29"/>
      <c r="D251" s="29">
        <v>0.75</v>
      </c>
      <c r="E251" s="4">
        <v>8</v>
      </c>
      <c r="F251" s="4">
        <v>5</v>
      </c>
      <c r="G251" s="4">
        <v>15</v>
      </c>
      <c r="H251" s="30">
        <v>4.9953000000000003</v>
      </c>
      <c r="I251" s="4">
        <v>2.9999999999999997E-4</v>
      </c>
      <c r="J251" s="29">
        <v>-26.294699999999999</v>
      </c>
      <c r="K251" s="4">
        <v>8.9999999999999998E-4</v>
      </c>
      <c r="L251" s="4">
        <v>0.111</v>
      </c>
      <c r="M251" s="4">
        <v>3.0000000000000001E-3</v>
      </c>
      <c r="N251" s="4">
        <v>-1.6299999999999999E-2</v>
      </c>
      <c r="O251" s="4">
        <v>4.0000000000000002E-4</v>
      </c>
      <c r="P251" s="4">
        <v>109.6</v>
      </c>
      <c r="Q251" s="4">
        <v>0.26</v>
      </c>
      <c r="R251" s="29">
        <f t="shared" si="8"/>
        <v>0.25979259259259257</v>
      </c>
      <c r="S251" s="22">
        <f t="shared" si="6"/>
        <v>6.1629629629629632E-4</v>
      </c>
    </row>
    <row r="252" spans="1:19">
      <c r="A252" s="19" t="s">
        <v>110</v>
      </c>
      <c r="B252" s="20">
        <v>12211222</v>
      </c>
      <c r="C252" s="20"/>
      <c r="D252" s="20">
        <v>0.25</v>
      </c>
      <c r="E252" s="4">
        <v>8</v>
      </c>
      <c r="F252" s="4">
        <v>5</v>
      </c>
      <c r="G252" s="4">
        <v>15</v>
      </c>
      <c r="H252" s="21">
        <v>5.6177000000000001</v>
      </c>
      <c r="I252" s="4">
        <v>5.0000000000000001E-4</v>
      </c>
      <c r="J252" s="20">
        <v>-28.487500000000001</v>
      </c>
      <c r="K252" s="4">
        <v>1E-3</v>
      </c>
      <c r="L252" s="4">
        <v>0.03</v>
      </c>
      <c r="M252" s="4">
        <v>3.0000000000000001E-3</v>
      </c>
      <c r="N252" s="4">
        <v>-7.4000000000000003E-3</v>
      </c>
      <c r="O252" s="4">
        <v>2.0000000000000001E-4</v>
      </c>
      <c r="P252" s="4">
        <v>128.71</v>
      </c>
      <c r="Q252" s="4">
        <v>0.12</v>
      </c>
      <c r="R252" s="20">
        <f t="shared" si="8"/>
        <v>0.3050903703703704</v>
      </c>
      <c r="S252" s="22">
        <f t="shared" si="6"/>
        <v>2.8444444444444443E-4</v>
      </c>
    </row>
    <row r="253" spans="1:19">
      <c r="A253" s="23" t="s">
        <v>110</v>
      </c>
      <c r="B253" s="4">
        <v>12211222</v>
      </c>
      <c r="D253" s="4">
        <v>0.5</v>
      </c>
      <c r="E253" s="4">
        <v>8</v>
      </c>
      <c r="F253" s="4">
        <v>5</v>
      </c>
      <c r="G253" s="4">
        <v>15</v>
      </c>
      <c r="H253" s="24">
        <v>5.2832999999999997</v>
      </c>
      <c r="I253" s="4">
        <v>5.0000000000000001E-4</v>
      </c>
      <c r="J253" s="4">
        <v>-26.8809</v>
      </c>
      <c r="K253" s="4">
        <v>1.1000000000000001E-3</v>
      </c>
      <c r="L253" s="4">
        <v>3.6999999999999998E-2</v>
      </c>
      <c r="M253" s="4">
        <v>4.0000000000000001E-3</v>
      </c>
      <c r="N253" s="4">
        <v>-8.9999999999999993E-3</v>
      </c>
      <c r="O253" s="4">
        <v>2.9999999999999997E-4</v>
      </c>
      <c r="P253" s="4">
        <v>125.67</v>
      </c>
      <c r="Q253" s="4">
        <v>0.2</v>
      </c>
      <c r="R253" s="4">
        <f t="shared" si="8"/>
        <v>0.29788444444444445</v>
      </c>
      <c r="S253" s="22">
        <f t="shared" si="6"/>
        <v>4.7407407407407408E-4</v>
      </c>
    </row>
    <row r="254" spans="1:19">
      <c r="A254" s="28" t="s">
        <v>110</v>
      </c>
      <c r="B254" s="29">
        <v>12211222</v>
      </c>
      <c r="C254" s="29"/>
      <c r="D254" s="29">
        <v>0.75</v>
      </c>
      <c r="E254" s="4">
        <v>8</v>
      </c>
      <c r="F254" s="4">
        <v>5</v>
      </c>
      <c r="G254" s="4">
        <v>15</v>
      </c>
      <c r="H254" s="30">
        <v>4.9363999999999999</v>
      </c>
      <c r="I254" s="4">
        <v>2.0000000000000001E-4</v>
      </c>
      <c r="J254" s="29">
        <v>-25.4739</v>
      </c>
      <c r="K254" s="4">
        <v>8.9999999999999998E-4</v>
      </c>
      <c r="L254" s="4">
        <v>6.9000000000000006E-2</v>
      </c>
      <c r="M254" s="4">
        <v>1.7999999999999999E-2</v>
      </c>
      <c r="N254" s="4">
        <v>-1.26E-2</v>
      </c>
      <c r="O254" s="4">
        <v>2.0000000000000001E-4</v>
      </c>
      <c r="P254" s="4">
        <v>118.43</v>
      </c>
      <c r="Q254" s="4">
        <v>0.28000000000000003</v>
      </c>
      <c r="R254" s="29">
        <f t="shared" si="8"/>
        <v>0.28072296296296295</v>
      </c>
      <c r="S254" s="22">
        <f t="shared" si="6"/>
        <v>6.6370370370370379E-4</v>
      </c>
    </row>
    <row r="255" spans="1:19">
      <c r="A255" s="33" t="s">
        <v>110</v>
      </c>
      <c r="B255" s="34">
        <v>12211222</v>
      </c>
      <c r="C255" s="34"/>
      <c r="D255" s="34">
        <v>1</v>
      </c>
      <c r="E255" s="4">
        <v>8</v>
      </c>
      <c r="F255" s="4">
        <v>5</v>
      </c>
      <c r="G255" s="4">
        <v>15</v>
      </c>
      <c r="H255" s="40">
        <v>4.5690999999999997</v>
      </c>
      <c r="I255" s="4">
        <v>8.0000000000000004E-4</v>
      </c>
      <c r="J255" s="34">
        <v>-24.394100000000002</v>
      </c>
      <c r="K255" s="4">
        <v>2.5000000000000001E-3</v>
      </c>
      <c r="L255" s="4">
        <v>0.125</v>
      </c>
      <c r="M255" s="4">
        <v>2.8000000000000001E-2</v>
      </c>
      <c r="N255" s="4">
        <v>-2.0500000000000001E-2</v>
      </c>
      <c r="O255" s="4">
        <v>4.0000000000000002E-4</v>
      </c>
      <c r="P255" s="4">
        <v>103.33</v>
      </c>
      <c r="Q255" s="4">
        <v>0.39</v>
      </c>
      <c r="R255" s="34">
        <f t="shared" si="8"/>
        <v>0.24493037037037035</v>
      </c>
      <c r="S255" s="22">
        <f t="shared" si="6"/>
        <v>9.2444444444444442E-4</v>
      </c>
    </row>
    <row r="256" spans="1:19">
      <c r="A256" s="19" t="s">
        <v>111</v>
      </c>
      <c r="B256" s="20">
        <v>12222112</v>
      </c>
      <c r="C256" s="20"/>
      <c r="D256" s="20">
        <v>0.25</v>
      </c>
      <c r="E256" s="4">
        <v>8</v>
      </c>
      <c r="F256" s="4">
        <v>5</v>
      </c>
      <c r="G256" s="4">
        <v>15</v>
      </c>
      <c r="H256" s="21">
        <v>5.5881999999999996</v>
      </c>
      <c r="I256" s="4">
        <v>4.0000000000000002E-4</v>
      </c>
      <c r="J256" s="20">
        <v>-28.517099999999999</v>
      </c>
      <c r="K256" s="4">
        <v>4.0000000000000002E-4</v>
      </c>
      <c r="L256" s="4">
        <v>0.03</v>
      </c>
      <c r="M256" s="4">
        <v>2E-3</v>
      </c>
      <c r="N256" s="4">
        <v>-7.4000000000000003E-3</v>
      </c>
      <c r="O256" s="4">
        <v>2.0000000000000001E-4</v>
      </c>
      <c r="P256" s="4">
        <v>128.88</v>
      </c>
      <c r="Q256" s="4">
        <v>0.08</v>
      </c>
      <c r="R256" s="20">
        <f t="shared" si="8"/>
        <v>0.30549333333333334</v>
      </c>
      <c r="S256" s="22">
        <f t="shared" si="6"/>
        <v>1.8962962962962963E-4</v>
      </c>
    </row>
    <row r="257" spans="1:19">
      <c r="A257" s="23" t="s">
        <v>111</v>
      </c>
      <c r="B257" s="4">
        <v>12222112</v>
      </c>
      <c r="D257" s="4">
        <v>0.5</v>
      </c>
      <c r="E257" s="4">
        <v>8</v>
      </c>
      <c r="F257" s="4">
        <v>5</v>
      </c>
      <c r="G257" s="4">
        <v>15</v>
      </c>
      <c r="H257" s="24">
        <v>5.2233000000000001</v>
      </c>
      <c r="I257" s="4">
        <v>5.0000000000000001E-4</v>
      </c>
      <c r="J257" s="4">
        <v>-26.946000000000002</v>
      </c>
      <c r="K257" s="4">
        <v>1.1999999999999999E-3</v>
      </c>
      <c r="L257" s="4">
        <v>0.06</v>
      </c>
      <c r="M257" s="4">
        <v>1.2999999999999999E-2</v>
      </c>
      <c r="N257" s="4">
        <v>-9.1000000000000004E-3</v>
      </c>
      <c r="O257" s="4">
        <v>5.0000000000000001E-4</v>
      </c>
      <c r="P257" s="4">
        <v>125.94</v>
      </c>
      <c r="Q257" s="4">
        <v>0.3</v>
      </c>
      <c r="R257" s="4">
        <f t="shared" si="8"/>
        <v>0.29852444444444443</v>
      </c>
      <c r="S257" s="22">
        <f t="shared" si="6"/>
        <v>7.1111111111111104E-4</v>
      </c>
    </row>
    <row r="258" spans="1:19">
      <c r="A258" s="28" t="s">
        <v>111</v>
      </c>
      <c r="B258" s="29">
        <v>12222112</v>
      </c>
      <c r="C258" s="29"/>
      <c r="D258" s="29">
        <v>0.75</v>
      </c>
      <c r="E258" s="4">
        <v>8</v>
      </c>
      <c r="F258" s="4">
        <v>5</v>
      </c>
      <c r="G258" s="4">
        <v>15</v>
      </c>
      <c r="H258" s="30">
        <v>4.8417000000000003</v>
      </c>
      <c r="I258" s="4">
        <v>1E-3</v>
      </c>
      <c r="J258" s="29">
        <v>-25.5853</v>
      </c>
      <c r="K258" s="4">
        <v>6.9999999999999999E-4</v>
      </c>
      <c r="L258" s="4">
        <v>9.6000000000000002E-2</v>
      </c>
      <c r="M258" s="4">
        <v>1.4E-2</v>
      </c>
      <c r="N258" s="4">
        <v>-1.26E-2</v>
      </c>
      <c r="O258" s="4">
        <v>2.9999999999999997E-4</v>
      </c>
      <c r="P258" s="4">
        <v>119.14</v>
      </c>
      <c r="Q258" s="4">
        <v>0.19</v>
      </c>
      <c r="R258" s="29">
        <f t="shared" si="8"/>
        <v>0.28240592592592595</v>
      </c>
      <c r="S258" s="22">
        <f t="shared" si="6"/>
        <v>4.503703703703704E-4</v>
      </c>
    </row>
    <row r="259" spans="1:19">
      <c r="A259" s="33" t="s">
        <v>111</v>
      </c>
      <c r="B259" s="34">
        <v>12222112</v>
      </c>
      <c r="C259" s="34"/>
      <c r="D259" s="34">
        <v>1</v>
      </c>
      <c r="E259" s="4">
        <v>8</v>
      </c>
      <c r="F259" s="4">
        <v>5</v>
      </c>
      <c r="G259" s="4">
        <v>15</v>
      </c>
      <c r="H259" s="43">
        <v>4.4263000000000003</v>
      </c>
      <c r="I259" s="4">
        <v>6.9999999999999999E-4</v>
      </c>
      <c r="J259" s="34">
        <v>-24.5928</v>
      </c>
      <c r="K259" s="4">
        <v>4.0000000000000002E-4</v>
      </c>
      <c r="L259" s="4">
        <v>0.183</v>
      </c>
      <c r="M259" s="4">
        <v>7.0000000000000001E-3</v>
      </c>
      <c r="N259" s="4">
        <v>-2.0899999999999998E-2</v>
      </c>
      <c r="O259" s="4">
        <v>2.0000000000000001E-4</v>
      </c>
      <c r="P259" s="4">
        <v>103.18</v>
      </c>
      <c r="Q259" s="4">
        <v>0.2</v>
      </c>
      <c r="R259" s="34">
        <f t="shared" si="8"/>
        <v>0.24457481481481483</v>
      </c>
      <c r="S259" s="22">
        <f t="shared" si="6"/>
        <v>4.7407407407407408E-4</v>
      </c>
    </row>
    <row r="260" spans="1:19">
      <c r="A260" s="19" t="s">
        <v>112</v>
      </c>
      <c r="B260" s="20">
        <v>11122222</v>
      </c>
      <c r="C260" s="20" t="s">
        <v>17</v>
      </c>
      <c r="D260" s="20">
        <v>0.25</v>
      </c>
      <c r="E260" s="4">
        <v>8</v>
      </c>
      <c r="F260" s="4">
        <v>5</v>
      </c>
      <c r="G260" s="4">
        <v>15</v>
      </c>
      <c r="H260" s="21">
        <v>5.5750999999999999</v>
      </c>
      <c r="I260" s="4">
        <v>8.0000000000000004E-4</v>
      </c>
      <c r="J260" s="20">
        <v>-28.641400000000001</v>
      </c>
      <c r="K260" s="4">
        <v>8.9999999999999998E-4</v>
      </c>
      <c r="L260" s="4">
        <v>4.4999999999999998E-2</v>
      </c>
      <c r="M260" s="4">
        <v>1.0999999999999999E-2</v>
      </c>
      <c r="N260" s="4">
        <v>-8.0999999999999996E-3</v>
      </c>
      <c r="O260" s="4">
        <v>2.0000000000000001E-4</v>
      </c>
      <c r="P260" s="4">
        <v>127.25</v>
      </c>
      <c r="Q260" s="4">
        <v>0.18</v>
      </c>
      <c r="R260" s="20">
        <f t="shared" si="8"/>
        <v>0.30162962962962964</v>
      </c>
      <c r="S260" s="22">
        <f t="shared" si="6"/>
        <v>4.2666666666666667E-4</v>
      </c>
    </row>
    <row r="261" spans="1:19">
      <c r="A261" s="23" t="s">
        <v>112</v>
      </c>
      <c r="B261" s="4">
        <v>11122222</v>
      </c>
      <c r="C261" s="4" t="s">
        <v>17</v>
      </c>
      <c r="D261" s="4">
        <v>0.5</v>
      </c>
      <c r="E261" s="4">
        <v>8</v>
      </c>
      <c r="F261" s="4">
        <v>5</v>
      </c>
      <c r="G261" s="4">
        <v>15</v>
      </c>
      <c r="H261" s="24">
        <v>5.1597</v>
      </c>
      <c r="I261" s="4">
        <v>4.0000000000000002E-4</v>
      </c>
      <c r="J261" s="4">
        <v>-27.4908</v>
      </c>
      <c r="K261" s="4">
        <v>1.4E-3</v>
      </c>
      <c r="L261" s="4">
        <v>0.14000000000000001</v>
      </c>
      <c r="M261" s="4">
        <v>1.0999999999999999E-2</v>
      </c>
      <c r="N261" s="4">
        <v>-1.5100000000000001E-2</v>
      </c>
      <c r="O261" s="4">
        <v>2.0000000000000001E-4</v>
      </c>
      <c r="P261" s="4">
        <v>114.24</v>
      </c>
      <c r="Q261" s="4">
        <v>0.24</v>
      </c>
      <c r="R261" s="4">
        <f t="shared" si="8"/>
        <v>0.27079111111111109</v>
      </c>
      <c r="S261" s="22">
        <f t="shared" si="6"/>
        <v>5.6888888888888885E-4</v>
      </c>
    </row>
    <row r="262" spans="1:19">
      <c r="A262" s="19" t="s">
        <v>113</v>
      </c>
      <c r="B262" s="20">
        <v>12122212</v>
      </c>
      <c r="C262" s="20"/>
      <c r="D262" s="20">
        <v>0.25</v>
      </c>
      <c r="E262" s="4">
        <v>8</v>
      </c>
      <c r="F262" s="4">
        <v>5</v>
      </c>
      <c r="G262" s="4">
        <v>15</v>
      </c>
      <c r="H262" s="21">
        <v>5.5865</v>
      </c>
      <c r="I262" s="4">
        <v>8.0000000000000004E-4</v>
      </c>
      <c r="J262" s="20">
        <v>-28.616800000000001</v>
      </c>
      <c r="K262" s="4">
        <v>1.2999999999999999E-3</v>
      </c>
      <c r="L262" s="4">
        <v>5.1999999999999998E-2</v>
      </c>
      <c r="M262" s="4">
        <v>0.01</v>
      </c>
      <c r="N262" s="4">
        <v>-7.1000000000000004E-3</v>
      </c>
      <c r="O262" s="4">
        <v>5.0000000000000001E-4</v>
      </c>
      <c r="P262" s="4">
        <v>129.06</v>
      </c>
      <c r="Q262" s="4">
        <v>0.41</v>
      </c>
      <c r="R262" s="20">
        <f t="shared" si="8"/>
        <v>0.30592000000000003</v>
      </c>
      <c r="S262" s="22">
        <f t="shared" si="6"/>
        <v>9.7185185185185178E-4</v>
      </c>
    </row>
    <row r="263" spans="1:19">
      <c r="A263" s="23" t="s">
        <v>113</v>
      </c>
      <c r="B263" s="4">
        <v>12122212</v>
      </c>
      <c r="D263" s="4">
        <v>0.5</v>
      </c>
      <c r="E263" s="4">
        <v>8</v>
      </c>
      <c r="F263" s="4">
        <v>5</v>
      </c>
      <c r="G263" s="4">
        <v>15</v>
      </c>
      <c r="H263" s="24">
        <v>5.2248000000000001</v>
      </c>
      <c r="I263" s="4">
        <v>5.0000000000000001E-4</v>
      </c>
      <c r="J263" s="4">
        <v>-27.1128</v>
      </c>
      <c r="K263" s="4">
        <v>1.1000000000000001E-3</v>
      </c>
      <c r="L263" s="4">
        <v>4.5999999999999999E-2</v>
      </c>
      <c r="M263" s="4">
        <v>7.0000000000000001E-3</v>
      </c>
      <c r="N263" s="4">
        <v>-8.6999999999999994E-3</v>
      </c>
      <c r="O263" s="4">
        <v>1E-4</v>
      </c>
      <c r="P263" s="4">
        <v>126.78</v>
      </c>
      <c r="Q263" s="4">
        <v>0.15</v>
      </c>
      <c r="R263" s="4">
        <f t="shared" si="8"/>
        <v>0.30051555555555554</v>
      </c>
      <c r="S263" s="22">
        <f t="shared" si="6"/>
        <v>3.5555555555555552E-4</v>
      </c>
    </row>
    <row r="264" spans="1:19">
      <c r="A264" s="28" t="s">
        <v>113</v>
      </c>
      <c r="B264" s="29">
        <v>12122212</v>
      </c>
      <c r="C264" s="29"/>
      <c r="D264" s="29">
        <v>0.75</v>
      </c>
      <c r="E264" s="4">
        <v>8</v>
      </c>
      <c r="F264" s="4">
        <v>5</v>
      </c>
      <c r="G264" s="4">
        <v>15</v>
      </c>
      <c r="H264" s="30">
        <v>4.8441000000000001</v>
      </c>
      <c r="I264" s="4">
        <v>4.0000000000000002E-4</v>
      </c>
      <c r="J264" s="29">
        <v>-25.761199999999999</v>
      </c>
      <c r="K264" s="4">
        <v>8.9999999999999998E-4</v>
      </c>
      <c r="L264" s="4">
        <v>8.8999999999999996E-2</v>
      </c>
      <c r="M264" s="4">
        <v>8.0000000000000002E-3</v>
      </c>
      <c r="N264" s="4">
        <v>-1.21E-2</v>
      </c>
      <c r="O264" s="4">
        <v>2.9999999999999997E-4</v>
      </c>
      <c r="P264" s="4">
        <v>121.2</v>
      </c>
      <c r="Q264" s="4">
        <v>0.11</v>
      </c>
      <c r="R264" s="29">
        <f t="shared" si="8"/>
        <v>0.28728888888888887</v>
      </c>
      <c r="S264" s="22">
        <f t="shared" si="6"/>
        <v>2.6074074074074075E-4</v>
      </c>
    </row>
    <row r="265" spans="1:19">
      <c r="A265" s="33" t="s">
        <v>113</v>
      </c>
      <c r="B265" s="34">
        <v>12122212</v>
      </c>
      <c r="C265" s="34"/>
      <c r="D265" s="34">
        <v>1</v>
      </c>
      <c r="E265" s="4">
        <v>8</v>
      </c>
      <c r="F265" s="4">
        <v>5</v>
      </c>
      <c r="G265" s="4">
        <v>15</v>
      </c>
      <c r="H265" s="43">
        <v>4.4318999999999997</v>
      </c>
      <c r="I265" s="4">
        <v>8.9999999999999998E-4</v>
      </c>
      <c r="J265" s="34">
        <v>-24.6526</v>
      </c>
      <c r="K265" s="4">
        <v>2.3E-3</v>
      </c>
      <c r="L265" s="4">
        <v>0.17</v>
      </c>
      <c r="M265" s="4">
        <v>2.1000000000000001E-2</v>
      </c>
      <c r="N265" s="4">
        <v>-1.9400000000000001E-2</v>
      </c>
      <c r="O265" s="4" t="s">
        <v>114</v>
      </c>
      <c r="P265" s="4">
        <v>108.54</v>
      </c>
      <c r="Q265" s="4">
        <v>0.66</v>
      </c>
      <c r="R265" s="34">
        <f t="shared" si="8"/>
        <v>0.25728000000000001</v>
      </c>
      <c r="S265" s="22">
        <f t="shared" si="6"/>
        <v>1.5644444444444445E-3</v>
      </c>
    </row>
    <row r="266" spans="1:19">
      <c r="A266" s="19" t="s">
        <v>115</v>
      </c>
      <c r="B266" s="20">
        <v>22212211</v>
      </c>
      <c r="C266" s="20"/>
      <c r="D266" s="20">
        <v>0.25</v>
      </c>
      <c r="E266" s="4">
        <v>8</v>
      </c>
      <c r="F266" s="4">
        <v>5</v>
      </c>
      <c r="G266" s="4">
        <v>15</v>
      </c>
      <c r="H266" s="21">
        <v>5.5896999999999997</v>
      </c>
      <c r="I266" s="4">
        <v>5.0000000000000001E-4</v>
      </c>
      <c r="J266" s="20">
        <v>-28.566299999999998</v>
      </c>
      <c r="K266" s="4">
        <v>8.0000000000000004E-4</v>
      </c>
      <c r="L266" s="4">
        <v>3.2000000000000001E-2</v>
      </c>
      <c r="M266" s="4">
        <v>3.0000000000000001E-3</v>
      </c>
      <c r="N266" s="4">
        <v>-7.4999999999999997E-3</v>
      </c>
      <c r="O266" s="4">
        <v>2.0000000000000001E-4</v>
      </c>
      <c r="P266" s="4">
        <v>128.41999999999999</v>
      </c>
      <c r="Q266" s="4">
        <v>0.15</v>
      </c>
      <c r="R266" s="20">
        <f t="shared" si="8"/>
        <v>0.30440296296296293</v>
      </c>
      <c r="S266" s="22">
        <f t="shared" si="6"/>
        <v>3.5555555555555552E-4</v>
      </c>
    </row>
    <row r="267" spans="1:19">
      <c r="A267" s="23" t="s">
        <v>115</v>
      </c>
      <c r="B267" s="4">
        <v>22212211</v>
      </c>
      <c r="D267" s="4">
        <v>0.5</v>
      </c>
      <c r="E267" s="4">
        <v>8</v>
      </c>
      <c r="F267" s="4">
        <v>5</v>
      </c>
      <c r="G267" s="4">
        <v>15</v>
      </c>
      <c r="H267" s="24">
        <v>5.2133000000000003</v>
      </c>
      <c r="I267" s="4">
        <v>1E-3</v>
      </c>
      <c r="J267" s="4">
        <v>-27.095800000000001</v>
      </c>
      <c r="K267" s="4">
        <v>1E-3</v>
      </c>
      <c r="L267" s="4">
        <v>6.7000000000000004E-2</v>
      </c>
      <c r="M267" s="4">
        <v>6.0000000000000001E-3</v>
      </c>
      <c r="N267" s="4">
        <v>-1.0500000000000001E-2</v>
      </c>
      <c r="O267" s="4">
        <v>5.0000000000000001E-4</v>
      </c>
      <c r="P267" s="4">
        <v>123.22</v>
      </c>
      <c r="Q267" s="4">
        <v>0.32</v>
      </c>
      <c r="R267" s="4">
        <f t="shared" si="8"/>
        <v>0.29207703703703702</v>
      </c>
      <c r="S267" s="22">
        <f t="shared" si="6"/>
        <v>7.585185185185185E-4</v>
      </c>
    </row>
    <row r="268" spans="1:19">
      <c r="A268" s="28" t="s">
        <v>115</v>
      </c>
      <c r="B268" s="29">
        <v>22212211</v>
      </c>
      <c r="C268" s="29"/>
      <c r="D268" s="29">
        <v>0.75</v>
      </c>
      <c r="E268" s="4">
        <v>8</v>
      </c>
      <c r="F268" s="4">
        <v>5</v>
      </c>
      <c r="G268" s="4">
        <v>15</v>
      </c>
      <c r="H268" s="30">
        <v>4.7934000000000001</v>
      </c>
      <c r="I268" s="4">
        <v>6.9999999999999999E-4</v>
      </c>
      <c r="J268" s="29">
        <v>-25.963000000000001</v>
      </c>
      <c r="K268" s="4">
        <v>6.9999999999999999E-4</v>
      </c>
      <c r="L268" s="4">
        <v>0.14699999999999999</v>
      </c>
      <c r="M268" s="4">
        <v>4.0000000000000001E-3</v>
      </c>
      <c r="N268" s="4">
        <v>-1.9400000000000001E-2</v>
      </c>
      <c r="O268" s="4">
        <v>2.9999999999999997E-4</v>
      </c>
      <c r="P268" s="4">
        <v>106.97</v>
      </c>
      <c r="Q268" s="4">
        <v>0.24</v>
      </c>
      <c r="R268" s="29">
        <f t="shared" si="8"/>
        <v>0.25355851851851852</v>
      </c>
      <c r="S268" s="22">
        <f t="shared" si="6"/>
        <v>5.6888888888888885E-4</v>
      </c>
    </row>
    <row r="269" spans="1:19">
      <c r="A269" s="19" t="s">
        <v>116</v>
      </c>
      <c r="B269" s="20">
        <v>21212212</v>
      </c>
      <c r="C269" s="20"/>
      <c r="D269" s="20">
        <v>0.25</v>
      </c>
      <c r="E269" s="4">
        <v>8</v>
      </c>
      <c r="F269" s="4">
        <v>5</v>
      </c>
      <c r="G269" s="4">
        <v>15</v>
      </c>
      <c r="H269" s="21">
        <v>5.6325000000000003</v>
      </c>
      <c r="I269" s="4">
        <v>8.9999999999999998E-4</v>
      </c>
      <c r="J269" s="20">
        <v>-28.730699999999999</v>
      </c>
      <c r="K269" s="4">
        <v>1.2999999999999999E-3</v>
      </c>
      <c r="L269" s="4">
        <v>3.3000000000000002E-2</v>
      </c>
      <c r="M269" s="4">
        <v>4.0000000000000001E-3</v>
      </c>
      <c r="N269" s="4">
        <v>-6.8999999999999999E-3</v>
      </c>
      <c r="O269" s="4">
        <v>2.0000000000000001E-4</v>
      </c>
      <c r="P269" s="4">
        <v>129.41999999999999</v>
      </c>
      <c r="Q269" s="4">
        <v>0.21</v>
      </c>
      <c r="R269" s="20">
        <f t="shared" si="8"/>
        <v>0.30677333333333329</v>
      </c>
      <c r="S269" s="22">
        <f t="shared" si="6"/>
        <v>4.9777777777777776E-4</v>
      </c>
    </row>
    <row r="270" spans="1:19">
      <c r="A270" s="23" t="s">
        <v>116</v>
      </c>
      <c r="B270" s="4">
        <v>21212212</v>
      </c>
      <c r="D270" s="4">
        <v>0.5</v>
      </c>
      <c r="E270" s="4">
        <v>8</v>
      </c>
      <c r="F270" s="4">
        <v>5</v>
      </c>
      <c r="G270" s="4">
        <v>15</v>
      </c>
      <c r="H270" s="24">
        <v>5.3216999999999999</v>
      </c>
      <c r="I270" s="4">
        <v>4.0000000000000002E-4</v>
      </c>
      <c r="J270" s="4">
        <v>-27.3065</v>
      </c>
      <c r="K270" s="4">
        <v>2.9999999999999997E-4</v>
      </c>
      <c r="L270" s="4">
        <v>2.9000000000000001E-2</v>
      </c>
      <c r="M270" s="4">
        <v>2E-3</v>
      </c>
      <c r="N270" s="4">
        <v>-8.0999999999999996E-3</v>
      </c>
      <c r="O270" s="4">
        <v>2.0000000000000001E-4</v>
      </c>
      <c r="P270" s="4">
        <v>127.83</v>
      </c>
      <c r="Q270" s="4">
        <v>0.14000000000000001</v>
      </c>
      <c r="R270" s="4">
        <f t="shared" si="8"/>
        <v>0.30300444444444447</v>
      </c>
      <c r="S270" s="22">
        <f t="shared" si="6"/>
        <v>3.3185185185185189E-4</v>
      </c>
    </row>
    <row r="271" spans="1:19">
      <c r="A271" s="28" t="s">
        <v>116</v>
      </c>
      <c r="B271" s="29">
        <v>21212212</v>
      </c>
      <c r="C271" s="29"/>
      <c r="D271" s="29">
        <v>0.75</v>
      </c>
      <c r="E271" s="4">
        <v>8</v>
      </c>
      <c r="F271" s="4">
        <v>5</v>
      </c>
      <c r="G271" s="4">
        <v>15</v>
      </c>
      <c r="H271" s="30">
        <v>5.0063000000000004</v>
      </c>
      <c r="I271" s="4">
        <v>5.9999999999999995E-4</v>
      </c>
      <c r="J271" s="29">
        <v>-25.9726</v>
      </c>
      <c r="K271" s="4">
        <v>1E-4</v>
      </c>
      <c r="L271" s="4">
        <v>0.03</v>
      </c>
      <c r="M271" s="4">
        <v>3.0000000000000001E-3</v>
      </c>
      <c r="N271" s="4">
        <v>-8.9999999999999993E-3</v>
      </c>
      <c r="O271" s="4">
        <v>2.9999999999999997E-4</v>
      </c>
      <c r="P271" s="4">
        <v>125.63</v>
      </c>
      <c r="Q271" s="4">
        <v>0.17</v>
      </c>
      <c r="R271" s="29">
        <f t="shared" si="8"/>
        <v>0.29778962962962963</v>
      </c>
      <c r="S271" s="22">
        <f t="shared" si="6"/>
        <v>4.0296296296296299E-4</v>
      </c>
    </row>
    <row r="272" spans="1:19">
      <c r="A272" s="33" t="s">
        <v>116</v>
      </c>
      <c r="B272" s="34">
        <v>21212212</v>
      </c>
      <c r="C272" s="34"/>
      <c r="D272" s="34">
        <v>1</v>
      </c>
      <c r="E272" s="4">
        <v>8</v>
      </c>
      <c r="F272" s="4">
        <v>5</v>
      </c>
      <c r="G272" s="4">
        <v>15</v>
      </c>
      <c r="H272" s="40">
        <v>4.6867000000000001</v>
      </c>
      <c r="I272" s="4">
        <v>5.9999999999999995E-4</v>
      </c>
      <c r="J272" s="34">
        <v>-24.759599999999999</v>
      </c>
      <c r="K272" s="4">
        <v>1.4E-3</v>
      </c>
      <c r="L272" s="4">
        <v>2.9000000000000001E-2</v>
      </c>
      <c r="M272" s="4">
        <v>8.0000000000000002E-3</v>
      </c>
      <c r="N272" s="4">
        <v>-1.14E-2</v>
      </c>
      <c r="O272" s="4">
        <v>2.0000000000000001E-4</v>
      </c>
      <c r="P272" s="4">
        <v>120.99</v>
      </c>
      <c r="Q272" s="4">
        <v>0.22</v>
      </c>
      <c r="R272" s="34">
        <f t="shared" si="8"/>
        <v>0.28679111111111111</v>
      </c>
      <c r="S272" s="22">
        <f t="shared" si="6"/>
        <v>5.2148148148148149E-4</v>
      </c>
    </row>
    <row r="273" spans="1:19">
      <c r="A273" s="19" t="s">
        <v>117</v>
      </c>
      <c r="B273" s="20">
        <v>12221221</v>
      </c>
      <c r="C273" s="20"/>
      <c r="D273" s="20">
        <v>0.25</v>
      </c>
      <c r="E273" s="4">
        <v>8</v>
      </c>
      <c r="F273" s="4">
        <v>5</v>
      </c>
      <c r="G273" s="4">
        <v>15</v>
      </c>
      <c r="H273" s="21">
        <v>5.5601000000000003</v>
      </c>
      <c r="I273" s="4">
        <v>6.9999999999999999E-4</v>
      </c>
      <c r="J273" s="20">
        <v>-28.440899999999999</v>
      </c>
      <c r="K273" s="4">
        <v>8.9999999999999998E-4</v>
      </c>
      <c r="L273" s="4">
        <v>3.5000000000000003E-2</v>
      </c>
      <c r="M273" s="4">
        <v>3.0000000000000001E-3</v>
      </c>
      <c r="N273" s="4">
        <v>-7.4000000000000003E-3</v>
      </c>
      <c r="O273" s="4">
        <v>2.9999999999999997E-4</v>
      </c>
      <c r="P273" s="4">
        <v>129.21</v>
      </c>
      <c r="Q273" s="4">
        <v>0.18</v>
      </c>
      <c r="R273" s="20">
        <f t="shared" si="8"/>
        <v>0.30627555555555558</v>
      </c>
      <c r="S273" s="22">
        <f t="shared" si="6"/>
        <v>4.2666666666666667E-4</v>
      </c>
    </row>
    <row r="274" spans="1:19">
      <c r="A274" s="23" t="s">
        <v>117</v>
      </c>
      <c r="B274" s="4">
        <v>12221221</v>
      </c>
      <c r="D274" s="4">
        <v>0.5</v>
      </c>
      <c r="E274" s="4">
        <v>8</v>
      </c>
      <c r="F274" s="4">
        <v>5</v>
      </c>
      <c r="G274" s="4">
        <v>15</v>
      </c>
      <c r="H274" s="24">
        <v>5.1685999999999996</v>
      </c>
      <c r="I274" s="4">
        <v>5.9999999999999995E-4</v>
      </c>
      <c r="J274" s="4">
        <v>-26.7668</v>
      </c>
      <c r="K274" s="4">
        <v>2.9999999999999997E-4</v>
      </c>
      <c r="L274" s="4">
        <v>5.5E-2</v>
      </c>
      <c r="M274" s="4">
        <v>1.0999999999999999E-2</v>
      </c>
      <c r="N274" s="4">
        <v>-9.2999999999999992E-3</v>
      </c>
      <c r="O274" s="4">
        <v>4.0000000000000002E-4</v>
      </c>
      <c r="P274" s="4">
        <v>126.62</v>
      </c>
      <c r="Q274" s="4">
        <v>0.25</v>
      </c>
      <c r="R274" s="4">
        <f t="shared" si="8"/>
        <v>0.30013629629629629</v>
      </c>
      <c r="S274" s="22">
        <f t="shared" si="6"/>
        <v>5.9259259259259258E-4</v>
      </c>
    </row>
    <row r="275" spans="1:19">
      <c r="A275" s="28" t="s">
        <v>117</v>
      </c>
      <c r="B275" s="29">
        <v>12221221</v>
      </c>
      <c r="C275" s="29"/>
      <c r="D275" s="29">
        <v>0.75</v>
      </c>
      <c r="E275" s="4">
        <v>8</v>
      </c>
      <c r="F275" s="4">
        <v>5</v>
      </c>
      <c r="G275" s="4">
        <v>15</v>
      </c>
      <c r="H275" s="30">
        <v>4.7530999999999999</v>
      </c>
      <c r="I275" s="4">
        <v>2.9999999999999997E-4</v>
      </c>
      <c r="J275" s="29">
        <v>-25.256499999999999</v>
      </c>
      <c r="K275" s="4">
        <v>8.9999999999999998E-4</v>
      </c>
      <c r="L275" s="4">
        <v>0.113</v>
      </c>
      <c r="M275" s="4">
        <v>2.1000000000000001E-2</v>
      </c>
      <c r="N275" s="4">
        <v>-1.26E-2</v>
      </c>
      <c r="O275" s="4">
        <v>5.9999999999999995E-4</v>
      </c>
      <c r="P275" s="4">
        <v>121.03</v>
      </c>
      <c r="Q275" s="4">
        <v>0.37</v>
      </c>
      <c r="R275" s="29">
        <f t="shared" si="8"/>
        <v>0.28688592592592593</v>
      </c>
      <c r="S275" s="22">
        <f t="shared" si="6"/>
        <v>8.7703703703703706E-4</v>
      </c>
    </row>
    <row r="276" spans="1:19">
      <c r="A276" s="19" t="s">
        <v>118</v>
      </c>
      <c r="B276" s="20">
        <v>22122121</v>
      </c>
      <c r="C276" s="20"/>
      <c r="D276" s="20">
        <v>0.25</v>
      </c>
      <c r="E276" s="4">
        <v>8</v>
      </c>
      <c r="F276" s="4">
        <v>5</v>
      </c>
      <c r="G276" s="4">
        <v>15</v>
      </c>
      <c r="H276" s="21">
        <v>5.6033999999999997</v>
      </c>
      <c r="I276" s="4">
        <v>5.9999999999999995E-4</v>
      </c>
      <c r="J276" s="20">
        <v>-28.603400000000001</v>
      </c>
      <c r="K276" s="4">
        <v>1E-3</v>
      </c>
      <c r="L276" s="4">
        <v>0.03</v>
      </c>
      <c r="M276" s="4">
        <v>5.0000000000000001E-3</v>
      </c>
      <c r="N276" s="4">
        <v>-7.1999999999999998E-3</v>
      </c>
      <c r="O276" s="4">
        <v>1E-4</v>
      </c>
      <c r="P276" s="4">
        <v>129.05000000000001</v>
      </c>
      <c r="Q276" s="4">
        <v>0.08</v>
      </c>
      <c r="R276" s="20">
        <f t="shared" si="8"/>
        <v>0.30589629629629633</v>
      </c>
      <c r="S276" s="22">
        <f t="shared" si="6"/>
        <v>1.8962962962962963E-4</v>
      </c>
    </row>
    <row r="277" spans="1:19">
      <c r="A277" s="23" t="s">
        <v>118</v>
      </c>
      <c r="B277" s="4">
        <v>22122121</v>
      </c>
      <c r="D277" s="4">
        <v>0.5</v>
      </c>
      <c r="E277" s="4">
        <v>8</v>
      </c>
      <c r="F277" s="4">
        <v>5</v>
      </c>
      <c r="G277" s="4">
        <v>15</v>
      </c>
      <c r="H277" s="24">
        <v>5.2550999999999997</v>
      </c>
      <c r="I277" s="4">
        <v>1E-3</v>
      </c>
      <c r="J277" s="4">
        <v>-27.083300000000001</v>
      </c>
      <c r="K277" s="4">
        <v>5.9999999999999995E-4</v>
      </c>
      <c r="L277" s="4">
        <v>4.1000000000000002E-2</v>
      </c>
      <c r="M277" s="4">
        <v>3.0000000000000001E-3</v>
      </c>
      <c r="N277" s="4">
        <v>-8.6E-3</v>
      </c>
      <c r="O277" s="4">
        <v>1E-4</v>
      </c>
      <c r="P277" s="4">
        <v>126.73</v>
      </c>
      <c r="Q277" s="4">
        <v>0.17</v>
      </c>
      <c r="R277" s="4">
        <f t="shared" si="8"/>
        <v>0.30039703703703707</v>
      </c>
      <c r="S277" s="22">
        <f t="shared" si="6"/>
        <v>4.0296296296296299E-4</v>
      </c>
    </row>
    <row r="278" spans="1:19">
      <c r="A278" s="28" t="s">
        <v>118</v>
      </c>
      <c r="B278" s="29">
        <v>22122121</v>
      </c>
      <c r="C278" s="29"/>
      <c r="D278" s="29">
        <v>0.75</v>
      </c>
      <c r="E278" s="4">
        <v>8</v>
      </c>
      <c r="F278" s="4">
        <v>5</v>
      </c>
      <c r="G278" s="4">
        <v>15</v>
      </c>
      <c r="H278" s="30">
        <v>4.8909000000000002</v>
      </c>
      <c r="I278" s="4">
        <v>5.0000000000000001E-4</v>
      </c>
      <c r="J278" s="29">
        <v>-25.7104</v>
      </c>
      <c r="K278" s="4">
        <v>5.0000000000000001E-4</v>
      </c>
      <c r="L278" s="4">
        <v>7.4999999999999997E-2</v>
      </c>
      <c r="M278" s="4">
        <v>5.0000000000000001E-3</v>
      </c>
      <c r="N278" s="4">
        <v>-1.1900000000000001E-2</v>
      </c>
      <c r="O278" s="4">
        <v>4.0000000000000002E-4</v>
      </c>
      <c r="P278" s="4">
        <v>121.03</v>
      </c>
      <c r="Q278" s="4">
        <v>0.28999999999999998</v>
      </c>
      <c r="R278" s="29">
        <f t="shared" si="8"/>
        <v>0.28688592592592593</v>
      </c>
      <c r="S278" s="22">
        <f t="shared" si="6"/>
        <v>6.8740740740740741E-4</v>
      </c>
    </row>
    <row r="279" spans="1:19">
      <c r="A279" s="33" t="s">
        <v>118</v>
      </c>
      <c r="B279" s="34">
        <v>22122121</v>
      </c>
      <c r="C279" s="34"/>
      <c r="D279" s="34">
        <v>1</v>
      </c>
      <c r="E279" s="4">
        <v>8</v>
      </c>
      <c r="F279" s="4">
        <v>5</v>
      </c>
      <c r="G279" s="4">
        <v>15</v>
      </c>
      <c r="H279" s="38">
        <v>4.5000999999999998</v>
      </c>
      <c r="I279" s="39">
        <v>5.9999999999999995E-4</v>
      </c>
      <c r="J279" s="38">
        <v>-24.566800000000001</v>
      </c>
      <c r="K279" s="39">
        <v>5.0000000000000001E-4</v>
      </c>
      <c r="L279" s="39">
        <v>0.14099999999999999</v>
      </c>
      <c r="M279" s="39">
        <v>4.0000000000000001E-3</v>
      </c>
      <c r="N279" s="39">
        <v>-1.9099999999999999E-2</v>
      </c>
      <c r="O279" s="39">
        <v>0</v>
      </c>
      <c r="P279" s="39">
        <v>108.76</v>
      </c>
      <c r="Q279" s="39">
        <v>0.12</v>
      </c>
      <c r="R279" s="34">
        <f t="shared" si="8"/>
        <v>0.25780148148148152</v>
      </c>
      <c r="S279" s="22">
        <f t="shared" si="6"/>
        <v>2.8444444444444443E-4</v>
      </c>
    </row>
    <row r="280" spans="1:19">
      <c r="A280" s="19" t="s">
        <v>119</v>
      </c>
      <c r="B280" s="20">
        <v>21222211</v>
      </c>
      <c r="C280" s="20"/>
      <c r="D280" s="20">
        <v>0.25</v>
      </c>
      <c r="E280" s="4">
        <v>8</v>
      </c>
      <c r="F280" s="4">
        <v>5</v>
      </c>
      <c r="G280" s="4">
        <v>15</v>
      </c>
      <c r="H280" s="21">
        <v>5.5705</v>
      </c>
      <c r="I280" s="4">
        <v>8.0000000000000004E-4</v>
      </c>
      <c r="J280" s="20">
        <v>-28.5684</v>
      </c>
      <c r="K280" s="4">
        <v>2.5000000000000001E-3</v>
      </c>
      <c r="L280" s="4">
        <v>4.4999999999999998E-2</v>
      </c>
      <c r="M280" s="4">
        <v>8.9999999999999993E-3</v>
      </c>
      <c r="N280" s="4">
        <v>-6.8999999999999999E-3</v>
      </c>
      <c r="O280" s="4">
        <v>6.9999999999999999E-4</v>
      </c>
      <c r="P280" s="4">
        <v>129.22</v>
      </c>
      <c r="Q280" s="4">
        <v>0.59</v>
      </c>
      <c r="R280" s="20">
        <f t="shared" si="8"/>
        <v>0.30629925925925927</v>
      </c>
      <c r="S280" s="22">
        <f t="shared" si="6"/>
        <v>1.3985185185185183E-3</v>
      </c>
    </row>
    <row r="281" spans="1:19">
      <c r="A281" s="23" t="s">
        <v>119</v>
      </c>
      <c r="B281" s="4">
        <v>21222211</v>
      </c>
      <c r="D281" s="4">
        <v>0.5</v>
      </c>
      <c r="E281" s="4">
        <v>8</v>
      </c>
      <c r="F281" s="4">
        <v>5</v>
      </c>
      <c r="G281" s="4">
        <v>15</v>
      </c>
      <c r="H281" s="24">
        <v>5.1722000000000001</v>
      </c>
      <c r="I281" s="4">
        <v>2.9999999999999997E-4</v>
      </c>
      <c r="J281" s="4">
        <v>-27.097999999999999</v>
      </c>
      <c r="K281" s="4">
        <v>1.4E-3</v>
      </c>
      <c r="L281" s="4">
        <v>7.8E-2</v>
      </c>
      <c r="M281" s="4">
        <v>8.9999999999999993E-3</v>
      </c>
      <c r="N281" s="4">
        <v>-1.01E-2</v>
      </c>
      <c r="O281" s="4">
        <v>5.9999999999999995E-4</v>
      </c>
      <c r="P281" s="4">
        <v>124.17</v>
      </c>
      <c r="Q281" s="4">
        <v>0.52</v>
      </c>
      <c r="R281" s="4">
        <f t="shared" si="8"/>
        <v>0.29432888888888892</v>
      </c>
      <c r="S281" s="22">
        <f t="shared" si="6"/>
        <v>1.2325925925925926E-3</v>
      </c>
    </row>
    <row r="282" spans="1:19">
      <c r="A282" s="28" t="s">
        <v>119</v>
      </c>
      <c r="B282" s="29">
        <v>21222211</v>
      </c>
      <c r="C282" s="29"/>
      <c r="D282" s="29">
        <v>0.75</v>
      </c>
      <c r="E282" s="4">
        <v>8</v>
      </c>
      <c r="F282" s="4">
        <v>5</v>
      </c>
      <c r="G282" s="4">
        <v>15</v>
      </c>
      <c r="H282" s="32">
        <v>4.7335000000000003</v>
      </c>
      <c r="I282" s="4">
        <v>4.0000000000000002E-4</v>
      </c>
      <c r="J282" s="29">
        <v>-25.94</v>
      </c>
      <c r="K282" s="4">
        <v>1E-3</v>
      </c>
      <c r="L282" s="4">
        <v>0.17100000000000001</v>
      </c>
      <c r="M282" s="4">
        <v>1E-3</v>
      </c>
      <c r="N282" s="4">
        <v>-1.8100000000000002E-2</v>
      </c>
      <c r="O282" s="4">
        <v>2.0000000000000001E-4</v>
      </c>
      <c r="P282" s="4">
        <v>110.39</v>
      </c>
      <c r="Q282" s="4">
        <v>0.26</v>
      </c>
      <c r="R282" s="29">
        <f t="shared" si="8"/>
        <v>0.26166518518518517</v>
      </c>
      <c r="S282" s="22">
        <f t="shared" si="6"/>
        <v>6.1629629629629632E-4</v>
      </c>
    </row>
    <row r="283" spans="1:19">
      <c r="A283" s="19" t="s">
        <v>120</v>
      </c>
      <c r="B283" s="20">
        <v>22211122</v>
      </c>
      <c r="C283" s="20" t="s">
        <v>30</v>
      </c>
      <c r="D283" s="20">
        <v>0.25</v>
      </c>
      <c r="E283" s="4">
        <v>8</v>
      </c>
      <c r="F283" s="4">
        <v>5</v>
      </c>
      <c r="G283" s="4">
        <v>15</v>
      </c>
      <c r="H283" s="21">
        <v>5.6673999999999998</v>
      </c>
      <c r="I283" s="4">
        <v>8.0000000000000004E-4</v>
      </c>
      <c r="J283" s="20">
        <v>-28.5594</v>
      </c>
      <c r="K283" s="4">
        <v>1.4E-3</v>
      </c>
      <c r="L283" s="4">
        <v>2.9000000000000001E-2</v>
      </c>
      <c r="M283" s="4">
        <v>2E-3</v>
      </c>
      <c r="N283" s="4">
        <v>-7.3000000000000001E-3</v>
      </c>
      <c r="O283" s="4">
        <v>1E-4</v>
      </c>
      <c r="P283" s="4">
        <v>128.4</v>
      </c>
      <c r="Q283" s="4">
        <v>0.18</v>
      </c>
      <c r="R283" s="20">
        <f t="shared" si="8"/>
        <v>0.30435555555555555</v>
      </c>
      <c r="S283" s="22">
        <f t="shared" si="6"/>
        <v>4.2666666666666667E-4</v>
      </c>
    </row>
    <row r="284" spans="1:19">
      <c r="A284" s="23" t="s">
        <v>120</v>
      </c>
      <c r="B284" s="4">
        <v>22211122</v>
      </c>
      <c r="C284" s="4" t="s">
        <v>30</v>
      </c>
      <c r="D284" s="4">
        <v>0.5</v>
      </c>
      <c r="E284" s="4">
        <v>8</v>
      </c>
      <c r="F284" s="4">
        <v>5</v>
      </c>
      <c r="G284" s="4">
        <v>15</v>
      </c>
      <c r="H284" s="24">
        <v>5.3857999999999997</v>
      </c>
      <c r="I284" s="4">
        <v>8.9999999999999998E-4</v>
      </c>
      <c r="J284" s="4">
        <v>-27.0611</v>
      </c>
      <c r="K284" s="4">
        <v>8.0000000000000004E-4</v>
      </c>
      <c r="L284" s="4">
        <v>2.7E-2</v>
      </c>
      <c r="M284" s="4">
        <v>4.0000000000000001E-3</v>
      </c>
      <c r="N284" s="4">
        <v>-8.6E-3</v>
      </c>
      <c r="O284" s="4">
        <v>2.9999999999999997E-4</v>
      </c>
      <c r="P284" s="4">
        <v>124.74</v>
      </c>
      <c r="Q284" s="4">
        <v>0.11</v>
      </c>
      <c r="R284" s="4">
        <f t="shared" si="8"/>
        <v>0.29568</v>
      </c>
      <c r="S284" s="22">
        <f t="shared" si="6"/>
        <v>2.6074074074074075E-4</v>
      </c>
    </row>
    <row r="285" spans="1:19">
      <c r="A285" s="28" t="s">
        <v>120</v>
      </c>
      <c r="B285" s="29">
        <v>22211122</v>
      </c>
      <c r="C285" s="29" t="s">
        <v>30</v>
      </c>
      <c r="D285" s="29">
        <v>0.75</v>
      </c>
      <c r="E285" s="4">
        <v>8</v>
      </c>
      <c r="F285" s="4">
        <v>5</v>
      </c>
      <c r="G285" s="4">
        <v>15</v>
      </c>
      <c r="H285" s="30">
        <v>5.1066000000000003</v>
      </c>
      <c r="I285" s="4">
        <v>5.0000000000000001E-4</v>
      </c>
      <c r="J285" s="29">
        <v>-25.809100000000001</v>
      </c>
      <c r="K285" s="4">
        <v>6.9999999999999999E-4</v>
      </c>
      <c r="L285" s="4">
        <v>3.3000000000000002E-2</v>
      </c>
      <c r="M285" s="4">
        <v>7.0000000000000001E-3</v>
      </c>
      <c r="N285" s="4">
        <v>-1.18E-2</v>
      </c>
      <c r="O285" s="4">
        <v>4.0000000000000002E-4</v>
      </c>
      <c r="P285" s="4">
        <v>117.44</v>
      </c>
      <c r="Q285" s="4">
        <v>0.23</v>
      </c>
      <c r="R285" s="29">
        <f t="shared" si="8"/>
        <v>0.27837629629629629</v>
      </c>
      <c r="S285" s="22">
        <f t="shared" si="6"/>
        <v>5.4518518518518523E-4</v>
      </c>
    </row>
    <row r="286" spans="1:19">
      <c r="A286" s="33" t="s">
        <v>120</v>
      </c>
      <c r="B286" s="34">
        <v>22211122</v>
      </c>
      <c r="C286" s="34" t="s">
        <v>30</v>
      </c>
      <c r="D286" s="34">
        <v>1</v>
      </c>
      <c r="E286" s="4">
        <v>8</v>
      </c>
      <c r="F286" s="4">
        <v>5</v>
      </c>
      <c r="G286" s="4">
        <v>15</v>
      </c>
      <c r="H286" s="34">
        <v>4.8548</v>
      </c>
      <c r="I286" s="4">
        <v>1E-3</v>
      </c>
      <c r="J286" s="34">
        <v>-24.948899999999998</v>
      </c>
      <c r="K286" s="4">
        <v>8.9999999999999998E-4</v>
      </c>
      <c r="L286" s="4">
        <v>5.1999999999999998E-2</v>
      </c>
      <c r="M286" s="4">
        <v>8.9999999999999993E-3</v>
      </c>
      <c r="N286" s="4">
        <v>-1.66E-2</v>
      </c>
      <c r="O286" s="4">
        <v>2.0000000000000001E-4</v>
      </c>
      <c r="P286" s="4">
        <v>104.87</v>
      </c>
      <c r="Q286" s="4">
        <v>0.19</v>
      </c>
      <c r="R286" s="34">
        <f t="shared" si="8"/>
        <v>0.24858074074074074</v>
      </c>
      <c r="S286" s="22">
        <f t="shared" si="6"/>
        <v>4.503703703703704E-4</v>
      </c>
    </row>
    <row r="287" spans="1:19">
      <c r="A287" s="19" t="s">
        <v>121</v>
      </c>
      <c r="B287" s="20">
        <v>21222112</v>
      </c>
      <c r="C287" s="20"/>
      <c r="D287" s="20">
        <v>0.25</v>
      </c>
      <c r="E287" s="4">
        <v>8</v>
      </c>
      <c r="F287" s="4">
        <v>5</v>
      </c>
      <c r="G287" s="4">
        <v>15</v>
      </c>
      <c r="H287" s="21">
        <v>5.6241000000000003</v>
      </c>
      <c r="I287" s="4">
        <v>8.0000000000000004E-4</v>
      </c>
      <c r="J287" s="20">
        <v>-28.642199999999999</v>
      </c>
      <c r="K287" s="4">
        <v>2.0000000000000001E-4</v>
      </c>
      <c r="L287" s="4">
        <v>3.2000000000000001E-2</v>
      </c>
      <c r="M287" s="4">
        <v>2E-3</v>
      </c>
      <c r="N287" s="4">
        <v>-7.3000000000000001E-3</v>
      </c>
      <c r="O287" s="4">
        <v>2.0000000000000001E-4</v>
      </c>
      <c r="P287" s="4">
        <v>128.94</v>
      </c>
      <c r="Q287" s="4">
        <v>0.06</v>
      </c>
      <c r="R287" s="20">
        <f t="shared" si="8"/>
        <v>0.30563555555555555</v>
      </c>
      <c r="S287" s="22">
        <f t="shared" si="6"/>
        <v>1.4222222222222221E-4</v>
      </c>
    </row>
    <row r="288" spans="1:19">
      <c r="A288" s="23" t="s">
        <v>121</v>
      </c>
      <c r="B288" s="4">
        <v>21222112</v>
      </c>
      <c r="D288" s="4">
        <v>0.5</v>
      </c>
      <c r="E288" s="4">
        <v>8</v>
      </c>
      <c r="F288" s="4">
        <v>5</v>
      </c>
      <c r="G288" s="4">
        <v>15</v>
      </c>
      <c r="H288" s="24">
        <v>5.3011999999999997</v>
      </c>
      <c r="I288" s="4">
        <v>5.0000000000000001E-4</v>
      </c>
      <c r="J288" s="4">
        <v>-27.161999999999999</v>
      </c>
      <c r="K288" s="4">
        <v>1.1000000000000001E-3</v>
      </c>
      <c r="L288" s="4">
        <v>3.3000000000000002E-2</v>
      </c>
      <c r="M288" s="4">
        <v>3.0000000000000001E-3</v>
      </c>
      <c r="N288" s="4">
        <v>-8.0999999999999996E-3</v>
      </c>
      <c r="O288" s="4">
        <v>2.9999999999999997E-4</v>
      </c>
      <c r="P288" s="4">
        <v>127.01</v>
      </c>
      <c r="Q288" s="4">
        <v>0.18</v>
      </c>
      <c r="R288" s="4">
        <f t="shared" si="8"/>
        <v>0.30106074074074074</v>
      </c>
      <c r="S288" s="22">
        <f t="shared" si="6"/>
        <v>4.2666666666666667E-4</v>
      </c>
    </row>
    <row r="289" spans="1:19">
      <c r="A289" s="28" t="s">
        <v>121</v>
      </c>
      <c r="B289" s="29">
        <v>21222112</v>
      </c>
      <c r="C289" s="29"/>
      <c r="D289" s="29">
        <v>0.75</v>
      </c>
      <c r="E289" s="4">
        <v>8</v>
      </c>
      <c r="F289" s="4">
        <v>5</v>
      </c>
      <c r="G289" s="4">
        <v>15</v>
      </c>
      <c r="H289" s="30">
        <v>4.9676</v>
      </c>
      <c r="I289" s="4">
        <v>5.9999999999999995E-4</v>
      </c>
      <c r="J289" s="29">
        <v>-25.828900000000001</v>
      </c>
      <c r="K289" s="4">
        <v>1.1999999999999999E-3</v>
      </c>
      <c r="L289" s="4">
        <v>5.3999999999999999E-2</v>
      </c>
      <c r="M289" s="4">
        <v>1.4999999999999999E-2</v>
      </c>
      <c r="N289" s="4">
        <v>-1.0699999999999999E-2</v>
      </c>
      <c r="O289" s="4">
        <v>2.0000000000000001E-4</v>
      </c>
      <c r="P289" s="4">
        <v>122.33</v>
      </c>
      <c r="Q289" s="4">
        <v>0.14000000000000001</v>
      </c>
      <c r="R289" s="29">
        <f t="shared" si="8"/>
        <v>0.2899674074074074</v>
      </c>
      <c r="S289" s="22">
        <f t="shared" si="6"/>
        <v>3.3185185185185189E-4</v>
      </c>
    </row>
    <row r="290" spans="1:19">
      <c r="A290" s="33" t="s">
        <v>121</v>
      </c>
      <c r="B290" s="34">
        <v>21222112</v>
      </c>
      <c r="C290" s="34"/>
      <c r="D290" s="34">
        <v>1</v>
      </c>
      <c r="E290" s="4">
        <v>8</v>
      </c>
      <c r="F290" s="4">
        <v>5</v>
      </c>
      <c r="G290" s="4">
        <v>15</v>
      </c>
      <c r="H290" s="34">
        <v>4.6269</v>
      </c>
      <c r="I290" s="4">
        <v>8.9999999999999998E-4</v>
      </c>
      <c r="J290" s="34">
        <v>-24.709</v>
      </c>
      <c r="K290" s="4">
        <v>2.2000000000000001E-3</v>
      </c>
      <c r="L290" s="4">
        <v>9.9000000000000005E-2</v>
      </c>
      <c r="M290" s="4">
        <v>1.4E-2</v>
      </c>
      <c r="N290" s="4">
        <v>-1.4800000000000001E-2</v>
      </c>
      <c r="O290" s="4">
        <v>5.0000000000000001E-4</v>
      </c>
      <c r="P290" s="4">
        <v>113.62</v>
      </c>
      <c r="Q290" s="4">
        <v>0.26</v>
      </c>
      <c r="R290" s="34">
        <f t="shared" si="8"/>
        <v>0.2693214814814815</v>
      </c>
      <c r="S290" s="22">
        <f t="shared" si="6"/>
        <v>6.1629629629629632E-4</v>
      </c>
    </row>
    <row r="291" spans="1:19">
      <c r="A291" s="19" t="s">
        <v>122</v>
      </c>
      <c r="B291" s="20">
        <v>22212121</v>
      </c>
      <c r="C291" s="20"/>
      <c r="D291" s="20">
        <v>0.25</v>
      </c>
      <c r="E291" s="4">
        <v>8</v>
      </c>
      <c r="F291" s="4">
        <v>5</v>
      </c>
      <c r="G291" s="4">
        <v>15</v>
      </c>
      <c r="H291" s="21">
        <v>5.6093000000000002</v>
      </c>
      <c r="I291" s="4">
        <v>5.0000000000000001E-4</v>
      </c>
      <c r="J291" s="20">
        <v>-28.637699999999999</v>
      </c>
      <c r="K291" s="4">
        <v>8.9999999999999998E-4</v>
      </c>
      <c r="L291" s="4">
        <v>2.9000000000000001E-2</v>
      </c>
      <c r="M291" s="4">
        <v>8.0000000000000002E-3</v>
      </c>
      <c r="N291" s="4">
        <v>-7.1999999999999998E-3</v>
      </c>
      <c r="O291" s="4">
        <v>2.0000000000000001E-4</v>
      </c>
      <c r="P291" s="4">
        <v>128.88</v>
      </c>
      <c r="Q291" s="4">
        <v>0.15</v>
      </c>
      <c r="R291" s="20">
        <f t="shared" si="8"/>
        <v>0.30549333333333334</v>
      </c>
      <c r="S291" s="22">
        <f t="shared" si="6"/>
        <v>3.5555555555555552E-4</v>
      </c>
    </row>
    <row r="292" spans="1:19">
      <c r="A292" s="23" t="s">
        <v>122</v>
      </c>
      <c r="B292" s="4">
        <v>22212121</v>
      </c>
      <c r="D292" s="4">
        <v>0.5</v>
      </c>
      <c r="E292" s="4">
        <v>8</v>
      </c>
      <c r="F292" s="4">
        <v>5</v>
      </c>
      <c r="G292" s="4">
        <v>15</v>
      </c>
      <c r="H292" s="24">
        <v>5.2622999999999998</v>
      </c>
      <c r="I292" s="4">
        <v>5.0000000000000001E-4</v>
      </c>
      <c r="J292" s="4">
        <v>-27.180099999999999</v>
      </c>
      <c r="K292" s="4">
        <v>6.9999999999999999E-4</v>
      </c>
      <c r="L292" s="4">
        <v>5.3999999999999999E-2</v>
      </c>
      <c r="M292" s="4">
        <v>1.2E-2</v>
      </c>
      <c r="N292" s="4">
        <v>-9.4999999999999998E-3</v>
      </c>
      <c r="O292" s="4">
        <v>2.9999999999999997E-4</v>
      </c>
      <c r="P292" s="4">
        <v>125.39</v>
      </c>
      <c r="Q292" s="4">
        <v>0.14000000000000001</v>
      </c>
      <c r="R292" s="4">
        <f t="shared" si="8"/>
        <v>0.29722074074074073</v>
      </c>
      <c r="S292" s="22">
        <f t="shared" si="6"/>
        <v>3.3185185185185189E-4</v>
      </c>
    </row>
    <row r="293" spans="1:19">
      <c r="A293" s="28" t="s">
        <v>122</v>
      </c>
      <c r="B293" s="29">
        <v>22212121</v>
      </c>
      <c r="C293" s="29"/>
      <c r="D293" s="29">
        <v>0.75</v>
      </c>
      <c r="E293" s="4">
        <v>8</v>
      </c>
      <c r="F293" s="4">
        <v>5</v>
      </c>
      <c r="G293" s="4">
        <v>15</v>
      </c>
      <c r="H293" s="30">
        <v>4.8920000000000003</v>
      </c>
      <c r="I293" s="4">
        <v>2.9999999999999997E-4</v>
      </c>
      <c r="J293" s="29">
        <v>-25.9176</v>
      </c>
      <c r="K293" s="4">
        <v>2.7000000000000001E-3</v>
      </c>
      <c r="L293" s="4">
        <v>0.107</v>
      </c>
      <c r="M293" s="4">
        <v>8.9999999999999993E-3</v>
      </c>
      <c r="N293" s="4">
        <v>-1.3599999999999999E-2</v>
      </c>
      <c r="O293" s="4">
        <v>5.0000000000000001E-4</v>
      </c>
      <c r="P293" s="4">
        <v>117.3</v>
      </c>
      <c r="Q293" s="4">
        <v>0.57999999999999996</v>
      </c>
      <c r="R293" s="29">
        <f t="shared" si="8"/>
        <v>0.27804444444444443</v>
      </c>
      <c r="S293" s="22">
        <f t="shared" si="6"/>
        <v>1.3748148148148148E-3</v>
      </c>
    </row>
    <row r="294" spans="1:19">
      <c r="A294" s="19" t="s">
        <v>123</v>
      </c>
      <c r="B294" s="20">
        <v>21122122</v>
      </c>
      <c r="C294" s="20"/>
      <c r="D294" s="20">
        <v>0.25</v>
      </c>
      <c r="E294" s="4">
        <v>8</v>
      </c>
      <c r="F294" s="4">
        <v>5</v>
      </c>
      <c r="G294" s="4">
        <v>15</v>
      </c>
      <c r="H294" s="21">
        <v>5.6391</v>
      </c>
      <c r="I294" s="4">
        <v>5.0000000000000001E-4</v>
      </c>
      <c r="J294" s="20">
        <v>-28.631499999999999</v>
      </c>
      <c r="K294" s="4">
        <v>8.9999999999999998E-4</v>
      </c>
      <c r="L294" s="4">
        <v>2.8000000000000001E-2</v>
      </c>
      <c r="M294" s="4">
        <v>6.0000000000000001E-3</v>
      </c>
      <c r="N294" s="4">
        <v>-7.1999999999999998E-3</v>
      </c>
      <c r="O294" s="4">
        <v>1E-4</v>
      </c>
      <c r="P294" s="4">
        <v>128.9</v>
      </c>
      <c r="Q294" s="4">
        <v>0.05</v>
      </c>
      <c r="R294" s="20">
        <f t="shared" si="8"/>
        <v>0.30554074074074078</v>
      </c>
      <c r="S294" s="22">
        <f t="shared" si="6"/>
        <v>1.1851851851851852E-4</v>
      </c>
    </row>
    <row r="295" spans="1:19">
      <c r="A295" s="23" t="s">
        <v>123</v>
      </c>
      <c r="B295" s="4">
        <v>21122122</v>
      </c>
      <c r="D295" s="4">
        <v>0.5</v>
      </c>
      <c r="E295" s="4">
        <v>8</v>
      </c>
      <c r="F295" s="4">
        <v>5</v>
      </c>
      <c r="G295" s="4">
        <v>15</v>
      </c>
      <c r="H295" s="24">
        <v>5.3281000000000001</v>
      </c>
      <c r="I295" s="4">
        <v>6.9999999999999999E-4</v>
      </c>
      <c r="J295" s="4">
        <v>-27.143000000000001</v>
      </c>
      <c r="K295" s="4">
        <v>1.6000000000000001E-3</v>
      </c>
      <c r="L295" s="4">
        <v>3.4000000000000002E-2</v>
      </c>
      <c r="M295" s="4">
        <v>8.9999999999999993E-3</v>
      </c>
      <c r="N295" s="4">
        <v>-8.5000000000000006E-3</v>
      </c>
      <c r="O295" s="4">
        <v>5.9999999999999995E-4</v>
      </c>
      <c r="P295" s="4">
        <v>126.51</v>
      </c>
      <c r="Q295" s="4">
        <v>0.35</v>
      </c>
      <c r="R295" s="4">
        <f t="shared" si="8"/>
        <v>0.29987555555555556</v>
      </c>
      <c r="S295" s="22">
        <f t="shared" si="6"/>
        <v>8.296296296296296E-4</v>
      </c>
    </row>
    <row r="296" spans="1:19">
      <c r="A296" s="28" t="s">
        <v>123</v>
      </c>
      <c r="B296" s="29">
        <v>21122122</v>
      </c>
      <c r="C296" s="29"/>
      <c r="D296" s="29">
        <v>0.75</v>
      </c>
      <c r="E296" s="4">
        <v>8</v>
      </c>
      <c r="F296" s="4">
        <v>5</v>
      </c>
      <c r="G296" s="4">
        <v>15</v>
      </c>
      <c r="H296" s="30">
        <v>5.0105000000000004</v>
      </c>
      <c r="I296" s="4">
        <v>5.9999999999999995E-4</v>
      </c>
      <c r="J296" s="29">
        <v>-25.796099999999999</v>
      </c>
      <c r="K296" s="4">
        <v>1.1000000000000001E-3</v>
      </c>
      <c r="L296" s="4">
        <v>0.04</v>
      </c>
      <c r="M296" s="4">
        <v>1.4E-2</v>
      </c>
      <c r="N296" s="4">
        <v>-1.0500000000000001E-2</v>
      </c>
      <c r="O296" s="4">
        <v>2.9999999999999997E-4</v>
      </c>
      <c r="P296" s="4">
        <v>121.99</v>
      </c>
      <c r="Q296" s="4">
        <v>0.2</v>
      </c>
      <c r="R296" s="29">
        <f t="shared" si="8"/>
        <v>0.28916148148148146</v>
      </c>
      <c r="S296" s="22">
        <f t="shared" si="6"/>
        <v>4.7407407407407408E-4</v>
      </c>
    </row>
    <row r="297" spans="1:19">
      <c r="A297" s="33" t="s">
        <v>123</v>
      </c>
      <c r="B297" s="34">
        <v>21122122</v>
      </c>
      <c r="C297" s="34"/>
      <c r="D297" s="34">
        <v>1</v>
      </c>
      <c r="E297" s="4">
        <v>8</v>
      </c>
      <c r="F297" s="4">
        <v>5</v>
      </c>
      <c r="G297" s="4">
        <v>15</v>
      </c>
      <c r="H297" s="34">
        <v>4.6840999999999999</v>
      </c>
      <c r="I297" s="4">
        <v>1E-3</v>
      </c>
      <c r="J297" s="34">
        <v>-24.660799999999998</v>
      </c>
      <c r="K297" s="4">
        <v>1.2999999999999999E-3</v>
      </c>
      <c r="L297" s="4">
        <v>8.5000000000000006E-2</v>
      </c>
      <c r="M297" s="4">
        <v>1.4E-2</v>
      </c>
      <c r="N297" s="4">
        <v>-1.49E-2</v>
      </c>
      <c r="O297" s="4">
        <v>2.9999999999999997E-4</v>
      </c>
      <c r="P297" s="4">
        <v>112.94</v>
      </c>
      <c r="Q297" s="4">
        <v>0.17</v>
      </c>
      <c r="R297" s="34">
        <f t="shared" si="8"/>
        <v>0.26770962962962963</v>
      </c>
      <c r="S297" s="22">
        <f t="shared" si="6"/>
        <v>4.0296296296296299E-4</v>
      </c>
    </row>
    <row r="298" spans="1:19">
      <c r="A298" s="19" t="s">
        <v>124</v>
      </c>
      <c r="B298" s="20">
        <v>22112212</v>
      </c>
      <c r="C298" s="20"/>
      <c r="D298" s="20">
        <v>0.25</v>
      </c>
      <c r="E298" s="4">
        <v>8</v>
      </c>
      <c r="F298" s="4">
        <v>5</v>
      </c>
      <c r="G298" s="4">
        <v>15</v>
      </c>
      <c r="H298" s="21">
        <v>5.6475999999999997</v>
      </c>
      <c r="I298" s="4">
        <v>2.0000000000000001E-4</v>
      </c>
      <c r="J298" s="20">
        <v>-28.607199999999999</v>
      </c>
      <c r="K298" s="4">
        <v>8.0000000000000004E-4</v>
      </c>
      <c r="L298" s="4">
        <v>3.4000000000000002E-2</v>
      </c>
      <c r="M298" s="4">
        <v>5.0000000000000001E-3</v>
      </c>
      <c r="N298" s="4">
        <v>-6.7999999999999996E-3</v>
      </c>
      <c r="O298" s="4">
        <v>2.9999999999999997E-4</v>
      </c>
      <c r="P298" s="4">
        <v>129.1</v>
      </c>
      <c r="Q298" s="4">
        <v>0.11</v>
      </c>
      <c r="R298" s="20">
        <f t="shared" si="8"/>
        <v>0.3060148148148148</v>
      </c>
      <c r="S298" s="22">
        <f t="shared" ref="S298:S414" si="9">Q298*E298/G298^3</f>
        <v>2.6074074074074075E-4</v>
      </c>
    </row>
    <row r="299" spans="1:19">
      <c r="A299" s="23" t="s">
        <v>124</v>
      </c>
      <c r="B299" s="4">
        <v>22112212</v>
      </c>
      <c r="D299" s="4">
        <v>0.5</v>
      </c>
      <c r="E299" s="4">
        <v>8</v>
      </c>
      <c r="F299" s="4">
        <v>5</v>
      </c>
      <c r="G299" s="4">
        <v>15</v>
      </c>
      <c r="H299" s="24">
        <v>5.3484999999999996</v>
      </c>
      <c r="I299" s="4">
        <v>8.9999999999999998E-4</v>
      </c>
      <c r="J299" s="4">
        <v>-27.0822</v>
      </c>
      <c r="K299" s="4">
        <v>1.1999999999999999E-3</v>
      </c>
      <c r="L299" s="4">
        <v>3.2000000000000001E-2</v>
      </c>
      <c r="M299" s="4">
        <v>2E-3</v>
      </c>
      <c r="N299" s="4">
        <v>-7.7999999999999996E-3</v>
      </c>
      <c r="O299" s="4">
        <v>4.0000000000000002E-4</v>
      </c>
      <c r="P299" s="4">
        <v>127.22</v>
      </c>
      <c r="Q299" s="4">
        <v>0.17</v>
      </c>
      <c r="R299" s="4">
        <f t="shared" si="8"/>
        <v>0.3015585185185185</v>
      </c>
      <c r="S299" s="22">
        <f t="shared" si="9"/>
        <v>4.0296296296296299E-4</v>
      </c>
    </row>
    <row r="300" spans="1:19">
      <c r="A300" s="28" t="s">
        <v>124</v>
      </c>
      <c r="B300" s="29">
        <v>22112212</v>
      </c>
      <c r="C300" s="29"/>
      <c r="D300" s="29">
        <v>0.75</v>
      </c>
      <c r="E300" s="4">
        <v>8</v>
      </c>
      <c r="F300" s="4">
        <v>5</v>
      </c>
      <c r="G300" s="4">
        <v>15</v>
      </c>
      <c r="H300" s="30">
        <v>5.0445000000000002</v>
      </c>
      <c r="I300" s="4">
        <v>5.0000000000000001E-4</v>
      </c>
      <c r="J300" s="29">
        <v>-25.683599999999998</v>
      </c>
      <c r="K300" s="4">
        <v>1E-3</v>
      </c>
      <c r="L300" s="4">
        <v>2.7E-2</v>
      </c>
      <c r="M300" s="4">
        <v>2E-3</v>
      </c>
      <c r="N300" s="4">
        <v>-9.5999999999999992E-3</v>
      </c>
      <c r="O300" s="4">
        <v>2.9999999999999997E-4</v>
      </c>
      <c r="P300" s="4">
        <v>123.31</v>
      </c>
      <c r="Q300" s="4">
        <v>0.14000000000000001</v>
      </c>
      <c r="R300" s="29">
        <f t="shared" si="8"/>
        <v>0.29229037037037037</v>
      </c>
      <c r="S300" s="22">
        <f t="shared" si="9"/>
        <v>3.3185185185185189E-4</v>
      </c>
    </row>
    <row r="301" spans="1:19">
      <c r="A301" s="33" t="s">
        <v>124</v>
      </c>
      <c r="B301" s="34">
        <v>22112212</v>
      </c>
      <c r="C301" s="34"/>
      <c r="D301" s="34">
        <v>1</v>
      </c>
      <c r="E301" s="4">
        <v>8</v>
      </c>
      <c r="F301" s="4">
        <v>5</v>
      </c>
      <c r="G301" s="4">
        <v>15</v>
      </c>
      <c r="H301" s="34">
        <v>4.7415000000000003</v>
      </c>
      <c r="I301" s="4">
        <v>5.0000000000000001E-4</v>
      </c>
      <c r="J301" s="34">
        <v>-24.458100000000002</v>
      </c>
      <c r="K301" s="4">
        <v>1.1000000000000001E-3</v>
      </c>
      <c r="L301" s="4">
        <v>4.2000000000000003E-2</v>
      </c>
      <c r="M301" s="4">
        <v>1.4E-2</v>
      </c>
      <c r="N301" s="4">
        <v>-1.2200000000000001E-2</v>
      </c>
      <c r="O301" s="4">
        <v>2.9999999999999997E-4</v>
      </c>
      <c r="P301" s="4">
        <v>116.86</v>
      </c>
      <c r="Q301" s="4">
        <v>0.25</v>
      </c>
      <c r="R301" s="34">
        <f t="shared" si="8"/>
        <v>0.27700148148148146</v>
      </c>
      <c r="S301" s="22">
        <f t="shared" si="9"/>
        <v>5.9259259259259258E-4</v>
      </c>
    </row>
    <row r="302" spans="1:19">
      <c r="A302" s="19" t="s">
        <v>125</v>
      </c>
      <c r="B302" s="20">
        <v>22112122</v>
      </c>
      <c r="C302" s="20"/>
      <c r="D302" s="20">
        <v>0.25</v>
      </c>
      <c r="E302" s="4">
        <v>8</v>
      </c>
      <c r="F302" s="4">
        <v>5</v>
      </c>
      <c r="G302" s="4">
        <v>15</v>
      </c>
      <c r="H302" s="21">
        <v>5.6612999999999998</v>
      </c>
      <c r="I302" s="4">
        <v>5.9999999999999995E-4</v>
      </c>
      <c r="J302" s="20">
        <v>-28.6236</v>
      </c>
      <c r="K302" s="4">
        <v>1.9E-3</v>
      </c>
      <c r="L302" s="4">
        <v>3.1E-2</v>
      </c>
      <c r="M302" s="4">
        <v>6.0000000000000001E-3</v>
      </c>
      <c r="N302" s="4">
        <v>-7.1999999999999998E-3</v>
      </c>
      <c r="O302" s="4">
        <v>2.0000000000000001E-4</v>
      </c>
      <c r="P302" s="4">
        <v>128.77000000000001</v>
      </c>
      <c r="Q302" s="4">
        <v>0.22</v>
      </c>
      <c r="R302" s="20">
        <f t="shared" si="8"/>
        <v>0.30523259259259261</v>
      </c>
      <c r="S302" s="22">
        <f t="shared" si="9"/>
        <v>5.2148148148148149E-4</v>
      </c>
    </row>
    <row r="303" spans="1:19">
      <c r="A303" s="23" t="s">
        <v>125</v>
      </c>
      <c r="B303" s="4">
        <v>22112122</v>
      </c>
      <c r="D303" s="4">
        <v>0.5</v>
      </c>
      <c r="E303" s="4">
        <v>8</v>
      </c>
      <c r="F303" s="4">
        <v>5</v>
      </c>
      <c r="G303" s="4">
        <v>15</v>
      </c>
      <c r="H303" s="24">
        <v>5.3752000000000004</v>
      </c>
      <c r="I303" s="4">
        <v>8.0000000000000004E-4</v>
      </c>
      <c r="J303" s="4">
        <v>-27.1282</v>
      </c>
      <c r="K303" s="4">
        <v>5.0000000000000001E-4</v>
      </c>
      <c r="L303" s="4">
        <v>2.8000000000000001E-2</v>
      </c>
      <c r="M303" s="4">
        <v>2E-3</v>
      </c>
      <c r="N303" s="4">
        <v>-8.0999999999999996E-3</v>
      </c>
      <c r="O303" s="4">
        <v>2.0000000000000001E-4</v>
      </c>
      <c r="P303" s="4">
        <v>126.46</v>
      </c>
      <c r="Q303" s="4">
        <v>0.14000000000000001</v>
      </c>
      <c r="R303" s="4">
        <f t="shared" si="8"/>
        <v>0.29975703703703704</v>
      </c>
      <c r="S303" s="22">
        <f t="shared" si="9"/>
        <v>3.3185185185185189E-4</v>
      </c>
    </row>
    <row r="304" spans="1:19">
      <c r="A304" s="28" t="s">
        <v>125</v>
      </c>
      <c r="B304" s="29">
        <v>22112122</v>
      </c>
      <c r="C304" s="29"/>
      <c r="D304" s="29">
        <v>0.75</v>
      </c>
      <c r="E304" s="4">
        <v>8</v>
      </c>
      <c r="F304" s="4">
        <v>5</v>
      </c>
      <c r="G304" s="4">
        <v>15</v>
      </c>
      <c r="H304" s="30">
        <v>5.0857000000000001</v>
      </c>
      <c r="I304" s="4">
        <v>6.9999999999999999E-4</v>
      </c>
      <c r="J304" s="29">
        <v>-25.777000000000001</v>
      </c>
      <c r="K304" s="4">
        <v>8.0000000000000004E-4</v>
      </c>
      <c r="L304" s="4">
        <v>2.7E-2</v>
      </c>
      <c r="M304" s="4">
        <v>2E-3</v>
      </c>
      <c r="N304" s="4">
        <v>-9.9000000000000008E-3</v>
      </c>
      <c r="O304" s="4">
        <v>2.0000000000000001E-4</v>
      </c>
      <c r="P304" s="4">
        <v>122.14</v>
      </c>
      <c r="Q304" s="4">
        <v>0.16</v>
      </c>
      <c r="R304" s="29">
        <f t="shared" si="8"/>
        <v>0.28951703703703702</v>
      </c>
      <c r="S304" s="22">
        <f t="shared" si="9"/>
        <v>3.7925925925925925E-4</v>
      </c>
    </row>
    <row r="305" spans="1:19">
      <c r="A305" s="33" t="s">
        <v>125</v>
      </c>
      <c r="B305" s="34">
        <v>22112122</v>
      </c>
      <c r="C305" s="34"/>
      <c r="D305" s="34">
        <v>1</v>
      </c>
      <c r="E305" s="4">
        <v>8</v>
      </c>
      <c r="F305" s="4">
        <v>5</v>
      </c>
      <c r="G305" s="4">
        <v>15</v>
      </c>
      <c r="H305" s="34">
        <v>4.8014999999999999</v>
      </c>
      <c r="I305" s="4">
        <v>1E-3</v>
      </c>
      <c r="J305" s="34">
        <v>-24.628799999999998</v>
      </c>
      <c r="K305" s="4">
        <v>5.9999999999999995E-4</v>
      </c>
      <c r="L305" s="4">
        <v>2.9000000000000001E-2</v>
      </c>
      <c r="M305" s="4">
        <v>0.01</v>
      </c>
      <c r="N305" s="4">
        <v>-1.32E-2</v>
      </c>
      <c r="O305" s="4">
        <v>2.0000000000000001E-4</v>
      </c>
      <c r="P305" s="4">
        <v>114.39</v>
      </c>
      <c r="Q305" s="4">
        <v>0.12</v>
      </c>
      <c r="R305" s="34">
        <f t="shared" si="8"/>
        <v>0.27114666666666665</v>
      </c>
      <c r="S305" s="22">
        <f t="shared" si="9"/>
        <v>2.8444444444444443E-4</v>
      </c>
    </row>
    <row r="306" spans="1:19">
      <c r="A306" s="19" t="s">
        <v>126</v>
      </c>
      <c r="B306" s="20">
        <v>21121222</v>
      </c>
      <c r="C306" s="20"/>
      <c r="D306" s="20">
        <v>0.25</v>
      </c>
      <c r="E306" s="4">
        <v>8</v>
      </c>
      <c r="F306" s="4">
        <v>5</v>
      </c>
      <c r="G306" s="4">
        <v>15</v>
      </c>
      <c r="H306" s="21">
        <v>5.6443000000000003</v>
      </c>
      <c r="I306" s="4">
        <v>5.0000000000000001E-4</v>
      </c>
      <c r="J306" s="20">
        <v>-28.678000000000001</v>
      </c>
      <c r="K306" s="4">
        <v>8.0000000000000004E-4</v>
      </c>
      <c r="L306" s="4">
        <v>0.03</v>
      </c>
      <c r="M306" s="4">
        <v>6.0000000000000001E-3</v>
      </c>
      <c r="N306" s="4">
        <v>-7.1000000000000004E-3</v>
      </c>
      <c r="O306" s="4">
        <v>1E-4</v>
      </c>
      <c r="P306" s="4">
        <v>128.79</v>
      </c>
      <c r="Q306" s="4">
        <v>0.15</v>
      </c>
      <c r="R306" s="20">
        <f t="shared" si="8"/>
        <v>0.30528</v>
      </c>
      <c r="S306" s="22">
        <f t="shared" si="9"/>
        <v>3.5555555555555552E-4</v>
      </c>
    </row>
    <row r="307" spans="1:19">
      <c r="A307" s="23" t="s">
        <v>126</v>
      </c>
      <c r="B307" s="4">
        <v>21121222</v>
      </c>
      <c r="D307" s="4">
        <v>0.5</v>
      </c>
      <c r="E307" s="4">
        <v>8</v>
      </c>
      <c r="F307" s="4">
        <v>5</v>
      </c>
      <c r="G307" s="4">
        <v>15</v>
      </c>
      <c r="H307" s="24">
        <v>5.3354999999999997</v>
      </c>
      <c r="I307" s="4">
        <v>1E-3</v>
      </c>
      <c r="J307" s="4">
        <v>-27.264900000000001</v>
      </c>
      <c r="K307" s="4">
        <v>1.1000000000000001E-3</v>
      </c>
      <c r="L307" s="4">
        <v>3.4000000000000002E-2</v>
      </c>
      <c r="M307" s="4">
        <v>8.0000000000000002E-3</v>
      </c>
      <c r="N307" s="4">
        <v>-8.3999999999999995E-3</v>
      </c>
      <c r="O307" s="4">
        <v>2.9999999999999997E-4</v>
      </c>
      <c r="P307" s="4">
        <v>125.63</v>
      </c>
      <c r="Q307" s="4">
        <v>0.21</v>
      </c>
      <c r="R307" s="4">
        <f t="shared" si="8"/>
        <v>0.29778962962962963</v>
      </c>
      <c r="S307" s="22">
        <f t="shared" si="9"/>
        <v>4.9777777777777776E-4</v>
      </c>
    </row>
    <row r="308" spans="1:19">
      <c r="A308" s="28" t="s">
        <v>126</v>
      </c>
      <c r="B308" s="29">
        <v>21121222</v>
      </c>
      <c r="C308" s="29"/>
      <c r="D308" s="29">
        <v>0.75</v>
      </c>
      <c r="E308" s="4">
        <v>8</v>
      </c>
      <c r="F308" s="4">
        <v>5</v>
      </c>
      <c r="G308" s="4">
        <v>15</v>
      </c>
      <c r="H308" s="30">
        <v>5.0167000000000002</v>
      </c>
      <c r="I308" s="4">
        <v>8.9999999999999998E-4</v>
      </c>
      <c r="J308" s="29">
        <v>-26.046700000000001</v>
      </c>
      <c r="K308" s="4">
        <v>6.9999999999999999E-4</v>
      </c>
      <c r="L308" s="4">
        <v>5.2999999999999999E-2</v>
      </c>
      <c r="M308" s="4">
        <v>1.4E-2</v>
      </c>
      <c r="N308" s="4">
        <v>-1.2E-2</v>
      </c>
      <c r="O308" s="4">
        <v>5.0000000000000001E-4</v>
      </c>
      <c r="P308" s="4">
        <v>118.66</v>
      </c>
      <c r="Q308" s="4">
        <v>0.36</v>
      </c>
      <c r="R308" s="29">
        <f t="shared" si="8"/>
        <v>0.28126814814814816</v>
      </c>
      <c r="S308" s="22">
        <f t="shared" si="9"/>
        <v>8.5333333333333333E-4</v>
      </c>
    </row>
    <row r="309" spans="1:19">
      <c r="A309" s="33" t="s">
        <v>126</v>
      </c>
      <c r="B309" s="34">
        <v>21121222</v>
      </c>
      <c r="C309" s="34"/>
      <c r="D309" s="34">
        <v>1</v>
      </c>
      <c r="E309" s="4">
        <v>8</v>
      </c>
      <c r="F309" s="4">
        <v>5</v>
      </c>
      <c r="G309" s="4">
        <v>15</v>
      </c>
      <c r="H309" s="34">
        <v>4.6814</v>
      </c>
      <c r="I309" s="4">
        <v>6.9999999999999999E-4</v>
      </c>
      <c r="J309" s="34">
        <v>-25.1419</v>
      </c>
      <c r="K309" s="4">
        <v>1.6000000000000001E-3</v>
      </c>
      <c r="L309" s="4">
        <v>0.104</v>
      </c>
      <c r="M309" s="4">
        <v>1.4999999999999999E-2</v>
      </c>
      <c r="N309" s="4">
        <v>-1.9300000000000001E-2</v>
      </c>
      <c r="O309" s="4">
        <v>4.0000000000000002E-4</v>
      </c>
      <c r="P309" s="4">
        <v>103.96</v>
      </c>
      <c r="Q309" s="4">
        <v>0.32</v>
      </c>
      <c r="R309" s="34">
        <f t="shared" si="8"/>
        <v>0.2464237037037037</v>
      </c>
      <c r="S309" s="22">
        <f t="shared" si="9"/>
        <v>7.585185185185185E-4</v>
      </c>
    </row>
    <row r="310" spans="1:19">
      <c r="A310" s="19" t="s">
        <v>127</v>
      </c>
      <c r="B310" s="20">
        <v>22122211</v>
      </c>
      <c r="C310" s="20"/>
      <c r="D310" s="20">
        <v>0.25</v>
      </c>
      <c r="E310" s="4">
        <v>8</v>
      </c>
      <c r="F310" s="4">
        <v>5</v>
      </c>
      <c r="G310" s="4">
        <v>15</v>
      </c>
      <c r="H310" s="21">
        <v>5.5842000000000001</v>
      </c>
      <c r="I310" s="4">
        <v>4.0000000000000002E-4</v>
      </c>
      <c r="J310" s="20">
        <v>-28.546199999999999</v>
      </c>
      <c r="K310" s="4">
        <v>1.1000000000000001E-3</v>
      </c>
      <c r="L310" s="4">
        <v>3.5000000000000003E-2</v>
      </c>
      <c r="M310" s="4">
        <v>3.0000000000000001E-3</v>
      </c>
      <c r="N310" s="4">
        <v>-7.7000000000000002E-3</v>
      </c>
      <c r="O310" s="4">
        <v>1E-4</v>
      </c>
      <c r="P310" s="4">
        <v>128.49</v>
      </c>
      <c r="Q310" s="4">
        <v>0.15</v>
      </c>
      <c r="R310" s="20">
        <f t="shared" si="8"/>
        <v>0.30456888888888889</v>
      </c>
      <c r="S310" s="22">
        <f t="shared" si="9"/>
        <v>3.5555555555555552E-4</v>
      </c>
    </row>
    <row r="311" spans="1:19">
      <c r="A311" s="23" t="s">
        <v>127</v>
      </c>
      <c r="B311" s="4">
        <v>22122211</v>
      </c>
      <c r="D311" s="4">
        <v>0.5</v>
      </c>
      <c r="E311" s="4">
        <v>8</v>
      </c>
      <c r="F311" s="4">
        <v>5</v>
      </c>
      <c r="G311" s="4">
        <v>15</v>
      </c>
      <c r="H311" s="24">
        <v>5.2062999999999997</v>
      </c>
      <c r="I311" s="4">
        <v>8.9999999999999998E-4</v>
      </c>
      <c r="J311" s="4">
        <v>-27.033899999999999</v>
      </c>
      <c r="K311" s="4">
        <v>1.2999999999999999E-3</v>
      </c>
      <c r="L311" s="4">
        <v>6.0999999999999999E-2</v>
      </c>
      <c r="M311" s="4">
        <v>1.0999999999999999E-2</v>
      </c>
      <c r="N311" s="4">
        <v>-0.01</v>
      </c>
      <c r="O311" s="4">
        <v>1E-4</v>
      </c>
      <c r="P311" s="4">
        <v>124.21</v>
      </c>
      <c r="Q311" s="4">
        <v>0.05</v>
      </c>
      <c r="R311" s="4">
        <f t="shared" si="8"/>
        <v>0.29442370370370369</v>
      </c>
      <c r="S311" s="22">
        <f t="shared" si="9"/>
        <v>1.1851851851851852E-4</v>
      </c>
    </row>
    <row r="312" spans="1:19">
      <c r="A312" s="28" t="s">
        <v>127</v>
      </c>
      <c r="B312" s="29">
        <v>22122211</v>
      </c>
      <c r="C312" s="29"/>
      <c r="D312" s="29">
        <v>0.75</v>
      </c>
      <c r="E312" s="4">
        <v>8</v>
      </c>
      <c r="F312" s="4">
        <v>5</v>
      </c>
      <c r="G312" s="4">
        <v>15</v>
      </c>
      <c r="H312" s="30">
        <v>4.7926000000000002</v>
      </c>
      <c r="I312" s="4">
        <v>4.0000000000000002E-4</v>
      </c>
      <c r="J312" s="29">
        <v>-25.810600000000001</v>
      </c>
      <c r="K312" s="4">
        <v>5.0000000000000001E-4</v>
      </c>
      <c r="L312" s="4">
        <v>0.13300000000000001</v>
      </c>
      <c r="M312" s="4">
        <v>1.2999999999999999E-2</v>
      </c>
      <c r="N312" s="4">
        <v>-1.7899999999999999E-2</v>
      </c>
      <c r="O312" s="4">
        <v>2.0000000000000001E-4</v>
      </c>
      <c r="P312" s="4">
        <v>110.94</v>
      </c>
      <c r="Q312" s="4">
        <v>0.27</v>
      </c>
      <c r="R312" s="29">
        <f t="shared" si="8"/>
        <v>0.26296888888888886</v>
      </c>
      <c r="S312" s="22">
        <f t="shared" si="9"/>
        <v>6.4000000000000005E-4</v>
      </c>
    </row>
    <row r="313" spans="1:19">
      <c r="A313" s="19" t="s">
        <v>128</v>
      </c>
      <c r="B313" s="20">
        <v>12212122</v>
      </c>
      <c r="C313" s="20"/>
      <c r="D313" s="20">
        <v>0.25</v>
      </c>
      <c r="E313" s="4">
        <v>8</v>
      </c>
      <c r="F313" s="4">
        <v>5</v>
      </c>
      <c r="G313" s="4">
        <v>15</v>
      </c>
      <c r="H313" s="21">
        <v>5.6125999999999996</v>
      </c>
      <c r="I313" s="4">
        <v>2.0000000000000001E-4</v>
      </c>
      <c r="J313" s="20">
        <v>-28.578800000000001</v>
      </c>
      <c r="K313" s="4">
        <v>8.0000000000000004E-4</v>
      </c>
      <c r="L313" s="4">
        <v>0.04</v>
      </c>
      <c r="M313" s="4">
        <v>5.0000000000000001E-3</v>
      </c>
      <c r="N313" s="4">
        <v>-7.4000000000000003E-3</v>
      </c>
      <c r="O313" s="4">
        <v>4.0000000000000002E-4</v>
      </c>
      <c r="P313" s="4">
        <v>129.06</v>
      </c>
      <c r="Q313" s="4">
        <v>0.27</v>
      </c>
      <c r="R313" s="20">
        <f t="shared" si="8"/>
        <v>0.30592000000000003</v>
      </c>
      <c r="S313" s="22">
        <f t="shared" si="9"/>
        <v>6.4000000000000005E-4</v>
      </c>
    </row>
    <row r="314" spans="1:19">
      <c r="A314" s="23" t="s">
        <v>128</v>
      </c>
      <c r="B314" s="4">
        <v>12212122</v>
      </c>
      <c r="D314" s="4">
        <v>0.5</v>
      </c>
      <c r="E314" s="4">
        <v>8</v>
      </c>
      <c r="F314" s="4">
        <v>5</v>
      </c>
      <c r="G314" s="4">
        <v>15</v>
      </c>
      <c r="H314" s="24">
        <v>5.2770999999999999</v>
      </c>
      <c r="I314" s="4">
        <v>6.9999999999999999E-4</v>
      </c>
      <c r="J314" s="4">
        <v>-27.020900000000001</v>
      </c>
      <c r="K314" s="4">
        <v>6.9999999999999999E-4</v>
      </c>
      <c r="L314" s="4">
        <v>3.5999999999999997E-2</v>
      </c>
      <c r="M314" s="4">
        <v>6.0000000000000001E-3</v>
      </c>
      <c r="N314" s="4">
        <v>-8.2000000000000007E-3</v>
      </c>
      <c r="O314" s="4">
        <v>2.0000000000000001E-4</v>
      </c>
      <c r="P314" s="4">
        <v>127.25</v>
      </c>
      <c r="Q314" s="4">
        <v>0.22</v>
      </c>
      <c r="R314" s="4">
        <f t="shared" si="8"/>
        <v>0.30162962962962964</v>
      </c>
      <c r="S314" s="22">
        <f t="shared" si="9"/>
        <v>5.2148148148148149E-4</v>
      </c>
    </row>
    <row r="315" spans="1:19">
      <c r="A315" s="28" t="s">
        <v>128</v>
      </c>
      <c r="B315" s="29">
        <v>12212122</v>
      </c>
      <c r="C315" s="29"/>
      <c r="D315" s="29">
        <v>0.75</v>
      </c>
      <c r="E315" s="4">
        <v>8</v>
      </c>
      <c r="F315" s="4">
        <v>5</v>
      </c>
      <c r="G315" s="4">
        <v>15</v>
      </c>
      <c r="H315" s="30">
        <v>4.9321000000000002</v>
      </c>
      <c r="I315" s="4">
        <v>1E-3</v>
      </c>
      <c r="J315" s="29">
        <v>-25.5868</v>
      </c>
      <c r="K315" s="4">
        <v>8.9999999999999998E-4</v>
      </c>
      <c r="L315" s="4">
        <v>4.7E-2</v>
      </c>
      <c r="M315" s="4">
        <v>4.0000000000000001E-3</v>
      </c>
      <c r="N315" s="4">
        <v>-1.0699999999999999E-2</v>
      </c>
      <c r="O315" s="4">
        <v>2.0000000000000001E-4</v>
      </c>
      <c r="P315" s="4">
        <v>123.04</v>
      </c>
      <c r="Q315" s="4">
        <v>0.24</v>
      </c>
      <c r="R315" s="29">
        <f t="shared" si="8"/>
        <v>0.29165037037037039</v>
      </c>
      <c r="S315" s="22">
        <f t="shared" si="9"/>
        <v>5.6888888888888885E-4</v>
      </c>
    </row>
    <row r="316" spans="1:19">
      <c r="A316" s="33" t="s">
        <v>128</v>
      </c>
      <c r="B316" s="34">
        <v>12212122</v>
      </c>
      <c r="C316" s="34"/>
      <c r="D316" s="34">
        <v>1</v>
      </c>
      <c r="E316" s="4">
        <v>8</v>
      </c>
      <c r="F316" s="4">
        <v>5</v>
      </c>
      <c r="G316" s="4">
        <v>15</v>
      </c>
      <c r="H316" s="34">
        <v>4.5762999999999998</v>
      </c>
      <c r="I316" s="4">
        <v>8.9999999999999998E-4</v>
      </c>
      <c r="J316" s="34">
        <v>-24.3309</v>
      </c>
      <c r="K316" s="4">
        <v>1.1999999999999999E-3</v>
      </c>
      <c r="L316" s="4">
        <v>9.2999999999999999E-2</v>
      </c>
      <c r="M316" s="4">
        <v>7.0000000000000001E-3</v>
      </c>
      <c r="N316" s="4">
        <v>-1.49E-2</v>
      </c>
      <c r="O316" s="4">
        <v>5.9999999999999995E-4</v>
      </c>
      <c r="P316" s="4">
        <v>115.08</v>
      </c>
      <c r="Q316" s="4">
        <v>0.23</v>
      </c>
      <c r="R316" s="34">
        <f t="shared" si="8"/>
        <v>0.2727822222222222</v>
      </c>
      <c r="S316" s="22">
        <f t="shared" si="9"/>
        <v>5.4518518518518523E-4</v>
      </c>
    </row>
    <row r="317" spans="1:19">
      <c r="A317" s="19" t="s">
        <v>129</v>
      </c>
      <c r="B317" s="20">
        <v>12212212</v>
      </c>
      <c r="C317" s="20"/>
      <c r="D317" s="20">
        <v>0.25</v>
      </c>
      <c r="E317" s="4">
        <v>8</v>
      </c>
      <c r="F317" s="4">
        <v>5</v>
      </c>
      <c r="G317" s="4">
        <v>15</v>
      </c>
      <c r="H317" s="21">
        <v>5.5968999999999998</v>
      </c>
      <c r="I317" s="4">
        <v>5.0000000000000001E-4</v>
      </c>
      <c r="J317" s="20">
        <v>-28.578099999999999</v>
      </c>
      <c r="K317" s="4">
        <v>1.9E-3</v>
      </c>
      <c r="L317" s="4">
        <v>3.5000000000000003E-2</v>
      </c>
      <c r="M317" s="4">
        <v>3.0000000000000001E-3</v>
      </c>
      <c r="N317" s="4">
        <v>-6.7999999999999996E-3</v>
      </c>
      <c r="O317" s="4">
        <v>1E-4</v>
      </c>
      <c r="P317" s="4">
        <v>129.43</v>
      </c>
      <c r="Q317" s="4">
        <v>0.1</v>
      </c>
      <c r="R317" s="20">
        <f t="shared" si="8"/>
        <v>0.30679703703703703</v>
      </c>
      <c r="S317" s="22">
        <f t="shared" si="9"/>
        <v>2.3703703703703704E-4</v>
      </c>
    </row>
    <row r="318" spans="1:19">
      <c r="A318" s="23" t="s">
        <v>129</v>
      </c>
      <c r="B318" s="4">
        <v>12212212</v>
      </c>
      <c r="D318" s="4">
        <v>0.5</v>
      </c>
      <c r="E318" s="4">
        <v>8</v>
      </c>
      <c r="F318" s="4">
        <v>5</v>
      </c>
      <c r="G318" s="4">
        <v>15</v>
      </c>
      <c r="H318" s="24">
        <v>5.2469999999999999</v>
      </c>
      <c r="I318" s="4">
        <v>8.0000000000000004E-4</v>
      </c>
      <c r="J318" s="4">
        <v>-27.012599999999999</v>
      </c>
      <c r="K318" s="4">
        <v>5.9999999999999995E-4</v>
      </c>
      <c r="L318" s="4">
        <v>3.5999999999999997E-2</v>
      </c>
      <c r="M318" s="4">
        <v>7.0000000000000001E-3</v>
      </c>
      <c r="N318" s="4">
        <v>-8.3999999999999995E-3</v>
      </c>
      <c r="O318" s="4">
        <v>2.0000000000000001E-4</v>
      </c>
      <c r="P318" s="4">
        <v>127.6</v>
      </c>
      <c r="Q318" s="4">
        <v>0.15</v>
      </c>
      <c r="R318" s="4">
        <f t="shared" si="8"/>
        <v>0.30245925925925926</v>
      </c>
      <c r="S318" s="22">
        <f t="shared" si="9"/>
        <v>3.5555555555555552E-4</v>
      </c>
    </row>
    <row r="319" spans="1:19">
      <c r="A319" s="28" t="s">
        <v>129</v>
      </c>
      <c r="B319" s="29">
        <v>12212212</v>
      </c>
      <c r="C319" s="29"/>
      <c r="D319" s="29">
        <v>0.75</v>
      </c>
      <c r="E319" s="4">
        <v>8</v>
      </c>
      <c r="F319" s="4">
        <v>5</v>
      </c>
      <c r="G319" s="4">
        <v>15</v>
      </c>
      <c r="H319" s="30">
        <v>4.8883999999999999</v>
      </c>
      <c r="I319" s="4">
        <v>2.9999999999999997E-4</v>
      </c>
      <c r="J319" s="29">
        <v>-25.561199999999999</v>
      </c>
      <c r="K319" s="4">
        <v>2.3999999999999998E-3</v>
      </c>
      <c r="L319" s="4">
        <v>5.2999999999999999E-2</v>
      </c>
      <c r="M319" s="4">
        <v>0.01</v>
      </c>
      <c r="N319" s="4">
        <v>-1.0500000000000001E-2</v>
      </c>
      <c r="O319" s="4">
        <v>5.0000000000000001E-4</v>
      </c>
      <c r="P319" s="4">
        <v>124</v>
      </c>
      <c r="Q319" s="4">
        <v>0.33</v>
      </c>
      <c r="R319" s="29">
        <f t="shared" si="8"/>
        <v>0.29392592592592592</v>
      </c>
      <c r="S319" s="22">
        <f t="shared" si="9"/>
        <v>7.8222222222222224E-4</v>
      </c>
    </row>
    <row r="320" spans="1:19">
      <c r="A320" s="33" t="s">
        <v>129</v>
      </c>
      <c r="B320" s="34">
        <v>12212212</v>
      </c>
      <c r="C320" s="34"/>
      <c r="D320" s="34">
        <v>1</v>
      </c>
      <c r="E320" s="4">
        <v>8</v>
      </c>
      <c r="F320" s="4">
        <v>5</v>
      </c>
      <c r="G320" s="4">
        <v>15</v>
      </c>
      <c r="H320" s="34">
        <v>4.5143000000000004</v>
      </c>
      <c r="I320" s="4">
        <v>8.0000000000000004E-4</v>
      </c>
      <c r="J320" s="34">
        <v>-24.2729</v>
      </c>
      <c r="K320" s="4">
        <v>1.2999999999999999E-3</v>
      </c>
      <c r="L320" s="4">
        <v>0.10100000000000001</v>
      </c>
      <c r="M320" s="4">
        <v>0.01</v>
      </c>
      <c r="N320" s="4">
        <v>-1.43E-2</v>
      </c>
      <c r="O320" s="4">
        <v>4.0000000000000002E-4</v>
      </c>
      <c r="P320" s="4">
        <v>116.97</v>
      </c>
      <c r="Q320" s="4">
        <v>0.22</v>
      </c>
      <c r="R320" s="34">
        <f t="shared" si="8"/>
        <v>0.27726222222222224</v>
      </c>
      <c r="S320" s="22">
        <f t="shared" si="9"/>
        <v>5.2148148148148149E-4</v>
      </c>
    </row>
    <row r="321" spans="1:19">
      <c r="A321" s="19" t="s">
        <v>130</v>
      </c>
      <c r="B321" s="20">
        <v>21211222</v>
      </c>
      <c r="C321" s="20"/>
      <c r="D321" s="20">
        <v>0.25</v>
      </c>
      <c r="E321" s="4">
        <v>8</v>
      </c>
      <c r="F321" s="4">
        <v>5</v>
      </c>
      <c r="G321" s="4">
        <v>15</v>
      </c>
      <c r="H321" s="21">
        <v>5.6524999999999999</v>
      </c>
      <c r="I321" s="4">
        <v>2.0000000000000001E-4</v>
      </c>
      <c r="J321" s="20">
        <v>-28.6541</v>
      </c>
      <c r="K321" s="4">
        <v>1.4E-3</v>
      </c>
      <c r="L321" s="4">
        <v>2.9000000000000001E-2</v>
      </c>
      <c r="M321" s="4">
        <v>5.0000000000000001E-3</v>
      </c>
      <c r="N321" s="4">
        <v>-7.3000000000000001E-3</v>
      </c>
      <c r="O321" s="4">
        <v>2.0000000000000001E-4</v>
      </c>
      <c r="P321" s="4">
        <v>128.72</v>
      </c>
      <c r="Q321" s="4">
        <v>0.15</v>
      </c>
      <c r="R321" s="20">
        <f t="shared" si="8"/>
        <v>0.30511407407407409</v>
      </c>
      <c r="S321" s="22">
        <f t="shared" si="9"/>
        <v>3.5555555555555552E-4</v>
      </c>
    </row>
    <row r="322" spans="1:19">
      <c r="A322" s="23" t="s">
        <v>130</v>
      </c>
      <c r="B322" s="4">
        <v>21211222</v>
      </c>
      <c r="D322" s="4">
        <v>0.5</v>
      </c>
      <c r="E322" s="4">
        <v>8</v>
      </c>
      <c r="F322" s="4">
        <v>5</v>
      </c>
      <c r="G322" s="4">
        <v>15</v>
      </c>
      <c r="H322" s="24">
        <v>5.3547000000000002</v>
      </c>
      <c r="I322" s="4">
        <v>5.9999999999999995E-4</v>
      </c>
      <c r="J322" s="4">
        <v>-27.204699999999999</v>
      </c>
      <c r="K322" s="4">
        <v>1.8E-3</v>
      </c>
      <c r="L322" s="4">
        <v>0.03</v>
      </c>
      <c r="M322" s="4">
        <v>5.0000000000000001E-3</v>
      </c>
      <c r="N322" s="4">
        <v>-8.6999999999999994E-3</v>
      </c>
      <c r="O322" s="4">
        <v>4.0000000000000002E-4</v>
      </c>
      <c r="P322" s="4">
        <v>125.96</v>
      </c>
      <c r="Q322" s="4">
        <v>0.26</v>
      </c>
      <c r="R322" s="4">
        <f t="shared" si="8"/>
        <v>0.29857185185185181</v>
      </c>
      <c r="S322" s="22">
        <f t="shared" si="9"/>
        <v>6.1629629629629632E-4</v>
      </c>
    </row>
    <row r="323" spans="1:19">
      <c r="A323" s="28" t="s">
        <v>130</v>
      </c>
      <c r="B323" s="29">
        <v>21211222</v>
      </c>
      <c r="C323" s="29"/>
      <c r="D323" s="29">
        <v>0.75</v>
      </c>
      <c r="E323" s="4">
        <v>8</v>
      </c>
      <c r="F323" s="4">
        <v>5</v>
      </c>
      <c r="G323" s="4">
        <v>15</v>
      </c>
      <c r="H323" s="30">
        <v>5.0507</v>
      </c>
      <c r="I323" s="4">
        <v>2.9999999999999997E-4</v>
      </c>
      <c r="J323" s="29">
        <v>-25.9253</v>
      </c>
      <c r="K323" s="4">
        <v>8.0000000000000004E-4</v>
      </c>
      <c r="L323" s="4">
        <v>3.5999999999999997E-2</v>
      </c>
      <c r="M323" s="4">
        <v>1.2999999999999999E-2</v>
      </c>
      <c r="N323" s="4">
        <v>-1.09E-2</v>
      </c>
      <c r="O323" s="4">
        <v>4.0000000000000002E-4</v>
      </c>
      <c r="P323" s="4">
        <v>120.41</v>
      </c>
      <c r="Q323" s="4">
        <v>0.2</v>
      </c>
      <c r="R323" s="29">
        <f t="shared" si="8"/>
        <v>0.28541629629629628</v>
      </c>
      <c r="S323" s="22">
        <f t="shared" si="9"/>
        <v>4.7407407407407408E-4</v>
      </c>
    </row>
    <row r="324" spans="1:19">
      <c r="A324" s="33" t="s">
        <v>130</v>
      </c>
      <c r="B324" s="34">
        <v>21211222</v>
      </c>
      <c r="C324" s="34"/>
      <c r="D324" s="34">
        <v>1</v>
      </c>
      <c r="E324" s="4">
        <v>8</v>
      </c>
      <c r="F324" s="4">
        <v>5</v>
      </c>
      <c r="G324" s="4">
        <v>15</v>
      </c>
      <c r="H324" s="34">
        <v>4.7441000000000004</v>
      </c>
      <c r="I324" s="4">
        <v>8.0000000000000004E-4</v>
      </c>
      <c r="J324" s="34">
        <v>-24.904699999999998</v>
      </c>
      <c r="K324" s="4">
        <v>1.2999999999999999E-3</v>
      </c>
      <c r="L324" s="4">
        <v>7.4999999999999997E-2</v>
      </c>
      <c r="M324" s="4">
        <v>3.0000000000000001E-3</v>
      </c>
      <c r="N324" s="4">
        <v>-1.5699999999999999E-2</v>
      </c>
      <c r="O324" s="4">
        <v>4.0000000000000002E-4</v>
      </c>
      <c r="P324" s="4">
        <v>109.93</v>
      </c>
      <c r="Q324" s="4">
        <v>0.3</v>
      </c>
      <c r="R324" s="34">
        <f t="shared" si="8"/>
        <v>0.26057481481481481</v>
      </c>
      <c r="S324" s="22">
        <f t="shared" si="9"/>
        <v>7.1111111111111104E-4</v>
      </c>
    </row>
    <row r="325" spans="1:19">
      <c r="A325" s="44" t="s">
        <v>131</v>
      </c>
      <c r="B325" s="45">
        <v>11212222</v>
      </c>
      <c r="C325" s="45"/>
      <c r="D325" s="45">
        <v>0.25</v>
      </c>
      <c r="E325" s="4">
        <v>8</v>
      </c>
      <c r="F325" s="4">
        <v>5</v>
      </c>
      <c r="G325" s="4">
        <v>15</v>
      </c>
      <c r="H325" s="46">
        <v>5.5861999999999998</v>
      </c>
      <c r="I325" s="4">
        <v>5.0000000000000001E-4</v>
      </c>
      <c r="J325" s="45">
        <v>-28.6418</v>
      </c>
      <c r="K325" s="4">
        <v>8.9999999999999998E-4</v>
      </c>
      <c r="L325" s="4">
        <v>3.5000000000000003E-2</v>
      </c>
      <c r="M325" s="4">
        <v>4.0000000000000001E-3</v>
      </c>
      <c r="N325" s="4">
        <v>-8.0000000000000002E-3</v>
      </c>
      <c r="O325" s="4">
        <v>2.0000000000000001E-4</v>
      </c>
      <c r="P325" s="4">
        <v>127.95</v>
      </c>
      <c r="Q325" s="4">
        <v>0.13</v>
      </c>
      <c r="R325" s="20">
        <f t="shared" si="8"/>
        <v>0.30328888888888889</v>
      </c>
      <c r="S325" s="22">
        <f t="shared" si="9"/>
        <v>3.0814814814814816E-4</v>
      </c>
    </row>
    <row r="326" spans="1:19">
      <c r="A326" s="23" t="s">
        <v>131</v>
      </c>
      <c r="B326" s="4">
        <v>11212222</v>
      </c>
      <c r="D326" s="4">
        <v>0.5</v>
      </c>
      <c r="E326" s="4">
        <v>8</v>
      </c>
      <c r="F326" s="4">
        <v>5</v>
      </c>
      <c r="G326" s="4">
        <v>15</v>
      </c>
      <c r="H326" s="24">
        <v>5.1976000000000004</v>
      </c>
      <c r="I326" s="4">
        <v>5.9999999999999995E-4</v>
      </c>
      <c r="J326" s="4">
        <v>-27.3154</v>
      </c>
      <c r="K326" s="4">
        <v>1E-3</v>
      </c>
      <c r="L326" s="4">
        <v>8.7999999999999995E-2</v>
      </c>
      <c r="M326" s="4">
        <v>8.0000000000000002E-3</v>
      </c>
      <c r="N326" s="4">
        <v>-1.24E-2</v>
      </c>
      <c r="O326" s="4">
        <v>1E-4</v>
      </c>
      <c r="P326" s="4">
        <v>120.22</v>
      </c>
      <c r="Q326" s="4">
        <v>0.22</v>
      </c>
      <c r="R326" s="4">
        <f t="shared" si="8"/>
        <v>0.2849659259259259</v>
      </c>
      <c r="S326" s="22">
        <f t="shared" si="9"/>
        <v>5.2148148148148149E-4</v>
      </c>
    </row>
    <row r="327" spans="1:19">
      <c r="A327" s="28" t="s">
        <v>131</v>
      </c>
      <c r="B327" s="29">
        <v>11212222</v>
      </c>
      <c r="C327" s="29"/>
      <c r="D327" s="29">
        <v>0.75</v>
      </c>
      <c r="E327" s="4">
        <v>8</v>
      </c>
      <c r="F327" s="4">
        <v>5</v>
      </c>
      <c r="G327" s="4">
        <v>15</v>
      </c>
      <c r="H327" s="32">
        <v>4.7164999999999999</v>
      </c>
      <c r="I327" s="4">
        <v>1E-3</v>
      </c>
      <c r="J327" s="29">
        <v>-26.5304</v>
      </c>
      <c r="K327" s="4">
        <v>1.4E-3</v>
      </c>
      <c r="L327" s="4">
        <v>6.6000000000000003E-2</v>
      </c>
      <c r="M327" s="4">
        <v>1.0999999999999999E-2</v>
      </c>
      <c r="N327" s="4">
        <v>-2.5399999999999999E-2</v>
      </c>
      <c r="O327" s="4">
        <v>2.9999999999999997E-4</v>
      </c>
      <c r="P327" s="4">
        <v>93.32</v>
      </c>
      <c r="Q327" s="4">
        <v>0.45</v>
      </c>
      <c r="R327" s="29">
        <f t="shared" si="8"/>
        <v>0.22120296296296293</v>
      </c>
      <c r="S327" s="22">
        <f t="shared" si="9"/>
        <v>1.0666666666666667E-3</v>
      </c>
    </row>
    <row r="328" spans="1:19">
      <c r="A328" s="19" t="s">
        <v>132</v>
      </c>
      <c r="B328" s="20">
        <v>12222121</v>
      </c>
      <c r="C328" s="20"/>
      <c r="D328" s="20">
        <v>0.25</v>
      </c>
      <c r="E328" s="4">
        <v>8</v>
      </c>
      <c r="F328" s="4">
        <v>5</v>
      </c>
      <c r="G328" s="4">
        <v>15</v>
      </c>
      <c r="H328" s="21">
        <v>5.5510999999999999</v>
      </c>
      <c r="I328" s="4">
        <v>5.9999999999999995E-4</v>
      </c>
      <c r="J328" s="20">
        <v>-28.4939</v>
      </c>
      <c r="K328" s="4">
        <v>4.0000000000000002E-4</v>
      </c>
      <c r="L328" s="4">
        <v>3.4000000000000002E-2</v>
      </c>
      <c r="M328" s="4">
        <v>4.0000000000000001E-3</v>
      </c>
      <c r="N328" s="4">
        <v>-7.4999999999999997E-3</v>
      </c>
      <c r="O328" s="4">
        <v>2.0000000000000001E-4</v>
      </c>
      <c r="P328" s="4">
        <v>128.97999999999999</v>
      </c>
      <c r="Q328" s="4">
        <v>0.11</v>
      </c>
      <c r="R328" s="20">
        <f t="shared" si="8"/>
        <v>0.30573037037037032</v>
      </c>
      <c r="S328" s="22">
        <f t="shared" si="9"/>
        <v>2.6074074074074075E-4</v>
      </c>
    </row>
    <row r="329" spans="1:19">
      <c r="A329" s="23" t="s">
        <v>132</v>
      </c>
      <c r="B329" s="4">
        <v>12222121</v>
      </c>
      <c r="D329" s="4">
        <v>0.5</v>
      </c>
      <c r="E329" s="4">
        <v>8</v>
      </c>
      <c r="F329" s="4">
        <v>5</v>
      </c>
      <c r="G329" s="4">
        <v>15</v>
      </c>
      <c r="H329" s="24">
        <v>5.1429</v>
      </c>
      <c r="I329" s="4">
        <v>1E-3</v>
      </c>
      <c r="J329" s="4">
        <v>-26.902799999999999</v>
      </c>
      <c r="K329" s="4">
        <v>5.9999999999999995E-4</v>
      </c>
      <c r="L329" s="4">
        <v>6.6000000000000003E-2</v>
      </c>
      <c r="M329" s="4">
        <v>1.0999999999999999E-2</v>
      </c>
      <c r="N329" s="4">
        <v>-9.4999999999999998E-3</v>
      </c>
      <c r="O329" s="4">
        <v>5.0000000000000001E-4</v>
      </c>
      <c r="P329" s="4">
        <v>125.77</v>
      </c>
      <c r="Q329" s="4">
        <v>0.27</v>
      </c>
      <c r="R329" s="4">
        <f t="shared" si="8"/>
        <v>0.29812148148148149</v>
      </c>
      <c r="S329" s="22">
        <f t="shared" si="9"/>
        <v>6.4000000000000005E-4</v>
      </c>
    </row>
    <row r="330" spans="1:19">
      <c r="A330" s="28" t="s">
        <v>132</v>
      </c>
      <c r="B330" s="29">
        <v>12222121</v>
      </c>
      <c r="C330" s="29"/>
      <c r="D330" s="29">
        <v>0.75</v>
      </c>
      <c r="E330" s="4">
        <v>8</v>
      </c>
      <c r="F330" s="4">
        <v>5</v>
      </c>
      <c r="G330" s="4">
        <v>15</v>
      </c>
      <c r="H330" s="41">
        <v>4.6978999999999997</v>
      </c>
      <c r="I330" s="4">
        <v>4.0000000000000002E-4</v>
      </c>
      <c r="J330" s="29">
        <v>-25.542100000000001</v>
      </c>
      <c r="K330" s="4">
        <v>1.1999999999999999E-3</v>
      </c>
      <c r="L330" s="4">
        <v>0.16500000000000001</v>
      </c>
      <c r="M330" s="4">
        <v>1.6E-2</v>
      </c>
      <c r="N330" s="4">
        <v>-1.5100000000000001E-2</v>
      </c>
      <c r="O330" s="4">
        <v>2.9999999999999997E-4</v>
      </c>
      <c r="P330" s="4">
        <v>116.64</v>
      </c>
      <c r="Q330" s="4">
        <v>0.37</v>
      </c>
      <c r="R330" s="29">
        <f t="shared" si="8"/>
        <v>0.27648</v>
      </c>
      <c r="S330" s="22">
        <f t="shared" si="9"/>
        <v>8.7703703703703706E-4</v>
      </c>
    </row>
    <row r="331" spans="1:19">
      <c r="A331" s="19" t="s">
        <v>133</v>
      </c>
      <c r="B331" s="20">
        <v>22121212</v>
      </c>
      <c r="C331" s="20"/>
      <c r="D331" s="20">
        <v>0.25</v>
      </c>
      <c r="E331" s="4">
        <v>8</v>
      </c>
      <c r="F331" s="4">
        <v>5</v>
      </c>
      <c r="G331" s="4">
        <v>15</v>
      </c>
      <c r="H331" s="21">
        <v>5.6459999999999999</v>
      </c>
      <c r="I331" s="4">
        <v>5.0000000000000001E-4</v>
      </c>
      <c r="J331" s="20">
        <v>-28.734500000000001</v>
      </c>
      <c r="K331" s="4">
        <v>1.8E-3</v>
      </c>
      <c r="L331" s="4">
        <v>3.7999999999999999E-2</v>
      </c>
      <c r="M331" s="4">
        <v>5.0000000000000001E-3</v>
      </c>
      <c r="N331" s="4">
        <v>-6.8999999999999999E-3</v>
      </c>
      <c r="O331" s="4">
        <v>2.9999999999999997E-4</v>
      </c>
      <c r="P331" s="4">
        <v>129.29</v>
      </c>
      <c r="Q331" s="4">
        <v>0.3</v>
      </c>
      <c r="R331" s="20">
        <f t="shared" si="8"/>
        <v>0.30646518518518517</v>
      </c>
      <c r="S331" s="22">
        <f t="shared" si="9"/>
        <v>7.1111111111111104E-4</v>
      </c>
    </row>
    <row r="332" spans="1:19">
      <c r="A332" s="23" t="s">
        <v>133</v>
      </c>
      <c r="B332" s="4">
        <v>22121212</v>
      </c>
      <c r="D332" s="4">
        <v>0.5</v>
      </c>
      <c r="E332" s="4">
        <v>8</v>
      </c>
      <c r="F332" s="4">
        <v>5</v>
      </c>
      <c r="G332" s="4">
        <v>15</v>
      </c>
      <c r="H332" s="24">
        <v>5.3484999999999996</v>
      </c>
      <c r="I332" s="4">
        <v>1E-3</v>
      </c>
      <c r="J332" s="4">
        <v>-27.3233</v>
      </c>
      <c r="K332" s="4">
        <v>5.9999999999999995E-4</v>
      </c>
      <c r="L332" s="4">
        <v>2.9000000000000001E-2</v>
      </c>
      <c r="M332" s="4">
        <v>4.0000000000000001E-3</v>
      </c>
      <c r="N332" s="4">
        <v>-8.0000000000000002E-3</v>
      </c>
      <c r="O332" s="4">
        <v>2.9999999999999997E-4</v>
      </c>
      <c r="P332" s="4">
        <v>127.5</v>
      </c>
      <c r="Q332" s="4">
        <v>0.17</v>
      </c>
      <c r="R332" s="4">
        <f t="shared" si="8"/>
        <v>0.30222222222222223</v>
      </c>
      <c r="S332" s="22">
        <f t="shared" si="9"/>
        <v>4.0296296296296299E-4</v>
      </c>
    </row>
    <row r="333" spans="1:19">
      <c r="A333" s="19" t="s">
        <v>134</v>
      </c>
      <c r="B333" s="20">
        <v>12222211</v>
      </c>
      <c r="C333" s="20" t="s">
        <v>19</v>
      </c>
      <c r="D333" s="20">
        <v>0.25</v>
      </c>
      <c r="E333" s="4">
        <v>8</v>
      </c>
      <c r="F333" s="4">
        <v>5</v>
      </c>
      <c r="G333" s="4">
        <v>15</v>
      </c>
      <c r="H333" s="21">
        <v>5.5289000000000001</v>
      </c>
      <c r="I333" s="4">
        <v>1E-3</v>
      </c>
      <c r="J333" s="20">
        <v>-28.454899999999999</v>
      </c>
      <c r="K333" s="4">
        <v>2.0000000000000001E-4</v>
      </c>
      <c r="L333" s="4">
        <v>0.05</v>
      </c>
      <c r="M333" s="4">
        <v>4.0000000000000001E-3</v>
      </c>
      <c r="N333" s="4">
        <v>-7.7999999999999996E-3</v>
      </c>
      <c r="O333" s="4">
        <v>2.9999999999999997E-4</v>
      </c>
      <c r="P333" s="4">
        <v>128.38</v>
      </c>
      <c r="Q333" s="4">
        <v>0.2</v>
      </c>
      <c r="R333" s="20">
        <f t="shared" si="8"/>
        <v>0.30430814814814816</v>
      </c>
      <c r="S333" s="22">
        <f t="shared" si="9"/>
        <v>4.7407407407407408E-4</v>
      </c>
    </row>
    <row r="334" spans="1:19">
      <c r="A334" s="23" t="s">
        <v>134</v>
      </c>
      <c r="B334" s="4">
        <v>12222211</v>
      </c>
      <c r="C334" s="4" t="s">
        <v>19</v>
      </c>
      <c r="D334" s="4">
        <v>0.5</v>
      </c>
      <c r="E334" s="4">
        <v>8</v>
      </c>
      <c r="F334" s="4">
        <v>5</v>
      </c>
      <c r="G334" s="4">
        <v>15</v>
      </c>
      <c r="H334" s="24">
        <v>5.0827</v>
      </c>
      <c r="I334" s="4">
        <v>6.9999999999999999E-4</v>
      </c>
      <c r="J334" s="4">
        <v>-26.924800000000001</v>
      </c>
      <c r="K334" s="4">
        <v>1.1999999999999999E-3</v>
      </c>
      <c r="L334" s="4">
        <v>0.105</v>
      </c>
      <c r="M334" s="4">
        <v>6.0000000000000001E-3</v>
      </c>
      <c r="N334" s="4">
        <v>-1.1299999999999999E-2</v>
      </c>
      <c r="O334" s="4">
        <v>2.9999999999999997E-4</v>
      </c>
      <c r="P334" s="4">
        <v>122.46</v>
      </c>
      <c r="Q334" s="4">
        <v>0.18</v>
      </c>
      <c r="R334" s="4">
        <f t="shared" si="8"/>
        <v>0.29027555555555556</v>
      </c>
      <c r="S334" s="22">
        <f t="shared" si="9"/>
        <v>4.2666666666666667E-4</v>
      </c>
    </row>
    <row r="335" spans="1:19">
      <c r="A335" s="28" t="s">
        <v>134</v>
      </c>
      <c r="B335" s="29">
        <v>12222211</v>
      </c>
      <c r="C335" s="29" t="s">
        <v>19</v>
      </c>
      <c r="D335" s="29">
        <v>0.75</v>
      </c>
      <c r="E335" s="4">
        <v>8</v>
      </c>
      <c r="F335" s="4">
        <v>5</v>
      </c>
      <c r="G335" s="4">
        <v>15</v>
      </c>
      <c r="H335" s="32">
        <v>4.5456000000000003</v>
      </c>
      <c r="I335" s="4">
        <v>5.9999999999999995E-4</v>
      </c>
      <c r="J335" s="29">
        <v>-25.8855</v>
      </c>
      <c r="K335" s="4">
        <v>1.1000000000000001E-3</v>
      </c>
      <c r="L335" s="4">
        <v>0.187</v>
      </c>
      <c r="M335" s="4">
        <v>6.0000000000000001E-3</v>
      </c>
      <c r="N335" s="4">
        <v>-2.3800000000000002E-2</v>
      </c>
      <c r="O335" s="4">
        <v>1E-4</v>
      </c>
      <c r="P335" s="4">
        <v>99.91</v>
      </c>
      <c r="Q335" s="4">
        <v>0.15</v>
      </c>
      <c r="R335" s="29">
        <f t="shared" si="8"/>
        <v>0.2368237037037037</v>
      </c>
      <c r="S335" s="22">
        <f t="shared" si="9"/>
        <v>3.5555555555555552E-4</v>
      </c>
    </row>
    <row r="336" spans="1:19">
      <c r="A336" s="19" t="s">
        <v>135</v>
      </c>
      <c r="B336" s="20">
        <v>21212221</v>
      </c>
      <c r="C336" s="20"/>
      <c r="D336" s="20">
        <v>0.25</v>
      </c>
      <c r="E336" s="4">
        <v>8</v>
      </c>
      <c r="F336" s="4">
        <v>5</v>
      </c>
      <c r="G336" s="4">
        <v>15</v>
      </c>
      <c r="H336" s="21">
        <v>5.5972999999999997</v>
      </c>
      <c r="I336" s="4">
        <v>6.9999999999999999E-4</v>
      </c>
      <c r="J336" s="20">
        <v>-28.591699999999999</v>
      </c>
      <c r="K336" s="4">
        <v>8.9999999999999998E-4</v>
      </c>
      <c r="L336" s="4">
        <v>3.6999999999999998E-2</v>
      </c>
      <c r="M336" s="4">
        <v>8.0000000000000002E-3</v>
      </c>
      <c r="N336" s="4">
        <v>-7.3000000000000001E-3</v>
      </c>
      <c r="O336" s="4">
        <v>2.0000000000000001E-4</v>
      </c>
      <c r="P336" s="4">
        <v>129.22</v>
      </c>
      <c r="Q336" s="4">
        <v>0.13</v>
      </c>
      <c r="R336" s="20">
        <f t="shared" si="8"/>
        <v>0.30629925925925927</v>
      </c>
      <c r="S336" s="22">
        <f t="shared" si="9"/>
        <v>3.0814814814814816E-4</v>
      </c>
    </row>
    <row r="337" spans="1:19" ht="17" thickBot="1">
      <c r="A337" s="37" t="s">
        <v>135</v>
      </c>
      <c r="B337" s="10">
        <v>21212221</v>
      </c>
      <c r="C337" s="10"/>
      <c r="D337" s="10">
        <v>0.5</v>
      </c>
      <c r="E337" s="10">
        <v>8</v>
      </c>
      <c r="F337" s="10">
        <v>5</v>
      </c>
      <c r="G337" s="10">
        <v>15</v>
      </c>
      <c r="H337" s="13">
        <v>5.2481</v>
      </c>
      <c r="I337" s="10">
        <v>1E-3</v>
      </c>
      <c r="J337" s="10">
        <v>-27.048999999999999</v>
      </c>
      <c r="K337" s="10">
        <v>6.9999999999999999E-4</v>
      </c>
      <c r="L337" s="10">
        <v>3.5999999999999997E-2</v>
      </c>
      <c r="M337" s="10">
        <v>8.0000000000000002E-3</v>
      </c>
      <c r="N337" s="10">
        <v>-8.3999999999999995E-3</v>
      </c>
      <c r="O337" s="10">
        <v>4.0000000000000002E-4</v>
      </c>
      <c r="P337" s="10">
        <v>127.43</v>
      </c>
      <c r="Q337" s="10">
        <v>0.22</v>
      </c>
      <c r="R337" s="10">
        <f t="shared" si="8"/>
        <v>0.30205629629629632</v>
      </c>
      <c r="S337" s="26">
        <f t="shared" si="9"/>
        <v>5.2148148148148149E-4</v>
      </c>
    </row>
    <row r="338" spans="1:19" ht="17" thickTop="1">
      <c r="A338" s="27" t="s">
        <v>136</v>
      </c>
      <c r="B338" s="5">
        <v>22222121</v>
      </c>
      <c r="C338" s="5"/>
      <c r="D338" s="5">
        <v>0.25</v>
      </c>
      <c r="E338" s="7">
        <v>8</v>
      </c>
      <c r="F338" s="7">
        <v>6</v>
      </c>
      <c r="G338" s="7">
        <v>15</v>
      </c>
      <c r="H338" s="12">
        <v>6.0867000000000004</v>
      </c>
      <c r="I338" s="7">
        <v>5.0000000000000001E-4</v>
      </c>
      <c r="J338" s="5">
        <v>-31.2072</v>
      </c>
      <c r="K338" s="7">
        <v>1.5E-3</v>
      </c>
      <c r="L338" s="7">
        <v>3.3000000000000002E-2</v>
      </c>
      <c r="M338" s="7">
        <v>5.0000000000000001E-3</v>
      </c>
      <c r="N338" s="7">
        <v>-7.1999999999999998E-3</v>
      </c>
      <c r="O338" s="7">
        <v>1E-4</v>
      </c>
      <c r="P338" s="7">
        <v>128.30000000000001</v>
      </c>
      <c r="Q338" s="7">
        <v>0.1</v>
      </c>
      <c r="R338" s="5">
        <f t="shared" si="8"/>
        <v>0.30411851851851857</v>
      </c>
      <c r="S338" s="18">
        <f t="shared" si="9"/>
        <v>2.3703703703703704E-4</v>
      </c>
    </row>
    <row r="339" spans="1:19">
      <c r="A339" s="23" t="s">
        <v>136</v>
      </c>
      <c r="B339" s="4">
        <v>22222121</v>
      </c>
      <c r="D339" s="4">
        <v>0.5</v>
      </c>
      <c r="E339" s="4">
        <v>8</v>
      </c>
      <c r="F339" s="4">
        <v>6</v>
      </c>
      <c r="G339" s="4">
        <v>15</v>
      </c>
      <c r="H339" s="24">
        <v>6.2072000000000003</v>
      </c>
      <c r="I339" s="4">
        <v>4.0000000000000002E-4</v>
      </c>
      <c r="J339" s="4">
        <v>-32.3399</v>
      </c>
      <c r="K339" s="4">
        <v>4.0000000000000002E-4</v>
      </c>
      <c r="L339" s="4">
        <v>6.7000000000000004E-2</v>
      </c>
      <c r="M339" s="4">
        <v>6.0000000000000001E-3</v>
      </c>
      <c r="N339" s="4">
        <v>-8.5000000000000006E-3</v>
      </c>
      <c r="O339" s="4">
        <v>0</v>
      </c>
      <c r="P339" s="4">
        <v>124.35</v>
      </c>
      <c r="Q339" s="4">
        <v>0.15</v>
      </c>
      <c r="R339" s="4">
        <f t="shared" si="8"/>
        <v>0.29475555555555555</v>
      </c>
      <c r="S339" s="22">
        <f t="shared" si="9"/>
        <v>3.5555555555555552E-4</v>
      </c>
    </row>
    <row r="340" spans="1:19">
      <c r="A340" s="28" t="s">
        <v>136</v>
      </c>
      <c r="B340" s="29">
        <v>22222121</v>
      </c>
      <c r="C340" s="29"/>
      <c r="D340" s="29">
        <v>0.75</v>
      </c>
      <c r="E340" s="4">
        <v>8</v>
      </c>
      <c r="F340" s="4">
        <v>6</v>
      </c>
      <c r="G340" s="4">
        <v>15</v>
      </c>
      <c r="H340" s="30">
        <v>6.2939999999999996</v>
      </c>
      <c r="I340" s="4">
        <v>1E-3</v>
      </c>
      <c r="J340" s="29">
        <v>-33.660899999999998</v>
      </c>
      <c r="K340" s="4">
        <v>2E-3</v>
      </c>
      <c r="L340" s="4">
        <v>0.13200000000000001</v>
      </c>
      <c r="M340" s="4">
        <v>7.0000000000000001E-3</v>
      </c>
      <c r="N340" s="4">
        <v>-1.2E-2</v>
      </c>
      <c r="O340" s="4">
        <v>4.0000000000000002E-4</v>
      </c>
      <c r="P340" s="4">
        <v>115.69</v>
      </c>
      <c r="Q340" s="4">
        <v>0.44</v>
      </c>
      <c r="R340" s="29">
        <f t="shared" si="8"/>
        <v>0.27422814814814817</v>
      </c>
      <c r="S340" s="22">
        <f t="shared" si="9"/>
        <v>1.042962962962963E-3</v>
      </c>
    </row>
    <row r="341" spans="1:19">
      <c r="A341" s="33" t="s">
        <v>136</v>
      </c>
      <c r="B341" s="34">
        <v>22222121</v>
      </c>
      <c r="C341" s="34"/>
      <c r="D341" s="34">
        <v>1</v>
      </c>
      <c r="E341" s="4">
        <v>8</v>
      </c>
      <c r="F341" s="4">
        <v>6</v>
      </c>
      <c r="G341" s="4">
        <v>15</v>
      </c>
      <c r="H341" s="40">
        <v>6.3301999999999996</v>
      </c>
      <c r="I341" s="4">
        <v>5.9999999999999995E-4</v>
      </c>
      <c r="J341" s="34">
        <v>-35.235900000000001</v>
      </c>
      <c r="K341" s="4">
        <v>1.9E-3</v>
      </c>
      <c r="L341" s="4">
        <v>0.115</v>
      </c>
      <c r="M341" s="4">
        <v>2E-3</v>
      </c>
      <c r="N341" s="4">
        <v>-1.7299999999999999E-2</v>
      </c>
      <c r="O341" s="4">
        <v>1E-4</v>
      </c>
      <c r="P341" s="4">
        <v>99.56</v>
      </c>
      <c r="Q341" s="4">
        <v>0.13</v>
      </c>
      <c r="R341" s="34">
        <f t="shared" si="8"/>
        <v>0.23599407407407408</v>
      </c>
      <c r="S341" s="22">
        <f t="shared" si="9"/>
        <v>3.0814814814814816E-4</v>
      </c>
    </row>
    <row r="342" spans="1:19">
      <c r="A342" s="19" t="s">
        <v>137</v>
      </c>
      <c r="B342" s="20">
        <v>12221222</v>
      </c>
      <c r="C342" s="20"/>
      <c r="D342" s="20">
        <v>0.25</v>
      </c>
      <c r="E342" s="4">
        <v>8</v>
      </c>
      <c r="F342" s="4">
        <v>6</v>
      </c>
      <c r="G342" s="4">
        <v>15</v>
      </c>
      <c r="H342" s="21">
        <v>6.1022999999999996</v>
      </c>
      <c r="I342" s="4">
        <v>4.0000000000000002E-4</v>
      </c>
      <c r="J342" s="20">
        <v>-31.108000000000001</v>
      </c>
      <c r="K342" s="4">
        <v>1E-3</v>
      </c>
      <c r="L342" s="4">
        <v>3.5000000000000003E-2</v>
      </c>
      <c r="M342" s="4">
        <v>6.0000000000000001E-3</v>
      </c>
      <c r="N342" s="4">
        <v>-6.4000000000000003E-3</v>
      </c>
      <c r="O342" s="4">
        <v>2.0000000000000001E-4</v>
      </c>
      <c r="P342" s="4">
        <v>129.12</v>
      </c>
      <c r="Q342" s="4">
        <v>0.1</v>
      </c>
      <c r="R342" s="20">
        <f t="shared" si="8"/>
        <v>0.30606222222222224</v>
      </c>
      <c r="S342" s="22">
        <f t="shared" si="9"/>
        <v>2.3703703703703704E-4</v>
      </c>
    </row>
    <row r="343" spans="1:19">
      <c r="A343" s="23" t="s">
        <v>137</v>
      </c>
      <c r="B343" s="4">
        <v>12221222</v>
      </c>
      <c r="D343" s="4">
        <v>0.5</v>
      </c>
      <c r="E343" s="4">
        <v>8</v>
      </c>
      <c r="F343" s="4">
        <v>6</v>
      </c>
      <c r="G343" s="4">
        <v>15</v>
      </c>
      <c r="H343" s="24">
        <v>6.2518000000000002</v>
      </c>
      <c r="I343" s="4">
        <v>8.9999999999999998E-4</v>
      </c>
      <c r="J343" s="4">
        <v>-32.0794</v>
      </c>
      <c r="K343" s="4">
        <v>5.9999999999999995E-4</v>
      </c>
      <c r="L343" s="4">
        <v>3.9E-2</v>
      </c>
      <c r="M343" s="4">
        <v>3.0000000000000001E-3</v>
      </c>
      <c r="N343" s="4">
        <v>-7.1999999999999998E-3</v>
      </c>
      <c r="O343" s="4">
        <v>1E-4</v>
      </c>
      <c r="P343" s="4">
        <v>126.98</v>
      </c>
      <c r="Q343" s="4">
        <v>0.09</v>
      </c>
      <c r="R343" s="4">
        <f t="shared" si="8"/>
        <v>0.30098962962962966</v>
      </c>
      <c r="S343" s="22">
        <f t="shared" si="9"/>
        <v>2.1333333333333333E-4</v>
      </c>
    </row>
    <row r="344" spans="1:19">
      <c r="A344" s="28" t="s">
        <v>137</v>
      </c>
      <c r="B344" s="29">
        <v>12221222</v>
      </c>
      <c r="C344" s="29"/>
      <c r="D344" s="29">
        <v>0.75</v>
      </c>
      <c r="E344" s="4">
        <v>8</v>
      </c>
      <c r="F344" s="4">
        <v>6</v>
      </c>
      <c r="G344" s="4">
        <v>15</v>
      </c>
      <c r="H344" s="30">
        <v>6.3882000000000003</v>
      </c>
      <c r="I344" s="4">
        <v>4.0000000000000002E-4</v>
      </c>
      <c r="J344" s="29">
        <v>-33.151200000000003</v>
      </c>
      <c r="K344" s="4">
        <v>1.4E-3</v>
      </c>
      <c r="L344" s="4">
        <v>0.05</v>
      </c>
      <c r="M344" s="4">
        <v>8.0000000000000002E-3</v>
      </c>
      <c r="N344" s="4">
        <v>-8.5000000000000006E-3</v>
      </c>
      <c r="O344" s="4">
        <v>2.0000000000000001E-4</v>
      </c>
      <c r="P344" s="4">
        <v>123.22</v>
      </c>
      <c r="Q344" s="4">
        <v>0.1</v>
      </c>
      <c r="R344" s="29">
        <f t="shared" si="8"/>
        <v>0.29207703703703702</v>
      </c>
      <c r="S344" s="22">
        <f t="shared" si="9"/>
        <v>2.3703703703703704E-4</v>
      </c>
    </row>
    <row r="345" spans="1:19">
      <c r="A345" s="33" t="s">
        <v>137</v>
      </c>
      <c r="B345" s="34">
        <v>12221222</v>
      </c>
      <c r="C345" s="34"/>
      <c r="D345" s="34">
        <v>1</v>
      </c>
      <c r="E345" s="4">
        <v>8</v>
      </c>
      <c r="F345" s="4">
        <v>6</v>
      </c>
      <c r="G345" s="4">
        <v>15</v>
      </c>
      <c r="H345" s="40">
        <v>6.5118</v>
      </c>
      <c r="I345" s="4">
        <v>1E-3</v>
      </c>
      <c r="J345" s="34">
        <v>-34.326999999999998</v>
      </c>
      <c r="K345" s="4">
        <v>5.0000000000000001E-4</v>
      </c>
      <c r="L345" s="4">
        <v>8.8999999999999996E-2</v>
      </c>
      <c r="M345" s="4">
        <v>0.01</v>
      </c>
      <c r="N345" s="4">
        <v>-0.01</v>
      </c>
      <c r="O345" s="4">
        <v>1E-4</v>
      </c>
      <c r="P345" s="4">
        <v>118.07</v>
      </c>
      <c r="Q345" s="4">
        <v>0.08</v>
      </c>
      <c r="R345" s="34">
        <f t="shared" si="8"/>
        <v>0.27986962962962963</v>
      </c>
      <c r="S345" s="22">
        <f t="shared" si="9"/>
        <v>1.8962962962962963E-4</v>
      </c>
    </row>
    <row r="346" spans="1:19">
      <c r="A346" s="19" t="s">
        <v>138</v>
      </c>
      <c r="B346" s="20">
        <v>21221222</v>
      </c>
      <c r="C346" s="20"/>
      <c r="D346" s="20">
        <v>0.25</v>
      </c>
      <c r="E346" s="4">
        <v>8</v>
      </c>
      <c r="F346" s="4">
        <v>6</v>
      </c>
      <c r="G346" s="4">
        <v>15</v>
      </c>
      <c r="H346" s="21">
        <v>6.1454000000000004</v>
      </c>
      <c r="I346" s="4">
        <v>5.9999999999999995E-4</v>
      </c>
      <c r="J346" s="20">
        <v>-31.257100000000001</v>
      </c>
      <c r="K346" s="4">
        <v>1.5E-3</v>
      </c>
      <c r="L346" s="4">
        <v>2.8000000000000001E-2</v>
      </c>
      <c r="M346" s="4">
        <v>3.0000000000000001E-3</v>
      </c>
      <c r="N346" s="4">
        <v>-6.7000000000000002E-3</v>
      </c>
      <c r="O346" s="4">
        <v>2.0000000000000001E-4</v>
      </c>
      <c r="P346" s="4">
        <v>129</v>
      </c>
      <c r="Q346" s="4">
        <v>0.22</v>
      </c>
      <c r="R346" s="20">
        <f t="shared" si="8"/>
        <v>0.30577777777777776</v>
      </c>
      <c r="S346" s="22">
        <f t="shared" si="9"/>
        <v>5.2148148148148149E-4</v>
      </c>
    </row>
    <row r="347" spans="1:19">
      <c r="A347" s="23" t="s">
        <v>138</v>
      </c>
      <c r="B347" s="4">
        <v>21221222</v>
      </c>
      <c r="D347" s="4">
        <v>0.5</v>
      </c>
      <c r="E347" s="4">
        <v>8</v>
      </c>
      <c r="F347" s="4">
        <v>6</v>
      </c>
      <c r="G347" s="4">
        <v>15</v>
      </c>
      <c r="H347" s="24">
        <v>6.3425000000000002</v>
      </c>
      <c r="I347" s="4">
        <v>6.9999999999999999E-4</v>
      </c>
      <c r="J347" s="4">
        <v>-32.358600000000003</v>
      </c>
      <c r="K347" s="4">
        <v>6.9999999999999999E-4</v>
      </c>
      <c r="L347" s="4">
        <v>2.9000000000000001E-2</v>
      </c>
      <c r="M347" s="4">
        <v>3.0000000000000001E-3</v>
      </c>
      <c r="N347" s="4">
        <v>-6.7999999999999996E-3</v>
      </c>
      <c r="O347" s="4">
        <v>1E-4</v>
      </c>
      <c r="P347" s="4">
        <v>127.61</v>
      </c>
      <c r="Q347" s="4">
        <v>0.09</v>
      </c>
      <c r="R347" s="4">
        <f t="shared" si="8"/>
        <v>0.30248296296296295</v>
      </c>
      <c r="S347" s="22">
        <f t="shared" si="9"/>
        <v>2.1333333333333333E-4</v>
      </c>
    </row>
    <row r="348" spans="1:19">
      <c r="A348" s="28" t="s">
        <v>138</v>
      </c>
      <c r="B348" s="29">
        <v>21221222</v>
      </c>
      <c r="C348" s="29"/>
      <c r="D348" s="29">
        <v>0.75</v>
      </c>
      <c r="E348" s="4">
        <v>8</v>
      </c>
      <c r="F348" s="4">
        <v>6</v>
      </c>
      <c r="G348" s="4">
        <v>15</v>
      </c>
      <c r="H348" s="30">
        <v>6.5327999999999999</v>
      </c>
      <c r="I348" s="4">
        <v>2.0000000000000001E-4</v>
      </c>
      <c r="J348" s="29">
        <v>-33.530799999999999</v>
      </c>
      <c r="K348" s="4">
        <v>1.6999999999999999E-3</v>
      </c>
      <c r="L348" s="4">
        <v>0.03</v>
      </c>
      <c r="M348" s="4">
        <v>5.0000000000000001E-3</v>
      </c>
      <c r="N348" s="4">
        <v>-7.0000000000000001E-3</v>
      </c>
      <c r="O348" s="4">
        <v>1E-4</v>
      </c>
      <c r="P348" s="4">
        <v>125.5</v>
      </c>
      <c r="Q348" s="4">
        <v>0.13</v>
      </c>
      <c r="R348" s="29">
        <f t="shared" si="8"/>
        <v>0.29748148148148146</v>
      </c>
      <c r="S348" s="22">
        <f t="shared" si="9"/>
        <v>3.0814814814814816E-4</v>
      </c>
    </row>
    <row r="349" spans="1:19">
      <c r="A349" s="33" t="s">
        <v>138</v>
      </c>
      <c r="B349" s="34">
        <v>21221222</v>
      </c>
      <c r="C349" s="34"/>
      <c r="D349" s="34">
        <v>1</v>
      </c>
      <c r="E349" s="4">
        <v>8</v>
      </c>
      <c r="F349" s="4">
        <v>6</v>
      </c>
      <c r="G349" s="4">
        <v>15</v>
      </c>
      <c r="H349" s="40">
        <v>6.7176</v>
      </c>
      <c r="I349" s="4">
        <v>5.9999999999999995E-4</v>
      </c>
      <c r="J349" s="34">
        <v>-34.774999999999999</v>
      </c>
      <c r="K349" s="4">
        <v>1.6999999999999999E-3</v>
      </c>
      <c r="L349" s="4">
        <v>3.5999999999999997E-2</v>
      </c>
      <c r="M349" s="4">
        <v>6.0000000000000001E-3</v>
      </c>
      <c r="N349" s="4">
        <v>-7.7000000000000002E-3</v>
      </c>
      <c r="O349" s="4">
        <v>1E-4</v>
      </c>
      <c r="P349" s="4">
        <v>122.44</v>
      </c>
      <c r="Q349" s="4">
        <v>7.0000000000000007E-2</v>
      </c>
      <c r="R349" s="34">
        <f t="shared" si="8"/>
        <v>0.29022814814814812</v>
      </c>
      <c r="S349" s="22">
        <f t="shared" si="9"/>
        <v>1.6592592592592595E-4</v>
      </c>
    </row>
    <row r="350" spans="1:19">
      <c r="A350" s="19" t="s">
        <v>139</v>
      </c>
      <c r="B350" s="20">
        <v>22211222</v>
      </c>
      <c r="C350" s="20" t="s">
        <v>30</v>
      </c>
      <c r="D350" s="20">
        <v>0.25</v>
      </c>
      <c r="E350" s="4">
        <v>8</v>
      </c>
      <c r="F350" s="4">
        <v>6</v>
      </c>
      <c r="G350" s="4">
        <v>15</v>
      </c>
      <c r="H350" s="21">
        <v>6.1711999999999998</v>
      </c>
      <c r="I350" s="4">
        <v>8.9999999999999998E-4</v>
      </c>
      <c r="J350" s="20">
        <v>-31.153700000000001</v>
      </c>
      <c r="K350" s="4">
        <v>1.2999999999999999E-3</v>
      </c>
      <c r="L350" s="4">
        <v>3.1E-2</v>
      </c>
      <c r="M350" s="4">
        <v>3.0000000000000001E-3</v>
      </c>
      <c r="N350" s="4">
        <v>-6.6E-3</v>
      </c>
      <c r="O350" s="4">
        <v>2.0000000000000001E-4</v>
      </c>
      <c r="P350" s="4">
        <v>128.66999999999999</v>
      </c>
      <c r="Q350" s="4">
        <v>0.14000000000000001</v>
      </c>
      <c r="R350" s="20">
        <f t="shared" si="8"/>
        <v>0.30499555555555552</v>
      </c>
      <c r="S350" s="22">
        <f t="shared" si="9"/>
        <v>3.3185185185185189E-4</v>
      </c>
    </row>
    <row r="351" spans="1:19">
      <c r="A351" s="23" t="s">
        <v>139</v>
      </c>
      <c r="B351" s="4">
        <v>22211222</v>
      </c>
      <c r="C351" s="4" t="s">
        <v>30</v>
      </c>
      <c r="D351" s="4">
        <v>0.5</v>
      </c>
      <c r="E351" s="4">
        <v>8</v>
      </c>
      <c r="F351" s="4">
        <v>6</v>
      </c>
      <c r="G351" s="4">
        <v>15</v>
      </c>
      <c r="H351" s="24">
        <v>6.3909000000000002</v>
      </c>
      <c r="I351" s="4">
        <v>8.0000000000000004E-4</v>
      </c>
      <c r="J351" s="4">
        <v>-32.192100000000003</v>
      </c>
      <c r="K351" s="4">
        <v>8.0000000000000004E-4</v>
      </c>
      <c r="L351" s="4">
        <v>2.8000000000000001E-2</v>
      </c>
      <c r="M351" s="4">
        <v>4.0000000000000001E-3</v>
      </c>
      <c r="N351" s="4">
        <v>-6.7999999999999996E-3</v>
      </c>
      <c r="O351" s="4">
        <v>1E-4</v>
      </c>
      <c r="P351" s="4">
        <v>126.33</v>
      </c>
      <c r="Q351" s="4">
        <v>0.06</v>
      </c>
      <c r="R351" s="4">
        <f t="shared" si="8"/>
        <v>0.29944888888888888</v>
      </c>
      <c r="S351" s="22">
        <f t="shared" si="9"/>
        <v>1.4222222222222221E-4</v>
      </c>
    </row>
    <row r="352" spans="1:19">
      <c r="A352" s="28" t="s">
        <v>139</v>
      </c>
      <c r="B352" s="29">
        <v>22211222</v>
      </c>
      <c r="C352" s="29" t="s">
        <v>30</v>
      </c>
      <c r="D352" s="29">
        <v>0.75</v>
      </c>
      <c r="E352" s="4">
        <v>8</v>
      </c>
      <c r="F352" s="4">
        <v>6</v>
      </c>
      <c r="G352" s="4">
        <v>15</v>
      </c>
      <c r="H352" s="30">
        <v>6.6044999999999998</v>
      </c>
      <c r="I352" s="4">
        <v>8.9999999999999998E-4</v>
      </c>
      <c r="J352" s="29">
        <v>-33.344999999999999</v>
      </c>
      <c r="K352" s="4">
        <v>5.9999999999999995E-4</v>
      </c>
      <c r="L352" s="4">
        <v>2.3E-2</v>
      </c>
      <c r="M352" s="4">
        <v>6.0000000000000001E-3</v>
      </c>
      <c r="N352" s="4">
        <v>-7.7000000000000002E-3</v>
      </c>
      <c r="O352" s="4">
        <v>2.9999999999999997E-4</v>
      </c>
      <c r="P352" s="4">
        <v>122.65</v>
      </c>
      <c r="Q352" s="4">
        <v>0.21</v>
      </c>
      <c r="R352" s="29">
        <f t="shared" si="8"/>
        <v>0.29072592592592594</v>
      </c>
      <c r="S352" s="22">
        <f t="shared" si="9"/>
        <v>4.9777777777777776E-4</v>
      </c>
    </row>
    <row r="353" spans="1:19">
      <c r="A353" s="33" t="s">
        <v>139</v>
      </c>
      <c r="B353" s="34">
        <v>22211222</v>
      </c>
      <c r="C353" s="34" t="s">
        <v>30</v>
      </c>
      <c r="D353" s="34">
        <v>1</v>
      </c>
      <c r="E353" s="4">
        <v>8</v>
      </c>
      <c r="F353" s="4">
        <v>6</v>
      </c>
      <c r="G353" s="4">
        <v>15</v>
      </c>
      <c r="H353" s="40">
        <v>6.8178999999999998</v>
      </c>
      <c r="I353" s="4">
        <v>5.9999999999999995E-4</v>
      </c>
      <c r="J353" s="34">
        <v>-34.614400000000003</v>
      </c>
      <c r="K353" s="4">
        <v>1.8E-3</v>
      </c>
      <c r="L353" s="4">
        <v>0.03</v>
      </c>
      <c r="M353" s="4">
        <v>8.0000000000000002E-3</v>
      </c>
      <c r="N353" s="4">
        <v>-8.5000000000000006E-3</v>
      </c>
      <c r="O353" s="4">
        <v>2.9999999999999997E-4</v>
      </c>
      <c r="P353" s="4">
        <v>118.21</v>
      </c>
      <c r="Q353" s="4">
        <v>0.12</v>
      </c>
      <c r="R353" s="34">
        <f t="shared" si="8"/>
        <v>0.28020148148148144</v>
      </c>
      <c r="S353" s="22">
        <f t="shared" si="9"/>
        <v>2.8444444444444443E-4</v>
      </c>
    </row>
    <row r="354" spans="1:19">
      <c r="A354" s="19" t="s">
        <v>140</v>
      </c>
      <c r="B354" s="20">
        <v>22122122</v>
      </c>
      <c r="C354" s="20"/>
      <c r="D354" s="20">
        <v>0.25</v>
      </c>
      <c r="E354" s="4">
        <v>8</v>
      </c>
      <c r="F354" s="4">
        <v>6</v>
      </c>
      <c r="G354" s="4">
        <v>15</v>
      </c>
      <c r="H354" s="21">
        <v>6.1562999999999999</v>
      </c>
      <c r="I354" s="4">
        <v>5.9999999999999995E-4</v>
      </c>
      <c r="J354" s="20">
        <v>-31.232700000000001</v>
      </c>
      <c r="K354" s="4">
        <v>5.9999999999999995E-4</v>
      </c>
      <c r="L354" s="4">
        <v>2.8000000000000001E-2</v>
      </c>
      <c r="M354" s="4">
        <v>2E-3</v>
      </c>
      <c r="N354" s="4">
        <v>-6.6E-3</v>
      </c>
      <c r="O354" s="4">
        <v>2.0000000000000001E-4</v>
      </c>
      <c r="P354" s="4">
        <v>128.99</v>
      </c>
      <c r="Q354" s="4">
        <v>0.14000000000000001</v>
      </c>
      <c r="R354" s="20">
        <f t="shared" si="8"/>
        <v>0.30575407407407412</v>
      </c>
      <c r="S354" s="22">
        <f t="shared" si="9"/>
        <v>3.3185185185185189E-4</v>
      </c>
    </row>
    <row r="355" spans="1:19">
      <c r="A355" s="23" t="s">
        <v>140</v>
      </c>
      <c r="B355" s="4">
        <v>22122122</v>
      </c>
      <c r="D355" s="4">
        <v>0.5</v>
      </c>
      <c r="E355" s="4">
        <v>8</v>
      </c>
      <c r="F355" s="4">
        <v>6</v>
      </c>
      <c r="G355" s="4">
        <v>15</v>
      </c>
      <c r="H355" s="24">
        <v>6.3662999999999998</v>
      </c>
      <c r="I355" s="4">
        <v>1E-3</v>
      </c>
      <c r="J355" s="4">
        <v>-32.300400000000003</v>
      </c>
      <c r="K355" s="4">
        <v>1.1999999999999999E-3</v>
      </c>
      <c r="L355" s="4">
        <v>2.5999999999999999E-2</v>
      </c>
      <c r="M355" s="4">
        <v>2E-3</v>
      </c>
      <c r="N355" s="4">
        <v>-6.4999999999999997E-3</v>
      </c>
      <c r="O355" s="4">
        <v>1E-4</v>
      </c>
      <c r="P355" s="4">
        <v>127.93</v>
      </c>
      <c r="Q355" s="4">
        <v>0.19</v>
      </c>
      <c r="R355" s="4">
        <f t="shared" si="8"/>
        <v>0.3032414814814815</v>
      </c>
      <c r="S355" s="22">
        <f t="shared" si="9"/>
        <v>4.503703703703704E-4</v>
      </c>
    </row>
    <row r="356" spans="1:19">
      <c r="A356" s="28" t="s">
        <v>140</v>
      </c>
      <c r="B356" s="29">
        <v>22122122</v>
      </c>
      <c r="C356" s="29"/>
      <c r="D356" s="29">
        <v>0.75</v>
      </c>
      <c r="E356" s="4">
        <v>8</v>
      </c>
      <c r="F356" s="4">
        <v>6</v>
      </c>
      <c r="G356" s="4">
        <v>15</v>
      </c>
      <c r="H356" s="30">
        <v>6.5712000000000002</v>
      </c>
      <c r="I356" s="4">
        <v>5.0000000000000001E-4</v>
      </c>
      <c r="J356" s="29">
        <v>-33.429099999999998</v>
      </c>
      <c r="K356" s="4">
        <v>2.2000000000000001E-3</v>
      </c>
      <c r="L356" s="4">
        <v>2.8000000000000001E-2</v>
      </c>
      <c r="M356" s="4">
        <v>4.0000000000000001E-3</v>
      </c>
      <c r="N356" s="4">
        <v>-6.7000000000000002E-3</v>
      </c>
      <c r="O356" s="4">
        <v>2.9999999999999997E-4</v>
      </c>
      <c r="P356" s="4">
        <v>126.26</v>
      </c>
      <c r="Q356" s="4">
        <v>0.27</v>
      </c>
      <c r="R356" s="29">
        <f t="shared" si="8"/>
        <v>0.29928296296296297</v>
      </c>
      <c r="S356" s="22">
        <f t="shared" si="9"/>
        <v>6.4000000000000005E-4</v>
      </c>
    </row>
    <row r="357" spans="1:19">
      <c r="A357" s="33" t="s">
        <v>140</v>
      </c>
      <c r="B357" s="34">
        <v>22122122</v>
      </c>
      <c r="C357" s="34"/>
      <c r="D357" s="34">
        <v>1</v>
      </c>
      <c r="E357" s="4">
        <v>8</v>
      </c>
      <c r="F357" s="4">
        <v>6</v>
      </c>
      <c r="G357" s="4">
        <v>15</v>
      </c>
      <c r="H357" s="40">
        <v>6.7736999999999998</v>
      </c>
      <c r="I357" s="4">
        <v>8.0000000000000004E-4</v>
      </c>
      <c r="J357" s="34">
        <v>-34.618099999999998</v>
      </c>
      <c r="K357" s="4">
        <v>8.9999999999999998E-4</v>
      </c>
      <c r="L357" s="4">
        <v>0.02</v>
      </c>
      <c r="M357" s="4">
        <v>3.0000000000000001E-3</v>
      </c>
      <c r="N357" s="4">
        <v>-7.1000000000000004E-3</v>
      </c>
      <c r="O357" s="4">
        <v>1E-4</v>
      </c>
      <c r="P357" s="4">
        <v>123.79</v>
      </c>
      <c r="Q357" s="4">
        <v>0.06</v>
      </c>
      <c r="R357" s="34">
        <f t="shared" si="8"/>
        <v>0.29342814814814816</v>
      </c>
      <c r="S357" s="22">
        <f t="shared" si="9"/>
        <v>1.4222222222222221E-4</v>
      </c>
    </row>
    <row r="358" spans="1:19">
      <c r="A358" s="19" t="s">
        <v>141</v>
      </c>
      <c r="B358" s="20">
        <v>21222212</v>
      </c>
      <c r="C358" s="20"/>
      <c r="D358" s="20">
        <v>0.25</v>
      </c>
      <c r="E358" s="4">
        <v>8</v>
      </c>
      <c r="F358" s="4">
        <v>6</v>
      </c>
      <c r="G358" s="4">
        <v>15</v>
      </c>
      <c r="H358" s="21">
        <v>6.1193</v>
      </c>
      <c r="I358" s="4">
        <v>2.9999999999999997E-4</v>
      </c>
      <c r="J358" s="20">
        <v>-31.276499999999999</v>
      </c>
      <c r="K358" s="4">
        <v>1.4E-3</v>
      </c>
      <c r="L358" s="4">
        <v>3.5000000000000003E-2</v>
      </c>
      <c r="M358" s="4">
        <v>4.0000000000000001E-3</v>
      </c>
      <c r="N358" s="4">
        <v>-6.6E-3</v>
      </c>
      <c r="O358" s="4">
        <v>4.0000000000000002E-4</v>
      </c>
      <c r="P358" s="4">
        <v>129.13999999999999</v>
      </c>
      <c r="Q358" s="4">
        <v>0.33</v>
      </c>
      <c r="R358" s="20">
        <f t="shared" si="8"/>
        <v>0.30610962962962962</v>
      </c>
      <c r="S358" s="22">
        <f t="shared" si="9"/>
        <v>7.8222222222222224E-4</v>
      </c>
    </row>
    <row r="359" spans="1:19">
      <c r="A359" s="23" t="s">
        <v>141</v>
      </c>
      <c r="B359" s="4">
        <v>21222212</v>
      </c>
      <c r="D359" s="4">
        <v>0.5</v>
      </c>
      <c r="E359" s="4">
        <v>8</v>
      </c>
      <c r="F359" s="4">
        <v>6</v>
      </c>
      <c r="G359" s="4">
        <v>15</v>
      </c>
      <c r="H359" s="24">
        <v>6.29</v>
      </c>
      <c r="I359" s="4">
        <v>2.0000000000000001E-4</v>
      </c>
      <c r="J359" s="4">
        <v>-32.3979</v>
      </c>
      <c r="K359" s="4">
        <v>1.4E-3</v>
      </c>
      <c r="L359" s="4">
        <v>3.5999999999999997E-2</v>
      </c>
      <c r="M359" s="4">
        <v>8.9999999999999993E-3</v>
      </c>
      <c r="N359" s="4">
        <v>-6.8999999999999999E-3</v>
      </c>
      <c r="O359" s="4">
        <v>2.0000000000000001E-4</v>
      </c>
      <c r="P359" s="4">
        <v>127.84</v>
      </c>
      <c r="Q359" s="4">
        <v>0.23</v>
      </c>
      <c r="R359" s="4">
        <f t="shared" si="8"/>
        <v>0.30302814814814816</v>
      </c>
      <c r="S359" s="22">
        <f t="shared" si="9"/>
        <v>5.4518518518518523E-4</v>
      </c>
    </row>
    <row r="360" spans="1:19">
      <c r="A360" s="28" t="s">
        <v>141</v>
      </c>
      <c r="B360" s="29">
        <v>21222212</v>
      </c>
      <c r="C360" s="29"/>
      <c r="D360" s="29">
        <v>0.75</v>
      </c>
      <c r="E360" s="4">
        <v>8</v>
      </c>
      <c r="F360" s="4">
        <v>6</v>
      </c>
      <c r="G360" s="4">
        <v>15</v>
      </c>
      <c r="H360" s="30">
        <v>6.4560000000000004</v>
      </c>
      <c r="I360" s="4">
        <v>6.9999999999999999E-4</v>
      </c>
      <c r="J360" s="29">
        <v>-33.589199999999998</v>
      </c>
      <c r="K360" s="4">
        <v>8.0000000000000004E-4</v>
      </c>
      <c r="L360" s="4">
        <v>4.3999999999999997E-2</v>
      </c>
      <c r="M360" s="4">
        <v>7.0000000000000001E-3</v>
      </c>
      <c r="N360" s="4">
        <v>-7.1999999999999998E-3</v>
      </c>
      <c r="O360" s="4">
        <v>1E-4</v>
      </c>
      <c r="P360" s="4">
        <v>125.72</v>
      </c>
      <c r="Q360" s="4">
        <v>0.1</v>
      </c>
      <c r="R360" s="29">
        <f t="shared" si="8"/>
        <v>0.29800296296296297</v>
      </c>
      <c r="S360" s="22">
        <f t="shared" si="9"/>
        <v>2.3703703703703704E-4</v>
      </c>
    </row>
    <row r="361" spans="1:19">
      <c r="A361" s="33" t="s">
        <v>141</v>
      </c>
      <c r="B361" s="34">
        <v>21222212</v>
      </c>
      <c r="C361" s="34"/>
      <c r="D361" s="34">
        <v>1</v>
      </c>
      <c r="E361" s="4">
        <v>8</v>
      </c>
      <c r="F361" s="4">
        <v>6</v>
      </c>
      <c r="G361" s="4">
        <v>15</v>
      </c>
      <c r="H361" s="40">
        <v>6.6128999999999998</v>
      </c>
      <c r="I361" s="4">
        <v>4.0000000000000002E-4</v>
      </c>
      <c r="J361" s="34">
        <v>-34.853700000000003</v>
      </c>
      <c r="K361" s="4">
        <v>2.0999999999999999E-3</v>
      </c>
      <c r="L361" s="4">
        <v>5.0999999999999997E-2</v>
      </c>
      <c r="M361" s="4">
        <v>5.0000000000000001E-3</v>
      </c>
      <c r="N361" s="4">
        <v>-7.7999999999999996E-3</v>
      </c>
      <c r="O361" s="4">
        <v>2.0000000000000001E-4</v>
      </c>
      <c r="P361" s="4">
        <v>122.97</v>
      </c>
      <c r="Q361" s="4">
        <v>0.23</v>
      </c>
      <c r="R361" s="34">
        <f t="shared" si="8"/>
        <v>0.29148444444444443</v>
      </c>
      <c r="S361" s="22">
        <f t="shared" si="9"/>
        <v>5.4518518518518523E-4</v>
      </c>
    </row>
    <row r="362" spans="1:19">
      <c r="A362" s="19" t="s">
        <v>142</v>
      </c>
      <c r="B362" s="20">
        <v>11222222</v>
      </c>
      <c r="C362" s="20" t="s">
        <v>17</v>
      </c>
      <c r="D362" s="20">
        <v>0.25</v>
      </c>
      <c r="E362" s="4">
        <v>8</v>
      </c>
      <c r="F362" s="4">
        <v>6</v>
      </c>
      <c r="G362" s="4">
        <v>15</v>
      </c>
      <c r="H362" s="21">
        <v>6.0616000000000003</v>
      </c>
      <c r="I362" s="4">
        <v>8.0000000000000004E-4</v>
      </c>
      <c r="J362" s="20">
        <v>-31.177399999999999</v>
      </c>
      <c r="K362" s="4">
        <v>1.2999999999999999E-3</v>
      </c>
      <c r="L362" s="4">
        <v>4.3999999999999997E-2</v>
      </c>
      <c r="M362" s="4">
        <v>0.01</v>
      </c>
      <c r="N362" s="4">
        <v>-7.4000000000000003E-3</v>
      </c>
      <c r="O362" s="4">
        <v>1E-4</v>
      </c>
      <c r="P362" s="4">
        <v>127.72</v>
      </c>
      <c r="Q362" s="4">
        <v>0.16</v>
      </c>
      <c r="R362" s="20">
        <f t="shared" si="8"/>
        <v>0.30274370370370368</v>
      </c>
      <c r="S362" s="22">
        <f t="shared" si="9"/>
        <v>3.7925925925925925E-4</v>
      </c>
    </row>
    <row r="363" spans="1:19">
      <c r="A363" s="23" t="s">
        <v>142</v>
      </c>
      <c r="B363" s="4">
        <v>11222222</v>
      </c>
      <c r="C363" s="4" t="s">
        <v>17</v>
      </c>
      <c r="D363" s="4">
        <v>0.5</v>
      </c>
      <c r="E363" s="4">
        <v>8</v>
      </c>
      <c r="F363" s="4">
        <v>6</v>
      </c>
      <c r="G363" s="4">
        <v>15</v>
      </c>
      <c r="H363" s="24">
        <v>6.1353</v>
      </c>
      <c r="I363" s="4">
        <v>8.9999999999999998E-4</v>
      </c>
      <c r="J363" s="4">
        <v>-32.387599999999999</v>
      </c>
      <c r="K363" s="4">
        <v>1.2999999999999999E-3</v>
      </c>
      <c r="L363" s="4">
        <v>0.14599999999999999</v>
      </c>
      <c r="M363" s="4">
        <v>2.9000000000000001E-2</v>
      </c>
      <c r="N363" s="4">
        <v>-1.0500000000000001E-2</v>
      </c>
      <c r="O363" s="4">
        <v>6.9999999999999999E-4</v>
      </c>
      <c r="P363" s="4">
        <v>120.18</v>
      </c>
      <c r="Q363" s="4">
        <v>0.81</v>
      </c>
      <c r="R363" s="4">
        <f t="shared" si="8"/>
        <v>0.28487111111111113</v>
      </c>
      <c r="S363" s="22">
        <f t="shared" si="9"/>
        <v>1.92E-3</v>
      </c>
    </row>
    <row r="364" spans="1:19">
      <c r="A364" s="28" t="s">
        <v>142</v>
      </c>
      <c r="B364" s="29">
        <v>11222222</v>
      </c>
      <c r="C364" s="29" t="s">
        <v>17</v>
      </c>
      <c r="D364" s="29">
        <v>0.75</v>
      </c>
      <c r="E364" s="4">
        <v>8</v>
      </c>
      <c r="F364" s="4">
        <v>6</v>
      </c>
      <c r="G364" s="4">
        <v>15</v>
      </c>
      <c r="H364" s="30">
        <v>6.1494999999999997</v>
      </c>
      <c r="I364" s="4">
        <v>1E-3</v>
      </c>
      <c r="J364" s="29">
        <v>-33.973500000000001</v>
      </c>
      <c r="K364" s="4">
        <v>8.9999999999999998E-4</v>
      </c>
      <c r="L364" s="4">
        <v>0.11799999999999999</v>
      </c>
      <c r="M364" s="4">
        <v>4.0000000000000001E-3</v>
      </c>
      <c r="N364" s="4">
        <v>-1.7299999999999999E-2</v>
      </c>
      <c r="O364" s="4">
        <v>1E-4</v>
      </c>
      <c r="P364" s="4">
        <v>101.43</v>
      </c>
      <c r="Q364" s="4">
        <v>0.16</v>
      </c>
      <c r="R364" s="29">
        <f t="shared" si="8"/>
        <v>0.24042666666666668</v>
      </c>
      <c r="S364" s="22">
        <f t="shared" si="9"/>
        <v>3.7925925925925925E-4</v>
      </c>
    </row>
    <row r="365" spans="1:19">
      <c r="A365" s="44" t="s">
        <v>143</v>
      </c>
      <c r="B365" s="45">
        <v>21122222</v>
      </c>
      <c r="C365" s="45"/>
      <c r="D365" s="45">
        <v>0.25</v>
      </c>
      <c r="E365" s="4">
        <v>8</v>
      </c>
      <c r="F365" s="4">
        <v>6</v>
      </c>
      <c r="G365" s="4">
        <v>15</v>
      </c>
      <c r="H365" s="47">
        <v>6.1307999999999998</v>
      </c>
      <c r="I365" s="39">
        <v>8.9999999999999998E-4</v>
      </c>
      <c r="J365" s="48">
        <v>-31.244599999999998</v>
      </c>
      <c r="K365" s="39">
        <v>8.0000000000000004E-4</v>
      </c>
      <c r="L365" s="39">
        <v>2.9000000000000001E-2</v>
      </c>
      <c r="M365" s="39">
        <v>2E-3</v>
      </c>
      <c r="N365" s="39">
        <v>-6.7999999999999996E-3</v>
      </c>
      <c r="O365" s="39">
        <v>1E-4</v>
      </c>
      <c r="P365" s="39">
        <v>128.41</v>
      </c>
      <c r="Q365" s="39">
        <v>7.0000000000000007E-2</v>
      </c>
      <c r="R365" s="20">
        <f t="shared" si="8"/>
        <v>0.30437925925925924</v>
      </c>
      <c r="S365" s="22">
        <f t="shared" si="9"/>
        <v>1.6592592592592595E-4</v>
      </c>
    </row>
    <row r="366" spans="1:19">
      <c r="A366" s="23" t="s">
        <v>143</v>
      </c>
      <c r="B366" s="4">
        <v>21122222</v>
      </c>
      <c r="D366" s="4">
        <v>0.5</v>
      </c>
      <c r="E366" s="4">
        <v>8</v>
      </c>
      <c r="F366" s="4">
        <v>6</v>
      </c>
      <c r="G366" s="4">
        <v>15</v>
      </c>
      <c r="H366" s="24">
        <v>6.3007</v>
      </c>
      <c r="I366" s="4">
        <v>8.9999999999999998E-4</v>
      </c>
      <c r="J366" s="4">
        <v>-32.412599999999998</v>
      </c>
      <c r="K366" s="4">
        <v>2.2000000000000001E-3</v>
      </c>
      <c r="L366" s="4">
        <v>4.2000000000000003E-2</v>
      </c>
      <c r="M366" s="4">
        <v>6.0000000000000001E-3</v>
      </c>
      <c r="N366" s="4">
        <v>-7.7000000000000002E-3</v>
      </c>
      <c r="O366" s="4">
        <v>2.9999999999999997E-4</v>
      </c>
      <c r="P366" s="4">
        <v>124.95</v>
      </c>
      <c r="Q366" s="4">
        <v>0.35</v>
      </c>
      <c r="R366" s="4">
        <f t="shared" si="8"/>
        <v>0.29617777777777776</v>
      </c>
      <c r="S366" s="22">
        <f t="shared" si="9"/>
        <v>8.296296296296296E-4</v>
      </c>
    </row>
    <row r="367" spans="1:19">
      <c r="A367" s="28" t="s">
        <v>143</v>
      </c>
      <c r="B367" s="29">
        <v>21122222</v>
      </c>
      <c r="C367" s="29"/>
      <c r="D367" s="29">
        <v>0.75</v>
      </c>
      <c r="E367" s="4">
        <v>8</v>
      </c>
      <c r="F367" s="4">
        <v>6</v>
      </c>
      <c r="G367" s="4">
        <v>15</v>
      </c>
      <c r="H367" s="30">
        <v>6.4516999999999998</v>
      </c>
      <c r="I367" s="4">
        <v>8.9999999999999998E-4</v>
      </c>
      <c r="J367" s="29">
        <v>-33.757800000000003</v>
      </c>
      <c r="K367" s="4">
        <v>6.9999999999999999E-4</v>
      </c>
      <c r="L367" s="4">
        <v>7.8E-2</v>
      </c>
      <c r="M367" s="4">
        <v>0.01</v>
      </c>
      <c r="N367" s="4">
        <v>-9.7999999999999997E-3</v>
      </c>
      <c r="O367" s="4">
        <v>2.0000000000000001E-4</v>
      </c>
      <c r="P367" s="4">
        <v>118.46</v>
      </c>
      <c r="Q367" s="4">
        <v>0.22</v>
      </c>
      <c r="R367" s="29">
        <f t="shared" si="8"/>
        <v>0.28079407407407408</v>
      </c>
      <c r="S367" s="22">
        <f t="shared" si="9"/>
        <v>5.2148148148148149E-4</v>
      </c>
    </row>
    <row r="368" spans="1:19">
      <c r="A368" s="33" t="s">
        <v>143</v>
      </c>
      <c r="B368" s="34">
        <v>21122222</v>
      </c>
      <c r="C368" s="34"/>
      <c r="D368" s="34">
        <v>1</v>
      </c>
      <c r="E368" s="4">
        <v>8</v>
      </c>
      <c r="F368" s="4">
        <v>6</v>
      </c>
      <c r="G368" s="4">
        <v>15</v>
      </c>
      <c r="H368" s="40">
        <v>6.5839999999999996</v>
      </c>
      <c r="I368" s="4">
        <v>5.9999999999999995E-4</v>
      </c>
      <c r="J368" s="34">
        <v>-35.3108</v>
      </c>
      <c r="K368" s="4">
        <v>2.5999999999999999E-3</v>
      </c>
      <c r="L368" s="4">
        <v>0.11799999999999999</v>
      </c>
      <c r="M368" s="4">
        <v>1.2E-2</v>
      </c>
      <c r="N368" s="4">
        <v>-1.3100000000000001E-2</v>
      </c>
      <c r="O368" s="4">
        <v>4.0000000000000002E-4</v>
      </c>
      <c r="P368" s="4">
        <v>108.1</v>
      </c>
      <c r="Q368" s="4">
        <v>0.43</v>
      </c>
      <c r="R368" s="34">
        <f t="shared" si="8"/>
        <v>0.25623703703703704</v>
      </c>
      <c r="S368" s="22">
        <f t="shared" si="9"/>
        <v>1.0192592592592593E-3</v>
      </c>
    </row>
    <row r="369" spans="1:19">
      <c r="A369" s="19" t="s">
        <v>144</v>
      </c>
      <c r="B369" s="20">
        <v>21222221</v>
      </c>
      <c r="C369" s="20"/>
      <c r="D369" s="20">
        <v>0.25</v>
      </c>
      <c r="E369" s="4">
        <v>8</v>
      </c>
      <c r="F369" s="4">
        <v>6</v>
      </c>
      <c r="G369" s="4">
        <v>15</v>
      </c>
      <c r="H369" s="21">
        <v>6.0744999999999996</v>
      </c>
      <c r="I369" s="4">
        <v>8.0000000000000004E-4</v>
      </c>
      <c r="J369" s="20">
        <v>-31.143699999999999</v>
      </c>
      <c r="K369" s="4">
        <v>6.9999999999999999E-4</v>
      </c>
      <c r="L369" s="4">
        <v>3.3000000000000002E-2</v>
      </c>
      <c r="M369" s="4">
        <v>6.0000000000000001E-3</v>
      </c>
      <c r="N369" s="4">
        <v>-6.4999999999999997E-3</v>
      </c>
      <c r="O369" s="4">
        <v>1E-4</v>
      </c>
      <c r="P369" s="4">
        <v>129.22999999999999</v>
      </c>
      <c r="Q369" s="4">
        <v>0.16</v>
      </c>
      <c r="R369" s="20">
        <f t="shared" si="8"/>
        <v>0.30632296296296296</v>
      </c>
      <c r="S369" s="22">
        <f t="shared" si="9"/>
        <v>3.7925925925925925E-4</v>
      </c>
    </row>
    <row r="370" spans="1:19">
      <c r="A370" s="23" t="s">
        <v>144</v>
      </c>
      <c r="B370" s="4">
        <v>21222221</v>
      </c>
      <c r="D370" s="4">
        <v>0.5</v>
      </c>
      <c r="E370" s="4">
        <v>8</v>
      </c>
      <c r="F370" s="4">
        <v>6</v>
      </c>
      <c r="G370" s="4">
        <v>15</v>
      </c>
      <c r="H370" s="24">
        <v>6.1939000000000002</v>
      </c>
      <c r="I370" s="4">
        <v>1E-3</v>
      </c>
      <c r="J370" s="4">
        <v>-32.159300000000002</v>
      </c>
      <c r="K370" s="4">
        <v>5.0000000000000001E-4</v>
      </c>
      <c r="L370" s="4">
        <v>0.05</v>
      </c>
      <c r="M370" s="4">
        <v>6.0000000000000001E-3</v>
      </c>
      <c r="N370" s="4">
        <v>-7.4000000000000003E-3</v>
      </c>
      <c r="O370" s="4">
        <v>4.0000000000000002E-4</v>
      </c>
      <c r="P370" s="4">
        <v>127.05</v>
      </c>
      <c r="Q370" s="4">
        <v>0.25</v>
      </c>
      <c r="R370" s="4">
        <f t="shared" si="8"/>
        <v>0.30115555555555557</v>
      </c>
      <c r="S370" s="22">
        <f t="shared" si="9"/>
        <v>5.9259259259259258E-4</v>
      </c>
    </row>
    <row r="371" spans="1:19">
      <c r="A371" s="28" t="s">
        <v>144</v>
      </c>
      <c r="B371" s="29">
        <v>21222221</v>
      </c>
      <c r="C371" s="29"/>
      <c r="D371" s="29">
        <v>0.75</v>
      </c>
      <c r="E371" s="4">
        <v>8</v>
      </c>
      <c r="F371" s="4">
        <v>6</v>
      </c>
      <c r="G371" s="4">
        <v>15</v>
      </c>
      <c r="H371" s="30">
        <v>6.2961</v>
      </c>
      <c r="I371" s="4">
        <v>5.0000000000000001E-4</v>
      </c>
      <c r="J371" s="29">
        <v>-33.285699999999999</v>
      </c>
      <c r="K371" s="4">
        <v>2E-3</v>
      </c>
      <c r="L371" s="4">
        <v>9.1999999999999998E-2</v>
      </c>
      <c r="M371" s="4">
        <v>1.4E-2</v>
      </c>
      <c r="N371" s="4">
        <v>-8.9999999999999993E-3</v>
      </c>
      <c r="O371" s="4">
        <v>1E-4</v>
      </c>
      <c r="P371" s="4">
        <v>122.94</v>
      </c>
      <c r="Q371" s="4">
        <v>0.13</v>
      </c>
      <c r="R371" s="29">
        <f t="shared" si="8"/>
        <v>0.2914133333333333</v>
      </c>
      <c r="S371" s="22">
        <f t="shared" si="9"/>
        <v>3.0814814814814816E-4</v>
      </c>
    </row>
    <row r="372" spans="1:19">
      <c r="A372" s="33" t="s">
        <v>144</v>
      </c>
      <c r="B372" s="34">
        <v>21222221</v>
      </c>
      <c r="C372" s="34"/>
      <c r="D372" s="34">
        <v>1</v>
      </c>
      <c r="E372" s="4">
        <v>8</v>
      </c>
      <c r="F372" s="4">
        <v>6</v>
      </c>
      <c r="G372" s="4">
        <v>15</v>
      </c>
      <c r="H372" s="40">
        <v>6.3811</v>
      </c>
      <c r="I372" s="4">
        <v>8.0000000000000004E-4</v>
      </c>
      <c r="J372" s="34">
        <v>-34.534799999999997</v>
      </c>
      <c r="K372" s="4">
        <v>1.8E-3</v>
      </c>
      <c r="L372" s="4">
        <v>0.13700000000000001</v>
      </c>
      <c r="M372" s="4">
        <v>0.01</v>
      </c>
      <c r="N372" s="4">
        <v>-1.0800000000000001E-2</v>
      </c>
      <c r="O372" s="4">
        <v>1E-4</v>
      </c>
      <c r="P372" s="4">
        <v>117.19</v>
      </c>
      <c r="Q372" s="4">
        <v>0.12</v>
      </c>
      <c r="R372" s="34">
        <f t="shared" si="8"/>
        <v>0.2777837037037037</v>
      </c>
      <c r="S372" s="22">
        <f t="shared" si="9"/>
        <v>2.8444444444444443E-4</v>
      </c>
    </row>
    <row r="373" spans="1:19">
      <c r="A373" s="19" t="s">
        <v>145</v>
      </c>
      <c r="B373" s="20">
        <v>12212222</v>
      </c>
      <c r="C373" s="20"/>
      <c r="D373" s="20">
        <v>0.25</v>
      </c>
      <c r="E373" s="4">
        <v>8</v>
      </c>
      <c r="F373" s="4">
        <v>6</v>
      </c>
      <c r="G373" s="4">
        <v>15</v>
      </c>
      <c r="H373" s="21">
        <v>6.0998000000000001</v>
      </c>
      <c r="I373" s="4">
        <v>5.9999999999999995E-4</v>
      </c>
      <c r="J373" s="20">
        <v>-31.1386</v>
      </c>
      <c r="K373" s="4">
        <v>1.6000000000000001E-3</v>
      </c>
      <c r="L373" s="4">
        <v>3.5000000000000003E-2</v>
      </c>
      <c r="M373" s="4">
        <v>4.0000000000000001E-3</v>
      </c>
      <c r="N373" s="4">
        <v>-7.0000000000000001E-3</v>
      </c>
      <c r="O373" s="4">
        <v>4.0000000000000002E-4</v>
      </c>
      <c r="P373" s="4">
        <v>128.72</v>
      </c>
      <c r="Q373" s="4">
        <v>0.27</v>
      </c>
      <c r="R373" s="20">
        <f t="shared" si="8"/>
        <v>0.30511407407407409</v>
      </c>
      <c r="S373" s="22">
        <f t="shared" si="9"/>
        <v>6.4000000000000005E-4</v>
      </c>
    </row>
    <row r="374" spans="1:19">
      <c r="A374" s="23" t="s">
        <v>145</v>
      </c>
      <c r="B374" s="4">
        <v>12212222</v>
      </c>
      <c r="D374" s="4">
        <v>0.5</v>
      </c>
      <c r="E374" s="4">
        <v>8</v>
      </c>
      <c r="F374" s="4">
        <v>6</v>
      </c>
      <c r="G374" s="4">
        <v>15</v>
      </c>
      <c r="H374" s="24">
        <v>6.2423999999999999</v>
      </c>
      <c r="I374" s="4">
        <v>1E-3</v>
      </c>
      <c r="J374" s="4">
        <v>-32.159999999999997</v>
      </c>
      <c r="K374" s="4">
        <v>1.5E-3</v>
      </c>
      <c r="L374" s="4">
        <v>4.5999999999999999E-2</v>
      </c>
      <c r="M374" s="4">
        <v>6.0000000000000001E-3</v>
      </c>
      <c r="N374" s="4">
        <v>-7.6E-3</v>
      </c>
      <c r="O374" s="4">
        <v>1E-4</v>
      </c>
      <c r="P374" s="4">
        <v>126.08</v>
      </c>
      <c r="Q374" s="4">
        <v>0.05</v>
      </c>
      <c r="R374" s="4">
        <f t="shared" si="8"/>
        <v>0.29885629629629629</v>
      </c>
      <c r="S374" s="22">
        <f t="shared" si="9"/>
        <v>1.1851851851851852E-4</v>
      </c>
    </row>
    <row r="375" spans="1:19">
      <c r="A375" s="28" t="s">
        <v>145</v>
      </c>
      <c r="B375" s="29">
        <v>12212222</v>
      </c>
      <c r="C375" s="29"/>
      <c r="D375" s="29">
        <v>0.75</v>
      </c>
      <c r="E375" s="4">
        <v>8</v>
      </c>
      <c r="F375" s="4">
        <v>6</v>
      </c>
      <c r="G375" s="4">
        <v>15</v>
      </c>
      <c r="H375" s="30">
        <v>6.3648999999999996</v>
      </c>
      <c r="I375" s="4">
        <v>4.0000000000000002E-4</v>
      </c>
      <c r="J375" s="29">
        <v>-33.3005</v>
      </c>
      <c r="K375" s="4">
        <v>1E-3</v>
      </c>
      <c r="L375" s="4">
        <v>8.1000000000000003E-2</v>
      </c>
      <c r="M375" s="4">
        <v>8.0000000000000002E-3</v>
      </c>
      <c r="N375" s="4">
        <v>-9.4000000000000004E-3</v>
      </c>
      <c r="O375" s="4">
        <v>2.9999999999999997E-4</v>
      </c>
      <c r="P375" s="4">
        <v>121.23</v>
      </c>
      <c r="Q375" s="4">
        <v>0.21</v>
      </c>
      <c r="R375" s="29">
        <f t="shared" si="8"/>
        <v>0.28736</v>
      </c>
      <c r="S375" s="22">
        <f t="shared" si="9"/>
        <v>4.9777777777777776E-4</v>
      </c>
    </row>
    <row r="376" spans="1:19">
      <c r="A376" s="33" t="s">
        <v>145</v>
      </c>
      <c r="B376" s="34">
        <v>12212222</v>
      </c>
      <c r="C376" s="34"/>
      <c r="D376" s="34">
        <v>1</v>
      </c>
      <c r="E376" s="4">
        <v>8</v>
      </c>
      <c r="F376" s="4">
        <v>6</v>
      </c>
      <c r="G376" s="4">
        <v>15</v>
      </c>
      <c r="H376" s="40">
        <v>6.468</v>
      </c>
      <c r="I376" s="4">
        <v>1E-3</v>
      </c>
      <c r="J376" s="34">
        <v>-34.582500000000003</v>
      </c>
      <c r="K376" s="4">
        <v>1.2999999999999999E-3</v>
      </c>
      <c r="L376" s="4">
        <v>0.13200000000000001</v>
      </c>
      <c r="M376" s="4">
        <v>7.0000000000000001E-3</v>
      </c>
      <c r="N376" s="4">
        <v>-1.23E-2</v>
      </c>
      <c r="O376" s="4">
        <v>1E-4</v>
      </c>
      <c r="P376" s="4">
        <v>113.04</v>
      </c>
      <c r="Q376" s="4">
        <v>0.02</v>
      </c>
      <c r="R376" s="34">
        <f t="shared" si="8"/>
        <v>0.26794666666666667</v>
      </c>
      <c r="S376" s="22">
        <f t="shared" si="9"/>
        <v>4.7407407407407407E-5</v>
      </c>
    </row>
    <row r="377" spans="1:19">
      <c r="A377" s="19" t="s">
        <v>146</v>
      </c>
      <c r="B377" s="20">
        <v>22212122</v>
      </c>
      <c r="C377" s="20"/>
      <c r="D377" s="20">
        <v>0.25</v>
      </c>
      <c r="E377" s="4">
        <v>8</v>
      </c>
      <c r="F377" s="4">
        <v>6</v>
      </c>
      <c r="G377" s="4">
        <v>15</v>
      </c>
      <c r="H377" s="21">
        <v>6.1642000000000001</v>
      </c>
      <c r="I377" s="4">
        <v>6.9999999999999999E-4</v>
      </c>
      <c r="J377" s="20">
        <v>-31.2547</v>
      </c>
      <c r="K377" s="4">
        <v>1.1000000000000001E-3</v>
      </c>
      <c r="L377" s="4">
        <v>3.2000000000000001E-2</v>
      </c>
      <c r="M377" s="4">
        <v>1E-3</v>
      </c>
      <c r="N377" s="4">
        <v>-6.3E-3</v>
      </c>
      <c r="O377" s="4">
        <v>1E-4</v>
      </c>
      <c r="P377" s="4">
        <v>129.13</v>
      </c>
      <c r="Q377" s="4">
        <v>0.14000000000000001</v>
      </c>
      <c r="R377" s="20">
        <f t="shared" si="8"/>
        <v>0.30608592592592593</v>
      </c>
      <c r="S377" s="22">
        <f t="shared" si="9"/>
        <v>3.3185185185185189E-4</v>
      </c>
    </row>
    <row r="378" spans="1:19">
      <c r="A378" s="23" t="s">
        <v>146</v>
      </c>
      <c r="B378" s="4">
        <v>22212122</v>
      </c>
      <c r="D378" s="4">
        <v>0.5</v>
      </c>
      <c r="E378" s="4">
        <v>8</v>
      </c>
      <c r="F378" s="4">
        <v>6</v>
      </c>
      <c r="G378" s="4">
        <v>15</v>
      </c>
      <c r="H378" s="24">
        <v>6.3795000000000002</v>
      </c>
      <c r="I378" s="4">
        <v>5.9999999999999995E-4</v>
      </c>
      <c r="J378" s="4">
        <v>-32.361899999999999</v>
      </c>
      <c r="K378" s="4">
        <v>1.8E-3</v>
      </c>
      <c r="L378" s="4">
        <v>3.1E-2</v>
      </c>
      <c r="M378" s="4">
        <v>6.0000000000000001E-3</v>
      </c>
      <c r="N378" s="4">
        <v>-6.7999999999999996E-3</v>
      </c>
      <c r="O378" s="4">
        <v>4.0000000000000002E-4</v>
      </c>
      <c r="P378" s="4">
        <v>127.42</v>
      </c>
      <c r="Q378" s="4">
        <v>0.3</v>
      </c>
      <c r="R378" s="4">
        <f t="shared" si="8"/>
        <v>0.30203259259259257</v>
      </c>
      <c r="S378" s="22">
        <f t="shared" si="9"/>
        <v>7.1111111111111104E-4</v>
      </c>
    </row>
    <row r="379" spans="1:19">
      <c r="A379" s="28" t="s">
        <v>146</v>
      </c>
      <c r="B379" s="29">
        <v>22212122</v>
      </c>
      <c r="C379" s="29"/>
      <c r="D379" s="29">
        <v>0.75</v>
      </c>
      <c r="E379" s="4">
        <v>8</v>
      </c>
      <c r="F379" s="4">
        <v>6</v>
      </c>
      <c r="G379" s="4">
        <v>15</v>
      </c>
      <c r="H379" s="30">
        <v>6.5898000000000003</v>
      </c>
      <c r="I379" s="4">
        <v>8.9999999999999998E-4</v>
      </c>
      <c r="J379" s="29">
        <v>-33.546300000000002</v>
      </c>
      <c r="K379" s="4">
        <v>1.4E-3</v>
      </c>
      <c r="L379" s="4">
        <v>2.5000000000000001E-2</v>
      </c>
      <c r="M379" s="4">
        <v>2E-3</v>
      </c>
      <c r="N379" s="4">
        <v>-6.8999999999999999E-3</v>
      </c>
      <c r="O379" s="4">
        <v>2.0000000000000001E-4</v>
      </c>
      <c r="P379" s="4">
        <v>124.97</v>
      </c>
      <c r="Q379" s="4">
        <v>0.13</v>
      </c>
      <c r="R379" s="29">
        <f t="shared" si="8"/>
        <v>0.2962251851851852</v>
      </c>
      <c r="S379" s="22">
        <f t="shared" si="9"/>
        <v>3.0814814814814816E-4</v>
      </c>
    </row>
    <row r="380" spans="1:19">
      <c r="A380" s="33" t="s">
        <v>146</v>
      </c>
      <c r="B380" s="34">
        <v>22212122</v>
      </c>
      <c r="C380" s="34"/>
      <c r="D380" s="34">
        <v>1</v>
      </c>
      <c r="E380" s="4">
        <v>8</v>
      </c>
      <c r="F380" s="4">
        <v>6</v>
      </c>
      <c r="G380" s="4">
        <v>15</v>
      </c>
      <c r="H380" s="43">
        <v>6.7972999999999999</v>
      </c>
      <c r="I380" s="39">
        <v>8.9999999999999998E-4</v>
      </c>
      <c r="J380" s="38">
        <v>-34.805900000000001</v>
      </c>
      <c r="K380" s="39">
        <v>1.1000000000000001E-3</v>
      </c>
      <c r="L380" s="39">
        <v>5.0999999999999997E-2</v>
      </c>
      <c r="M380" s="39">
        <v>3.0000000000000001E-3</v>
      </c>
      <c r="N380" s="39">
        <v>-7.7999999999999996E-3</v>
      </c>
      <c r="O380" s="39">
        <v>0</v>
      </c>
      <c r="P380" s="39">
        <v>121.67</v>
      </c>
      <c r="Q380" s="39">
        <v>0.1</v>
      </c>
      <c r="R380" s="34">
        <f t="shared" si="8"/>
        <v>0.28840296296296297</v>
      </c>
      <c r="S380" s="22">
        <f t="shared" si="9"/>
        <v>2.3703703703703704E-4</v>
      </c>
    </row>
    <row r="381" spans="1:19">
      <c r="A381" s="19" t="s">
        <v>147</v>
      </c>
      <c r="B381" s="20">
        <v>22221212</v>
      </c>
      <c r="C381" s="20"/>
      <c r="D381" s="20">
        <v>0.25</v>
      </c>
      <c r="E381" s="4">
        <v>8</v>
      </c>
      <c r="F381" s="4">
        <v>6</v>
      </c>
      <c r="G381" s="4">
        <v>15</v>
      </c>
      <c r="H381" s="21">
        <v>6.1433999999999997</v>
      </c>
      <c r="I381" s="4">
        <v>5.9999999999999995E-4</v>
      </c>
      <c r="J381" s="20">
        <v>-31.3017</v>
      </c>
      <c r="K381" s="4">
        <v>1E-3</v>
      </c>
      <c r="L381" s="4">
        <v>0.03</v>
      </c>
      <c r="M381" s="4">
        <v>4.0000000000000001E-3</v>
      </c>
      <c r="N381" s="4">
        <v>-6.4999999999999997E-3</v>
      </c>
      <c r="O381" s="4">
        <v>1E-4</v>
      </c>
      <c r="P381" s="4">
        <v>128.91999999999999</v>
      </c>
      <c r="Q381" s="4">
        <v>0.1</v>
      </c>
      <c r="R381" s="20">
        <f t="shared" si="8"/>
        <v>0.30558814814814811</v>
      </c>
      <c r="S381" s="22">
        <f t="shared" si="9"/>
        <v>2.3703703703703704E-4</v>
      </c>
    </row>
    <row r="382" spans="1:19">
      <c r="A382" s="23" t="s">
        <v>147</v>
      </c>
      <c r="B382" s="4">
        <v>22221212</v>
      </c>
      <c r="D382" s="4">
        <v>0.5</v>
      </c>
      <c r="E382" s="4">
        <v>8</v>
      </c>
      <c r="F382" s="4">
        <v>6</v>
      </c>
      <c r="G382" s="4">
        <v>15</v>
      </c>
      <c r="H382" s="24">
        <v>6.3335999999999997</v>
      </c>
      <c r="I382" s="4">
        <v>1E-3</v>
      </c>
      <c r="J382" s="4">
        <v>-32.473100000000002</v>
      </c>
      <c r="K382" s="4">
        <v>1E-3</v>
      </c>
      <c r="L382" s="4">
        <v>3.2000000000000001E-2</v>
      </c>
      <c r="M382" s="4">
        <v>3.0000000000000001E-3</v>
      </c>
      <c r="N382" s="4">
        <v>-7.1000000000000004E-3</v>
      </c>
      <c r="O382" s="4">
        <v>2.0000000000000001E-4</v>
      </c>
      <c r="P382" s="4">
        <v>126.62</v>
      </c>
      <c r="Q382" s="4">
        <v>0.17</v>
      </c>
      <c r="R382" s="4">
        <f t="shared" si="8"/>
        <v>0.30013629629629629</v>
      </c>
      <c r="S382" s="22">
        <f t="shared" si="9"/>
        <v>4.0296296296296299E-4</v>
      </c>
    </row>
    <row r="383" spans="1:19">
      <c r="A383" s="28" t="s">
        <v>147</v>
      </c>
      <c r="B383" s="29">
        <v>22221212</v>
      </c>
      <c r="C383" s="29"/>
      <c r="D383" s="29">
        <v>0.75</v>
      </c>
      <c r="E383" s="4">
        <v>8</v>
      </c>
      <c r="F383" s="4">
        <v>6</v>
      </c>
      <c r="G383" s="4">
        <v>15</v>
      </c>
      <c r="H383" s="30">
        <v>6.5141</v>
      </c>
      <c r="I383" s="4">
        <v>5.0000000000000001E-4</v>
      </c>
      <c r="J383" s="29">
        <v>-33.741900000000001</v>
      </c>
      <c r="K383" s="4">
        <v>1.1000000000000001E-3</v>
      </c>
      <c r="L383" s="4">
        <v>3.9E-2</v>
      </c>
      <c r="M383" s="4">
        <v>8.0000000000000002E-3</v>
      </c>
      <c r="N383" s="4">
        <v>-7.9000000000000008E-3</v>
      </c>
      <c r="O383" s="4">
        <v>2.0000000000000001E-4</v>
      </c>
      <c r="P383" s="4">
        <v>123.22</v>
      </c>
      <c r="Q383" s="4">
        <v>0.16</v>
      </c>
      <c r="R383" s="29">
        <f t="shared" si="8"/>
        <v>0.29207703703703702</v>
      </c>
      <c r="S383" s="22">
        <f t="shared" si="9"/>
        <v>3.7925925925925925E-4</v>
      </c>
    </row>
    <row r="384" spans="1:19">
      <c r="A384" s="33" t="s">
        <v>147</v>
      </c>
      <c r="B384" s="34">
        <v>22221212</v>
      </c>
      <c r="C384" s="34"/>
      <c r="D384" s="34">
        <v>1</v>
      </c>
      <c r="E384" s="4">
        <v>8</v>
      </c>
      <c r="F384" s="4">
        <v>6</v>
      </c>
      <c r="G384" s="4">
        <v>15</v>
      </c>
      <c r="H384" s="40">
        <v>6.6852999999999998</v>
      </c>
      <c r="I384" s="4">
        <v>6.9999999999999999E-4</v>
      </c>
      <c r="J384" s="34">
        <v>-35.113999999999997</v>
      </c>
      <c r="K384" s="4">
        <v>1.6999999999999999E-3</v>
      </c>
      <c r="L384" s="4">
        <v>5.8000000000000003E-2</v>
      </c>
      <c r="M384" s="4">
        <v>3.0000000000000001E-3</v>
      </c>
      <c r="N384" s="4">
        <v>-9.1000000000000004E-3</v>
      </c>
      <c r="O384" s="4">
        <v>2.9999999999999997E-4</v>
      </c>
      <c r="P384" s="4">
        <v>118.47</v>
      </c>
      <c r="Q384" s="4">
        <v>0.28999999999999998</v>
      </c>
      <c r="R384" s="34">
        <f t="shared" si="8"/>
        <v>0.28081777777777778</v>
      </c>
      <c r="S384" s="22">
        <f t="shared" si="9"/>
        <v>6.8740740740740741E-4</v>
      </c>
    </row>
    <row r="385" spans="1:19">
      <c r="A385" s="19" t="s">
        <v>148</v>
      </c>
      <c r="B385" s="20">
        <v>12222221</v>
      </c>
      <c r="C385" s="20" t="s">
        <v>19</v>
      </c>
      <c r="D385" s="45">
        <v>0.25</v>
      </c>
      <c r="E385" s="4">
        <v>8</v>
      </c>
      <c r="F385" s="4">
        <v>6</v>
      </c>
      <c r="G385" s="4">
        <v>15</v>
      </c>
      <c r="H385" s="21">
        <v>6.0282999999999998</v>
      </c>
      <c r="I385" s="4">
        <v>8.9999999999999998E-4</v>
      </c>
      <c r="J385" s="20">
        <v>-31.014600000000002</v>
      </c>
      <c r="K385" s="4">
        <v>1.1000000000000001E-3</v>
      </c>
      <c r="L385" s="4">
        <v>4.2000000000000003E-2</v>
      </c>
      <c r="M385" s="4">
        <v>5.0000000000000001E-3</v>
      </c>
      <c r="N385" s="4">
        <v>-7.0000000000000001E-3</v>
      </c>
      <c r="O385" s="4">
        <v>2.0000000000000001E-4</v>
      </c>
      <c r="P385" s="4">
        <v>128.84</v>
      </c>
      <c r="Q385" s="4">
        <v>0.26</v>
      </c>
      <c r="R385" s="20">
        <f t="shared" si="8"/>
        <v>0.30539851851851851</v>
      </c>
      <c r="S385" s="22">
        <f t="shared" si="9"/>
        <v>6.1629629629629632E-4</v>
      </c>
    </row>
    <row r="386" spans="1:19">
      <c r="A386" s="23" t="s">
        <v>148</v>
      </c>
      <c r="B386" s="4">
        <v>12222221</v>
      </c>
      <c r="C386" s="4" t="s">
        <v>19</v>
      </c>
      <c r="D386" s="4">
        <v>0.5</v>
      </c>
      <c r="E386" s="4">
        <v>8</v>
      </c>
      <c r="F386" s="4">
        <v>6</v>
      </c>
      <c r="G386" s="4">
        <v>15</v>
      </c>
      <c r="H386" s="24">
        <v>6.0883000000000003</v>
      </c>
      <c r="I386" s="4">
        <v>6.9999999999999999E-4</v>
      </c>
      <c r="J386" s="29">
        <v>-31.941800000000001</v>
      </c>
      <c r="K386" s="4">
        <v>2.0999999999999999E-3</v>
      </c>
      <c r="L386" s="4">
        <v>8.4000000000000005E-2</v>
      </c>
      <c r="M386" s="4">
        <v>1.0999999999999999E-2</v>
      </c>
      <c r="N386" s="4">
        <v>-8.3999999999999995E-3</v>
      </c>
      <c r="O386" s="4">
        <v>2.0000000000000001E-4</v>
      </c>
      <c r="P386" s="4">
        <v>125.61</v>
      </c>
      <c r="Q386" s="4">
        <v>0.28999999999999998</v>
      </c>
      <c r="R386" s="29">
        <f t="shared" si="8"/>
        <v>0.29774222222222224</v>
      </c>
      <c r="S386" s="22">
        <f t="shared" si="9"/>
        <v>6.8740740740740741E-4</v>
      </c>
    </row>
    <row r="387" spans="1:19">
      <c r="A387" s="28" t="s">
        <v>148</v>
      </c>
      <c r="B387" s="29">
        <v>12222221</v>
      </c>
      <c r="C387" s="29" t="s">
        <v>19</v>
      </c>
      <c r="D387" s="29">
        <v>0.75</v>
      </c>
      <c r="E387" s="4">
        <v>8</v>
      </c>
      <c r="F387" s="4">
        <v>6</v>
      </c>
      <c r="G387" s="4">
        <v>15</v>
      </c>
      <c r="H387" s="30">
        <v>6.1150000000000002</v>
      </c>
      <c r="I387" s="4">
        <v>2.9999999999999997E-4</v>
      </c>
      <c r="J387" s="4">
        <v>-33.035800000000002</v>
      </c>
      <c r="K387" s="4">
        <v>6.9999999999999999E-4</v>
      </c>
      <c r="L387" s="4">
        <v>0.153</v>
      </c>
      <c r="M387" s="4">
        <v>5.0000000000000001E-3</v>
      </c>
      <c r="N387" s="4">
        <v>-1.12E-2</v>
      </c>
      <c r="O387" s="4">
        <v>1E-4</v>
      </c>
      <c r="P387" s="4">
        <v>118.85</v>
      </c>
      <c r="Q387" s="4">
        <v>0.06</v>
      </c>
      <c r="R387" s="4">
        <f t="shared" si="8"/>
        <v>0.28171851851851848</v>
      </c>
      <c r="S387" s="22">
        <f t="shared" si="9"/>
        <v>1.4222222222222221E-4</v>
      </c>
    </row>
    <row r="388" spans="1:19">
      <c r="A388" s="33" t="s">
        <v>148</v>
      </c>
      <c r="B388" s="34">
        <v>12222221</v>
      </c>
      <c r="C388" s="34" t="s">
        <v>19</v>
      </c>
      <c r="D388" s="34">
        <v>1</v>
      </c>
      <c r="E388" s="4">
        <v>8</v>
      </c>
      <c r="F388" s="4">
        <v>6</v>
      </c>
      <c r="G388" s="4">
        <v>15</v>
      </c>
      <c r="H388" s="43">
        <v>6.0926999999999998</v>
      </c>
      <c r="I388" s="4">
        <v>6.9999999999999999E-4</v>
      </c>
      <c r="J388" s="34">
        <v>-34.354399999999998</v>
      </c>
      <c r="K388" s="4">
        <v>2E-3</v>
      </c>
      <c r="L388" s="4">
        <v>0.24399999999999999</v>
      </c>
      <c r="M388" s="4">
        <v>1.4999999999999999E-2</v>
      </c>
      <c r="N388" s="4">
        <v>-1.5599999999999999E-2</v>
      </c>
      <c r="O388" s="4">
        <v>2.9999999999999997E-4</v>
      </c>
      <c r="P388" s="4">
        <v>106.24</v>
      </c>
      <c r="Q388" s="4">
        <v>0.59</v>
      </c>
      <c r="R388" s="34">
        <f t="shared" si="8"/>
        <v>0.25182814814814813</v>
      </c>
      <c r="S388" s="22">
        <f t="shared" si="9"/>
        <v>1.3985185185185183E-3</v>
      </c>
    </row>
    <row r="389" spans="1:19">
      <c r="A389" s="19" t="s">
        <v>149</v>
      </c>
      <c r="B389" s="20">
        <v>21222122</v>
      </c>
      <c r="C389" s="20"/>
      <c r="D389" s="20">
        <v>0.25</v>
      </c>
      <c r="E389" s="4">
        <v>8</v>
      </c>
      <c r="F389" s="4">
        <v>6</v>
      </c>
      <c r="G389" s="4">
        <v>15</v>
      </c>
      <c r="H389" s="21">
        <v>6.1375000000000002</v>
      </c>
      <c r="I389" s="4">
        <v>5.0000000000000001E-4</v>
      </c>
      <c r="J389" s="20">
        <v>-31.249600000000001</v>
      </c>
      <c r="K389" s="4">
        <v>5.9999999999999995E-4</v>
      </c>
      <c r="L389" s="4">
        <v>3.2000000000000001E-2</v>
      </c>
      <c r="M389" s="4">
        <v>4.0000000000000001E-3</v>
      </c>
      <c r="N389" s="4">
        <v>-6.7000000000000002E-3</v>
      </c>
      <c r="O389" s="4">
        <v>0</v>
      </c>
      <c r="P389" s="4">
        <v>129.04</v>
      </c>
      <c r="Q389" s="4">
        <v>0.04</v>
      </c>
      <c r="R389" s="20">
        <f t="shared" si="8"/>
        <v>0.30587259259259258</v>
      </c>
      <c r="S389" s="22">
        <f t="shared" si="9"/>
        <v>9.4814814814814813E-5</v>
      </c>
    </row>
    <row r="390" spans="1:19">
      <c r="A390" s="23" t="s">
        <v>149</v>
      </c>
      <c r="B390" s="4">
        <v>21222122</v>
      </c>
      <c r="D390" s="4">
        <v>0.5</v>
      </c>
      <c r="E390" s="4">
        <v>8</v>
      </c>
      <c r="F390" s="4">
        <v>6</v>
      </c>
      <c r="G390" s="4">
        <v>15</v>
      </c>
      <c r="H390" s="24">
        <v>6.3296999999999999</v>
      </c>
      <c r="I390" s="4">
        <v>8.0000000000000004E-4</v>
      </c>
      <c r="J390" s="4">
        <v>-32.334400000000002</v>
      </c>
      <c r="K390" s="4">
        <v>1E-3</v>
      </c>
      <c r="L390" s="4">
        <v>2.5999999999999999E-2</v>
      </c>
      <c r="M390" s="4">
        <v>4.0000000000000001E-3</v>
      </c>
      <c r="N390" s="4">
        <v>-6.4999999999999997E-3</v>
      </c>
      <c r="O390" s="4">
        <v>2.0000000000000001E-4</v>
      </c>
      <c r="P390" s="4">
        <v>128.01</v>
      </c>
      <c r="Q390" s="4">
        <v>0.1</v>
      </c>
      <c r="R390" s="4">
        <f t="shared" si="8"/>
        <v>0.3034311111111111</v>
      </c>
      <c r="S390" s="22">
        <f t="shared" si="9"/>
        <v>2.3703703703703704E-4</v>
      </c>
    </row>
    <row r="391" spans="1:19">
      <c r="A391" s="28" t="s">
        <v>149</v>
      </c>
      <c r="B391" s="29">
        <v>21222122</v>
      </c>
      <c r="C391" s="29"/>
      <c r="D391" s="29">
        <v>0.75</v>
      </c>
      <c r="E391" s="4">
        <v>8</v>
      </c>
      <c r="F391" s="4">
        <v>6</v>
      </c>
      <c r="G391" s="4">
        <v>15</v>
      </c>
      <c r="H391" s="30">
        <v>6.5152999999999999</v>
      </c>
      <c r="I391" s="4">
        <v>4.0000000000000002E-4</v>
      </c>
      <c r="J391" s="29">
        <v>-33.4848</v>
      </c>
      <c r="K391" s="4">
        <v>1.1000000000000001E-3</v>
      </c>
      <c r="L391" s="4">
        <v>3.4000000000000002E-2</v>
      </c>
      <c r="M391" s="4">
        <v>6.0000000000000001E-3</v>
      </c>
      <c r="N391" s="4">
        <v>-6.8999999999999999E-3</v>
      </c>
      <c r="O391" s="4">
        <v>2.9999999999999997E-4</v>
      </c>
      <c r="P391" s="4">
        <v>126.17</v>
      </c>
      <c r="Q391" s="4">
        <v>0.18</v>
      </c>
      <c r="R391" s="29">
        <f t="shared" si="8"/>
        <v>0.29906962962962963</v>
      </c>
      <c r="S391" s="22">
        <f t="shared" si="9"/>
        <v>4.2666666666666667E-4</v>
      </c>
    </row>
    <row r="392" spans="1:19">
      <c r="A392" s="33" t="s">
        <v>149</v>
      </c>
      <c r="B392" s="34">
        <v>21222122</v>
      </c>
      <c r="C392" s="34"/>
      <c r="D392" s="34">
        <v>1</v>
      </c>
      <c r="E392" s="4">
        <v>8</v>
      </c>
      <c r="F392" s="4">
        <v>6</v>
      </c>
      <c r="G392" s="4">
        <v>15</v>
      </c>
      <c r="H392" s="40">
        <v>6.6988000000000003</v>
      </c>
      <c r="I392" s="4">
        <v>4.0000000000000002E-4</v>
      </c>
      <c r="J392" s="34">
        <v>-34.698099999999997</v>
      </c>
      <c r="K392" s="4">
        <v>2.0999999999999999E-3</v>
      </c>
      <c r="L392" s="4">
        <v>3.2000000000000001E-2</v>
      </c>
      <c r="M392" s="4">
        <v>5.0000000000000001E-3</v>
      </c>
      <c r="N392" s="4">
        <v>-7.3000000000000001E-3</v>
      </c>
      <c r="O392" s="4">
        <v>2.0000000000000001E-4</v>
      </c>
      <c r="P392" s="4">
        <v>123.68</v>
      </c>
      <c r="Q392" s="4">
        <v>0.17</v>
      </c>
      <c r="R392" s="34">
        <f t="shared" si="8"/>
        <v>0.29316740740740743</v>
      </c>
      <c r="S392" s="22">
        <f t="shared" si="9"/>
        <v>4.0296296296296299E-4</v>
      </c>
    </row>
    <row r="393" spans="1:19">
      <c r="A393" s="19" t="s">
        <v>150</v>
      </c>
      <c r="B393" s="20">
        <v>22112222</v>
      </c>
      <c r="C393" s="20"/>
      <c r="D393" s="20">
        <v>0.25</v>
      </c>
      <c r="E393" s="4">
        <v>8</v>
      </c>
      <c r="F393" s="4">
        <v>6</v>
      </c>
      <c r="G393" s="4">
        <v>15</v>
      </c>
      <c r="H393" s="21">
        <v>6.1619000000000002</v>
      </c>
      <c r="I393" s="4">
        <v>2.9999999999999997E-4</v>
      </c>
      <c r="J393" s="20">
        <v>-31.174900000000001</v>
      </c>
      <c r="K393" s="4">
        <v>1.6999999999999999E-3</v>
      </c>
      <c r="L393" s="4">
        <v>3.1E-2</v>
      </c>
      <c r="M393" s="4">
        <v>6.0000000000000001E-3</v>
      </c>
      <c r="N393" s="4">
        <v>-6.7000000000000002E-3</v>
      </c>
      <c r="O393" s="4">
        <v>1E-4</v>
      </c>
      <c r="P393" s="4">
        <v>128.66</v>
      </c>
      <c r="Q393" s="4">
        <v>7.0000000000000007E-2</v>
      </c>
      <c r="R393" s="20">
        <f t="shared" si="8"/>
        <v>0.30497185185185183</v>
      </c>
      <c r="S393" s="22">
        <f t="shared" si="9"/>
        <v>1.6592592592592595E-4</v>
      </c>
    </row>
    <row r="394" spans="1:19">
      <c r="A394" s="23" t="s">
        <v>150</v>
      </c>
      <c r="B394" s="4">
        <v>22112222</v>
      </c>
      <c r="D394" s="4">
        <v>0.5</v>
      </c>
      <c r="E394" s="4">
        <v>8</v>
      </c>
      <c r="F394" s="4">
        <v>6</v>
      </c>
      <c r="G394" s="4">
        <v>15</v>
      </c>
      <c r="H394" s="24">
        <v>6.3699000000000003</v>
      </c>
      <c r="I394" s="4">
        <v>8.0000000000000004E-4</v>
      </c>
      <c r="J394" s="4">
        <v>-32.242800000000003</v>
      </c>
      <c r="K394" s="4">
        <v>1.1000000000000001E-3</v>
      </c>
      <c r="L394" s="4">
        <v>2.8000000000000001E-2</v>
      </c>
      <c r="M394" s="4">
        <v>2E-3</v>
      </c>
      <c r="N394" s="4">
        <v>-6.8999999999999999E-3</v>
      </c>
      <c r="O394" s="4">
        <v>2.0000000000000001E-4</v>
      </c>
      <c r="P394" s="4">
        <v>126.15</v>
      </c>
      <c r="Q394" s="4">
        <v>0.14000000000000001</v>
      </c>
      <c r="R394" s="4">
        <f t="shared" si="8"/>
        <v>0.29902222222222224</v>
      </c>
      <c r="S394" s="22">
        <f t="shared" si="9"/>
        <v>3.3185185185185189E-4</v>
      </c>
    </row>
    <row r="395" spans="1:19">
      <c r="A395" s="28" t="s">
        <v>150</v>
      </c>
      <c r="B395" s="29">
        <v>22112222</v>
      </c>
      <c r="C395" s="29"/>
      <c r="D395" s="29">
        <v>0.75</v>
      </c>
      <c r="E395" s="4">
        <v>8</v>
      </c>
      <c r="F395" s="4">
        <v>6</v>
      </c>
      <c r="G395" s="4">
        <v>15</v>
      </c>
      <c r="H395" s="30">
        <v>6.5701000000000001</v>
      </c>
      <c r="I395" s="4">
        <v>5.9999999999999995E-4</v>
      </c>
      <c r="J395" s="29">
        <v>-33.434899999999999</v>
      </c>
      <c r="K395" s="4">
        <v>1.2999999999999999E-3</v>
      </c>
      <c r="L395" s="4">
        <v>3.5000000000000003E-2</v>
      </c>
      <c r="M395" s="4">
        <v>3.0000000000000001E-3</v>
      </c>
      <c r="N395" s="4">
        <v>-7.9000000000000008E-3</v>
      </c>
      <c r="O395" s="4">
        <v>1E-4</v>
      </c>
      <c r="P395" s="4">
        <v>122.16</v>
      </c>
      <c r="Q395" s="4">
        <v>0.11</v>
      </c>
      <c r="R395" s="29">
        <f t="shared" si="8"/>
        <v>0.28956444444444446</v>
      </c>
      <c r="S395" s="22">
        <f t="shared" si="9"/>
        <v>2.6074074074074075E-4</v>
      </c>
    </row>
    <row r="396" spans="1:19">
      <c r="A396" s="49" t="s">
        <v>150</v>
      </c>
      <c r="B396" s="38">
        <v>22112222</v>
      </c>
      <c r="C396" s="38"/>
      <c r="D396" s="38">
        <v>1</v>
      </c>
      <c r="E396" s="4">
        <v>8</v>
      </c>
      <c r="F396" s="4">
        <v>6</v>
      </c>
      <c r="G396" s="4">
        <v>15</v>
      </c>
      <c r="H396" s="40">
        <v>6.7690000000000001</v>
      </c>
      <c r="I396" s="4">
        <v>5.0000000000000001E-4</v>
      </c>
      <c r="J396" s="34">
        <v>-34.761099999999999</v>
      </c>
      <c r="K396" s="4">
        <v>1.6999999999999999E-3</v>
      </c>
      <c r="L396" s="4">
        <v>4.5999999999999999E-2</v>
      </c>
      <c r="M396" s="4">
        <v>4.0000000000000001E-3</v>
      </c>
      <c r="N396" s="4">
        <v>-9.2999999999999992E-3</v>
      </c>
      <c r="O396" s="4">
        <v>1E-4</v>
      </c>
      <c r="P396" s="4">
        <v>116.58</v>
      </c>
      <c r="Q396" s="4">
        <v>0.15</v>
      </c>
      <c r="R396" s="34">
        <f t="shared" si="8"/>
        <v>0.27633777777777779</v>
      </c>
      <c r="S396" s="22">
        <f t="shared" si="9"/>
        <v>3.5555555555555552E-4</v>
      </c>
    </row>
    <row r="397" spans="1:19">
      <c r="A397" s="19" t="s">
        <v>151</v>
      </c>
      <c r="B397" s="20">
        <v>22122221</v>
      </c>
      <c r="C397" s="20"/>
      <c r="D397" s="20">
        <v>0.25</v>
      </c>
      <c r="E397" s="4">
        <v>8</v>
      </c>
      <c r="F397" s="4">
        <v>6</v>
      </c>
      <c r="G397" s="4">
        <v>15</v>
      </c>
      <c r="H397" s="21">
        <v>6.0937999999999999</v>
      </c>
      <c r="I397" s="4">
        <v>4.0000000000000002E-4</v>
      </c>
      <c r="J397" s="20">
        <v>-31.111499999999999</v>
      </c>
      <c r="K397" s="4">
        <v>6.9999999999999999E-4</v>
      </c>
      <c r="L397" s="4">
        <v>2.5999999999999999E-2</v>
      </c>
      <c r="M397" s="4">
        <v>2E-3</v>
      </c>
      <c r="N397" s="4">
        <v>-6.7999999999999996E-3</v>
      </c>
      <c r="O397" s="4">
        <v>2.9999999999999997E-4</v>
      </c>
      <c r="P397" s="4">
        <v>128.99</v>
      </c>
      <c r="Q397" s="4">
        <v>0.2</v>
      </c>
      <c r="R397" s="20">
        <f t="shared" ref="R397:R424" si="10">P397*E397/G397^3</f>
        <v>0.30575407407407412</v>
      </c>
      <c r="S397" s="22">
        <f t="shared" si="9"/>
        <v>4.7407407407407408E-4</v>
      </c>
    </row>
    <row r="398" spans="1:19">
      <c r="A398" s="23" t="s">
        <v>151</v>
      </c>
      <c r="B398" s="4">
        <v>22122221</v>
      </c>
      <c r="D398" s="4">
        <v>0.5</v>
      </c>
      <c r="E398" s="4">
        <v>8</v>
      </c>
      <c r="F398" s="4">
        <v>6</v>
      </c>
      <c r="G398" s="4">
        <v>15</v>
      </c>
      <c r="H398" s="24">
        <v>6.2373000000000003</v>
      </c>
      <c r="I398" s="4">
        <v>1E-3</v>
      </c>
      <c r="J398" s="4">
        <v>-32.083399999999997</v>
      </c>
      <c r="K398" s="4">
        <v>1.4E-3</v>
      </c>
      <c r="L398" s="4">
        <v>3.6999999999999998E-2</v>
      </c>
      <c r="M398" s="4">
        <v>1.7999999999999999E-2</v>
      </c>
      <c r="N398" s="4">
        <v>-7.1999999999999998E-3</v>
      </c>
      <c r="O398" s="4">
        <v>1E-4</v>
      </c>
      <c r="P398" s="4">
        <v>127.18</v>
      </c>
      <c r="Q398" s="4">
        <v>0.13</v>
      </c>
      <c r="R398" s="4">
        <f t="shared" si="10"/>
        <v>0.30146370370370373</v>
      </c>
      <c r="S398" s="22">
        <f t="shared" si="9"/>
        <v>3.0814814814814816E-4</v>
      </c>
    </row>
    <row r="399" spans="1:19">
      <c r="A399" s="28" t="s">
        <v>151</v>
      </c>
      <c r="B399" s="29">
        <v>22122221</v>
      </c>
      <c r="C399" s="29"/>
      <c r="D399" s="29">
        <v>0.75</v>
      </c>
      <c r="E399" s="4">
        <v>8</v>
      </c>
      <c r="F399" s="4">
        <v>6</v>
      </c>
      <c r="G399" s="4">
        <v>15</v>
      </c>
      <c r="H399" s="30">
        <v>6.3673000000000002</v>
      </c>
      <c r="I399" s="4">
        <v>8.9999999999999998E-4</v>
      </c>
      <c r="J399" s="29">
        <v>-33.150399999999998</v>
      </c>
      <c r="K399" s="4">
        <v>1E-3</v>
      </c>
      <c r="L399" s="4">
        <v>6.8000000000000005E-2</v>
      </c>
      <c r="M399" s="4">
        <v>6.0000000000000001E-3</v>
      </c>
      <c r="N399" s="4">
        <v>-8.3999999999999995E-3</v>
      </c>
      <c r="O399" s="4">
        <v>1E-4</v>
      </c>
      <c r="P399" s="4">
        <v>123.81</v>
      </c>
      <c r="Q399" s="4">
        <v>0.13</v>
      </c>
      <c r="R399" s="29">
        <f t="shared" si="10"/>
        <v>0.29347555555555555</v>
      </c>
      <c r="S399" s="22">
        <f t="shared" si="9"/>
        <v>3.0814814814814816E-4</v>
      </c>
    </row>
    <row r="400" spans="1:19" ht="17" thickBot="1">
      <c r="A400" s="50" t="s">
        <v>151</v>
      </c>
      <c r="B400" s="14">
        <v>22122221</v>
      </c>
      <c r="C400" s="14"/>
      <c r="D400" s="14">
        <v>1</v>
      </c>
      <c r="E400" s="10">
        <v>8</v>
      </c>
      <c r="F400" s="10">
        <v>6</v>
      </c>
      <c r="G400" s="10">
        <v>15</v>
      </c>
      <c r="H400" s="15">
        <v>6.4862000000000002</v>
      </c>
      <c r="I400" s="10">
        <v>1E-3</v>
      </c>
      <c r="J400" s="14">
        <v>-34.3187</v>
      </c>
      <c r="K400" s="10">
        <v>1.8E-3</v>
      </c>
      <c r="L400" s="10">
        <v>7.8E-2</v>
      </c>
      <c r="M400" s="10">
        <v>6.0000000000000001E-3</v>
      </c>
      <c r="N400" s="10">
        <v>-9.7999999999999997E-3</v>
      </c>
      <c r="O400" s="10">
        <v>2.0000000000000001E-4</v>
      </c>
      <c r="P400" s="10">
        <v>119.02</v>
      </c>
      <c r="Q400" s="10">
        <v>0.19</v>
      </c>
      <c r="R400" s="14">
        <f t="shared" si="10"/>
        <v>0.28212148148148147</v>
      </c>
      <c r="S400" s="26">
        <f t="shared" si="9"/>
        <v>4.503703703703704E-4</v>
      </c>
    </row>
    <row r="401" spans="1:19" ht="17" thickTop="1">
      <c r="A401" s="27" t="s">
        <v>152</v>
      </c>
      <c r="B401" s="5">
        <v>22222221</v>
      </c>
      <c r="C401" s="5" t="s">
        <v>17</v>
      </c>
      <c r="D401" s="5">
        <v>0.25</v>
      </c>
      <c r="E401" s="7">
        <v>8</v>
      </c>
      <c r="F401" s="7">
        <v>7</v>
      </c>
      <c r="G401" s="7">
        <v>15</v>
      </c>
      <c r="H401" s="12">
        <v>6.6688000000000001</v>
      </c>
      <c r="I401" s="7">
        <v>8.0000000000000004E-4</v>
      </c>
      <c r="J401" s="5">
        <v>-34.173499999999997</v>
      </c>
      <c r="K401" s="7">
        <v>1E-3</v>
      </c>
      <c r="L401" s="7">
        <v>3.3000000000000002E-2</v>
      </c>
      <c r="M401" s="7">
        <v>3.0000000000000001E-3</v>
      </c>
      <c r="N401" s="7">
        <v>-6.3E-3</v>
      </c>
      <c r="O401" s="7">
        <v>2.9999999999999997E-4</v>
      </c>
      <c r="P401" s="7">
        <v>128.91</v>
      </c>
      <c r="Q401" s="7">
        <v>0.19</v>
      </c>
      <c r="R401" s="5">
        <f t="shared" si="10"/>
        <v>0.30556444444444442</v>
      </c>
      <c r="S401" s="18">
        <f t="shared" si="9"/>
        <v>4.503703703703704E-4</v>
      </c>
    </row>
    <row r="402" spans="1:19">
      <c r="A402" s="23" t="s">
        <v>152</v>
      </c>
      <c r="B402" s="4">
        <v>22222221</v>
      </c>
      <c r="C402" s="4" t="s">
        <v>17</v>
      </c>
      <c r="D402" s="4">
        <v>0.5</v>
      </c>
      <c r="E402" s="4">
        <v>8</v>
      </c>
      <c r="F402" s="4">
        <v>7</v>
      </c>
      <c r="G402" s="4">
        <v>15</v>
      </c>
      <c r="H402" s="24">
        <v>7.3766999999999996</v>
      </c>
      <c r="I402" s="4">
        <v>1E-3</v>
      </c>
      <c r="J402" s="4">
        <v>-38.201799999999999</v>
      </c>
      <c r="K402" s="4">
        <v>1.1999999999999999E-3</v>
      </c>
      <c r="L402" s="4">
        <v>5.1999999999999998E-2</v>
      </c>
      <c r="M402" s="4">
        <v>7.0000000000000001E-3</v>
      </c>
      <c r="N402" s="4">
        <v>-6.1999999999999998E-3</v>
      </c>
      <c r="O402" s="4">
        <v>2.0000000000000001E-4</v>
      </c>
      <c r="P402" s="4">
        <v>127</v>
      </c>
      <c r="Q402" s="4">
        <v>0.2</v>
      </c>
      <c r="R402" s="4">
        <f t="shared" si="10"/>
        <v>0.30103703703703705</v>
      </c>
      <c r="S402" s="22">
        <f t="shared" si="9"/>
        <v>4.7407407407407408E-4</v>
      </c>
    </row>
    <row r="403" spans="1:19">
      <c r="A403" s="28" t="s">
        <v>152</v>
      </c>
      <c r="B403" s="29">
        <v>22222221</v>
      </c>
      <c r="C403" s="29" t="s">
        <v>17</v>
      </c>
      <c r="D403" s="29">
        <v>0.75</v>
      </c>
      <c r="E403" s="4">
        <v>8</v>
      </c>
      <c r="F403" s="4">
        <v>7</v>
      </c>
      <c r="G403" s="4">
        <v>15</v>
      </c>
      <c r="H403" s="30">
        <v>8.0722000000000005</v>
      </c>
      <c r="I403" s="4">
        <v>8.0000000000000004E-4</v>
      </c>
      <c r="J403" s="29">
        <v>-42.304200000000002</v>
      </c>
      <c r="K403" s="4">
        <v>2.3E-3</v>
      </c>
      <c r="L403" s="4">
        <v>7.5999999999999998E-2</v>
      </c>
      <c r="M403" s="4">
        <v>3.0000000000000001E-3</v>
      </c>
      <c r="N403" s="4">
        <v>-7.0000000000000001E-3</v>
      </c>
      <c r="O403" s="4">
        <v>2.0000000000000001E-4</v>
      </c>
      <c r="P403" s="4">
        <v>123.63</v>
      </c>
      <c r="Q403" s="4">
        <v>0.2</v>
      </c>
      <c r="R403" s="29">
        <f t="shared" si="10"/>
        <v>0.29304888888888886</v>
      </c>
      <c r="S403" s="22">
        <f t="shared" si="9"/>
        <v>4.7407407407407408E-4</v>
      </c>
    </row>
    <row r="404" spans="1:19">
      <c r="A404" s="33" t="s">
        <v>152</v>
      </c>
      <c r="B404" s="34">
        <v>22222221</v>
      </c>
      <c r="C404" s="34" t="s">
        <v>17</v>
      </c>
      <c r="D404" s="34">
        <v>1</v>
      </c>
      <c r="E404" s="4">
        <v>8</v>
      </c>
      <c r="F404" s="4">
        <v>7</v>
      </c>
      <c r="G404" s="4">
        <v>15</v>
      </c>
      <c r="H404" s="40">
        <v>8.7523999999999997</v>
      </c>
      <c r="I404" s="4">
        <v>1E-3</v>
      </c>
      <c r="J404" s="34">
        <v>-46.472000000000001</v>
      </c>
      <c r="K404" s="4">
        <v>1.5E-3</v>
      </c>
      <c r="L404" s="4">
        <v>0.11600000000000001</v>
      </c>
      <c r="M404" s="4">
        <v>4.0000000000000001E-3</v>
      </c>
      <c r="N404" s="4">
        <v>-7.6E-3</v>
      </c>
      <c r="O404" s="4">
        <v>1E-4</v>
      </c>
      <c r="P404" s="4">
        <v>119.66</v>
      </c>
      <c r="Q404" s="4">
        <v>0.21</v>
      </c>
      <c r="R404" s="34">
        <f t="shared" si="10"/>
        <v>0.28363851851851851</v>
      </c>
      <c r="S404" s="22">
        <f t="shared" si="9"/>
        <v>4.9777777777777776E-4</v>
      </c>
    </row>
    <row r="405" spans="1:19">
      <c r="A405" s="19" t="s">
        <v>153</v>
      </c>
      <c r="B405" s="20">
        <v>22222212</v>
      </c>
      <c r="C405" s="20"/>
      <c r="D405" s="20">
        <v>0.25</v>
      </c>
      <c r="E405" s="4">
        <v>8</v>
      </c>
      <c r="F405" s="4">
        <v>7</v>
      </c>
      <c r="G405" s="4">
        <v>15</v>
      </c>
      <c r="H405" s="21">
        <v>6.72</v>
      </c>
      <c r="I405" s="4">
        <v>1E-3</v>
      </c>
      <c r="J405" s="20">
        <v>-34.316299999999998</v>
      </c>
      <c r="K405" s="4">
        <v>1.2999999999999999E-3</v>
      </c>
      <c r="L405" s="4">
        <v>3.1E-2</v>
      </c>
      <c r="M405" s="4">
        <v>6.0000000000000001E-3</v>
      </c>
      <c r="N405" s="4">
        <v>-5.8999999999999999E-3</v>
      </c>
      <c r="O405" s="4">
        <v>2.0000000000000001E-4</v>
      </c>
      <c r="P405" s="4">
        <v>129.19</v>
      </c>
      <c r="Q405" s="4">
        <v>0.12</v>
      </c>
      <c r="R405" s="20">
        <f t="shared" si="10"/>
        <v>0.30622814814814814</v>
      </c>
      <c r="S405" s="22">
        <f t="shared" si="9"/>
        <v>2.8444444444444443E-4</v>
      </c>
    </row>
    <row r="406" spans="1:19">
      <c r="A406" s="23" t="s">
        <v>153</v>
      </c>
      <c r="B406" s="4">
        <v>22222212</v>
      </c>
      <c r="D406" s="4">
        <v>0.5</v>
      </c>
      <c r="E406" s="4">
        <v>8</v>
      </c>
      <c r="F406" s="4">
        <v>7</v>
      </c>
      <c r="G406" s="4">
        <v>15</v>
      </c>
      <c r="H406" s="24">
        <v>7.4904000000000002</v>
      </c>
      <c r="I406" s="4">
        <v>1E-3</v>
      </c>
      <c r="J406" s="4">
        <v>-38.465299999999999</v>
      </c>
      <c r="K406" s="4">
        <v>5.0000000000000001E-4</v>
      </c>
      <c r="L406" s="4">
        <v>3.5999999999999997E-2</v>
      </c>
      <c r="M406" s="4">
        <v>3.0000000000000001E-3</v>
      </c>
      <c r="N406" s="4">
        <v>-6.0000000000000001E-3</v>
      </c>
      <c r="O406" s="4">
        <v>2.9999999999999997E-4</v>
      </c>
      <c r="P406" s="4">
        <v>127.7</v>
      </c>
      <c r="Q406" s="4">
        <v>0.23</v>
      </c>
      <c r="R406" s="4">
        <f t="shared" si="10"/>
        <v>0.3026962962962963</v>
      </c>
      <c r="S406" s="22">
        <f t="shared" si="9"/>
        <v>5.4518518518518523E-4</v>
      </c>
    </row>
    <row r="407" spans="1:19">
      <c r="A407" s="28" t="s">
        <v>153</v>
      </c>
      <c r="B407" s="29">
        <v>22222212</v>
      </c>
      <c r="C407" s="29"/>
      <c r="D407" s="29">
        <v>0.75</v>
      </c>
      <c r="E407" s="4">
        <v>8</v>
      </c>
      <c r="F407" s="4">
        <v>7</v>
      </c>
      <c r="G407" s="4">
        <v>15</v>
      </c>
      <c r="H407" s="30">
        <v>8.2538999999999998</v>
      </c>
      <c r="I407" s="4">
        <v>8.9999999999999998E-4</v>
      </c>
      <c r="J407" s="29">
        <v>-42.659500000000001</v>
      </c>
      <c r="K407" s="4">
        <v>4.0000000000000002E-4</v>
      </c>
      <c r="L407" s="4">
        <v>4.5999999999999999E-2</v>
      </c>
      <c r="M407" s="4">
        <v>6.0000000000000001E-3</v>
      </c>
      <c r="N407" s="4">
        <v>-5.7000000000000002E-3</v>
      </c>
      <c r="O407" s="4">
        <v>2.0000000000000001E-4</v>
      </c>
      <c r="P407" s="4">
        <v>126.22</v>
      </c>
      <c r="Q407" s="4">
        <v>0.19</v>
      </c>
      <c r="R407" s="29">
        <f t="shared" si="10"/>
        <v>0.29918814814814815</v>
      </c>
      <c r="S407" s="22">
        <f t="shared" si="9"/>
        <v>4.503703703703704E-4</v>
      </c>
    </row>
    <row r="408" spans="1:19">
      <c r="A408" s="33" t="s">
        <v>153</v>
      </c>
      <c r="B408" s="34">
        <v>22222212</v>
      </c>
      <c r="C408" s="34"/>
      <c r="D408" s="34">
        <v>1</v>
      </c>
      <c r="E408" s="4">
        <v>8</v>
      </c>
      <c r="F408" s="4">
        <v>7</v>
      </c>
      <c r="G408" s="4">
        <v>15</v>
      </c>
      <c r="H408" s="40">
        <v>9.0115999999999996</v>
      </c>
      <c r="I408" s="4">
        <v>5.9999999999999995E-4</v>
      </c>
      <c r="J408" s="34">
        <v>-46.89</v>
      </c>
      <c r="K408" s="4">
        <v>8.9999999999999998E-4</v>
      </c>
      <c r="L408" s="4">
        <v>5.0999999999999997E-2</v>
      </c>
      <c r="M408" s="4">
        <v>2E-3</v>
      </c>
      <c r="N408" s="4">
        <v>-5.7000000000000002E-3</v>
      </c>
      <c r="O408" s="4">
        <v>1E-4</v>
      </c>
      <c r="P408" s="4">
        <v>124.34</v>
      </c>
      <c r="Q408" s="4">
        <v>0.09</v>
      </c>
      <c r="R408" s="34">
        <f t="shared" si="10"/>
        <v>0.29473185185185186</v>
      </c>
      <c r="S408" s="22">
        <f t="shared" si="9"/>
        <v>2.1333333333333333E-4</v>
      </c>
    </row>
    <row r="409" spans="1:19">
      <c r="A409" s="19" t="s">
        <v>154</v>
      </c>
      <c r="B409" s="20">
        <v>22122222</v>
      </c>
      <c r="C409" s="20"/>
      <c r="D409" s="20">
        <v>0.25</v>
      </c>
      <c r="E409" s="4">
        <v>8</v>
      </c>
      <c r="F409" s="4">
        <v>7</v>
      </c>
      <c r="G409" s="4">
        <v>15</v>
      </c>
      <c r="H409" s="21">
        <v>6.7435</v>
      </c>
      <c r="I409" s="4">
        <v>1E-3</v>
      </c>
      <c r="J409" s="20">
        <v>-34.279400000000003</v>
      </c>
      <c r="K409" s="4">
        <v>2.7000000000000001E-3</v>
      </c>
      <c r="L409" s="4">
        <v>3.2000000000000001E-2</v>
      </c>
      <c r="M409" s="4">
        <v>7.0000000000000001E-3</v>
      </c>
      <c r="N409" s="4">
        <v>-5.7999999999999996E-3</v>
      </c>
      <c r="O409" s="4">
        <v>2.9999999999999997E-4</v>
      </c>
      <c r="P409" s="4">
        <v>129.25</v>
      </c>
      <c r="Q409" s="4">
        <v>0.26</v>
      </c>
      <c r="R409" s="20">
        <f t="shared" si="10"/>
        <v>0.30637037037037035</v>
      </c>
      <c r="S409" s="22">
        <f t="shared" si="9"/>
        <v>6.1629629629629632E-4</v>
      </c>
    </row>
    <row r="410" spans="1:19">
      <c r="A410" s="23" t="s">
        <v>154</v>
      </c>
      <c r="B410" s="4">
        <v>22122222</v>
      </c>
      <c r="D410" s="4">
        <v>0.5</v>
      </c>
      <c r="E410" s="4">
        <v>8</v>
      </c>
      <c r="F410" s="4">
        <v>7</v>
      </c>
      <c r="G410" s="4">
        <v>15</v>
      </c>
      <c r="H410" s="24">
        <v>7.5404999999999998</v>
      </c>
      <c r="I410" s="4">
        <v>8.0000000000000004E-4</v>
      </c>
      <c r="J410" s="4">
        <v>-38.3825</v>
      </c>
      <c r="K410" s="4">
        <v>1.1000000000000001E-3</v>
      </c>
      <c r="L410" s="4">
        <v>3.2000000000000001E-2</v>
      </c>
      <c r="M410" s="4">
        <v>5.0000000000000001E-3</v>
      </c>
      <c r="N410" s="4">
        <v>-5.4999999999999997E-3</v>
      </c>
      <c r="O410" s="4">
        <v>1E-4</v>
      </c>
      <c r="P410" s="4">
        <v>128.21</v>
      </c>
      <c r="Q410" s="4">
        <v>0.19</v>
      </c>
      <c r="R410" s="4">
        <f t="shared" si="10"/>
        <v>0.30390518518518522</v>
      </c>
      <c r="S410" s="22">
        <f t="shared" si="9"/>
        <v>4.503703703703704E-4</v>
      </c>
    </row>
    <row r="411" spans="1:19">
      <c r="A411" s="28" t="s">
        <v>154</v>
      </c>
      <c r="B411" s="29">
        <v>22122222</v>
      </c>
      <c r="C411" s="29"/>
      <c r="D411" s="29">
        <v>0.75</v>
      </c>
      <c r="E411" s="4">
        <v>8</v>
      </c>
      <c r="F411" s="4">
        <v>7</v>
      </c>
      <c r="G411" s="4">
        <v>15</v>
      </c>
      <c r="H411" s="30">
        <v>8.3330000000000002</v>
      </c>
      <c r="I411" s="4">
        <v>8.0000000000000004E-4</v>
      </c>
      <c r="J411" s="29">
        <v>-42.523099999999999</v>
      </c>
      <c r="K411" s="4">
        <v>2.0999999999999999E-3</v>
      </c>
      <c r="L411" s="4">
        <v>3.4000000000000002E-2</v>
      </c>
      <c r="M411" s="4">
        <v>2E-3</v>
      </c>
      <c r="N411" s="4">
        <v>-5.1000000000000004E-3</v>
      </c>
      <c r="O411" s="4">
        <v>2.9999999999999997E-4</v>
      </c>
      <c r="P411" s="4">
        <v>127.07</v>
      </c>
      <c r="Q411" s="4">
        <v>0.21</v>
      </c>
      <c r="R411" s="29">
        <f t="shared" si="10"/>
        <v>0.30120296296296295</v>
      </c>
      <c r="S411" s="22">
        <f t="shared" si="9"/>
        <v>4.9777777777777776E-4</v>
      </c>
    </row>
    <row r="412" spans="1:19">
      <c r="A412" s="33" t="s">
        <v>154</v>
      </c>
      <c r="B412" s="34">
        <v>22122222</v>
      </c>
      <c r="C412" s="34"/>
      <c r="D412" s="34">
        <v>1</v>
      </c>
      <c r="E412" s="4">
        <v>8</v>
      </c>
      <c r="F412" s="4">
        <v>7</v>
      </c>
      <c r="G412" s="4">
        <v>15</v>
      </c>
      <c r="H412" s="40">
        <v>9.1234999999999999</v>
      </c>
      <c r="I412" s="4">
        <v>8.9999999999999998E-4</v>
      </c>
      <c r="J412" s="34">
        <v>-46.6907</v>
      </c>
      <c r="K412" s="4">
        <v>2.0999999999999999E-3</v>
      </c>
      <c r="L412" s="4">
        <v>2.5999999999999999E-2</v>
      </c>
      <c r="M412" s="4">
        <v>3.0000000000000001E-3</v>
      </c>
      <c r="N412" s="4">
        <v>-5.0000000000000001E-3</v>
      </c>
      <c r="O412" s="4">
        <v>0</v>
      </c>
      <c r="P412" s="4">
        <v>125.78</v>
      </c>
      <c r="Q412" s="4">
        <v>0.08</v>
      </c>
      <c r="R412" s="34">
        <f t="shared" si="10"/>
        <v>0.29814518518518518</v>
      </c>
      <c r="S412" s="22">
        <f t="shared" si="9"/>
        <v>1.8962962962962963E-4</v>
      </c>
    </row>
    <row r="413" spans="1:19">
      <c r="A413" s="19" t="s">
        <v>155</v>
      </c>
      <c r="B413" s="20">
        <v>22221222</v>
      </c>
      <c r="C413" s="20" t="s">
        <v>30</v>
      </c>
      <c r="D413" s="20">
        <v>0.25</v>
      </c>
      <c r="E413" s="4">
        <v>8</v>
      </c>
      <c r="F413" s="4">
        <v>7</v>
      </c>
      <c r="G413" s="4">
        <v>15</v>
      </c>
      <c r="H413" s="21">
        <v>6.7552000000000003</v>
      </c>
      <c r="I413" s="4">
        <v>8.9999999999999998E-4</v>
      </c>
      <c r="J413" s="20">
        <v>-34.264299999999999</v>
      </c>
      <c r="K413" s="4">
        <v>1.8E-3</v>
      </c>
      <c r="L413" s="4">
        <v>3.5000000000000003E-2</v>
      </c>
      <c r="M413" s="4">
        <v>3.0000000000000001E-3</v>
      </c>
      <c r="N413" s="4">
        <v>-5.8999999999999999E-3</v>
      </c>
      <c r="O413" s="4">
        <v>1E-4</v>
      </c>
      <c r="P413" s="4">
        <v>129.26</v>
      </c>
      <c r="Q413" s="4">
        <v>0.15</v>
      </c>
      <c r="R413" s="20">
        <f t="shared" si="10"/>
        <v>0.30639407407407404</v>
      </c>
      <c r="S413" s="22">
        <f t="shared" si="9"/>
        <v>3.5555555555555552E-4</v>
      </c>
    </row>
    <row r="414" spans="1:19">
      <c r="A414" s="23" t="s">
        <v>155</v>
      </c>
      <c r="B414" s="4">
        <v>22221222</v>
      </c>
      <c r="C414" s="4" t="s">
        <v>30</v>
      </c>
      <c r="D414" s="4">
        <v>0.5</v>
      </c>
      <c r="E414" s="4">
        <v>8</v>
      </c>
      <c r="F414" s="4">
        <v>7</v>
      </c>
      <c r="G414" s="4">
        <v>15</v>
      </c>
      <c r="H414" s="24">
        <v>7.5609999999999999</v>
      </c>
      <c r="I414" s="4">
        <v>5.9999999999999995E-4</v>
      </c>
      <c r="J414" s="4">
        <v>-38.344900000000003</v>
      </c>
      <c r="K414" s="4">
        <v>2.0999999999999999E-3</v>
      </c>
      <c r="L414" s="4">
        <v>3.3000000000000002E-2</v>
      </c>
      <c r="M414" s="4">
        <v>1E-3</v>
      </c>
      <c r="N414" s="4">
        <v>-5.4999999999999997E-3</v>
      </c>
      <c r="O414" s="4">
        <v>1E-4</v>
      </c>
      <c r="P414" s="4">
        <v>128.36000000000001</v>
      </c>
      <c r="Q414" s="4">
        <v>0.19</v>
      </c>
      <c r="R414" s="4">
        <f t="shared" si="10"/>
        <v>0.30426074074074078</v>
      </c>
      <c r="S414" s="22">
        <f t="shared" si="9"/>
        <v>4.503703703703704E-4</v>
      </c>
    </row>
    <row r="415" spans="1:19">
      <c r="A415" s="28" t="s">
        <v>155</v>
      </c>
      <c r="B415" s="29">
        <v>22221222</v>
      </c>
      <c r="C415" s="29" t="s">
        <v>30</v>
      </c>
      <c r="D415" s="29">
        <v>0.75</v>
      </c>
      <c r="E415" s="4">
        <v>8</v>
      </c>
      <c r="F415" s="4">
        <v>7</v>
      </c>
      <c r="G415" s="4">
        <v>15</v>
      </c>
      <c r="H415" s="30">
        <v>8.3691999999999993</v>
      </c>
      <c r="I415" s="4">
        <v>5.9999999999999995E-4</v>
      </c>
      <c r="J415" s="29">
        <v>-42.463299999999997</v>
      </c>
      <c r="K415" s="4">
        <v>2.8E-3</v>
      </c>
      <c r="L415" s="4">
        <v>2.9000000000000001E-2</v>
      </c>
      <c r="M415" s="4">
        <v>4.0000000000000001E-3</v>
      </c>
      <c r="N415" s="4">
        <v>-5.1999999999999998E-3</v>
      </c>
      <c r="O415" s="4">
        <v>1E-4</v>
      </c>
      <c r="P415" s="4">
        <v>127.07</v>
      </c>
      <c r="Q415" s="4">
        <v>0.11</v>
      </c>
      <c r="R415" s="29">
        <f t="shared" si="10"/>
        <v>0.30120296296296295</v>
      </c>
      <c r="S415" s="22">
        <f>Q415*E415/G415^3</f>
        <v>2.6074074074074075E-4</v>
      </c>
    </row>
    <row r="416" spans="1:19" ht="17" thickBot="1">
      <c r="A416" s="50" t="s">
        <v>155</v>
      </c>
      <c r="B416" s="14">
        <v>22221222</v>
      </c>
      <c r="C416" s="14" t="s">
        <v>30</v>
      </c>
      <c r="D416" s="14">
        <v>1</v>
      </c>
      <c r="E416" s="10">
        <v>8</v>
      </c>
      <c r="F416" s="10">
        <v>7</v>
      </c>
      <c r="G416" s="10">
        <v>15</v>
      </c>
      <c r="H416" s="15">
        <v>9.1694999999999993</v>
      </c>
      <c r="I416" s="10">
        <v>8.0000000000000004E-4</v>
      </c>
      <c r="J416" s="14">
        <v>-46.604599999999998</v>
      </c>
      <c r="K416" s="10">
        <v>1.1999999999999999E-3</v>
      </c>
      <c r="L416" s="10">
        <v>2.4E-2</v>
      </c>
      <c r="M416" s="10">
        <v>1E-3</v>
      </c>
      <c r="N416" s="10">
        <v>-4.8999999999999998E-3</v>
      </c>
      <c r="O416" s="10">
        <v>1E-4</v>
      </c>
      <c r="P416" s="10">
        <v>126.1</v>
      </c>
      <c r="Q416" s="10">
        <v>0.08</v>
      </c>
      <c r="R416" s="14">
        <f t="shared" si="10"/>
        <v>0.29890370370370367</v>
      </c>
      <c r="S416" s="26">
        <f>Q416*E416/G416^3</f>
        <v>1.8962962962962963E-4</v>
      </c>
    </row>
    <row r="417" spans="1:19" ht="17" thickTop="1">
      <c r="A417" s="51" t="s">
        <v>156</v>
      </c>
      <c r="B417" s="6">
        <v>22222222</v>
      </c>
      <c r="C417" s="6" t="s">
        <v>13</v>
      </c>
      <c r="D417" s="6">
        <v>0</v>
      </c>
      <c r="E417" s="7">
        <v>8</v>
      </c>
      <c r="F417" s="7">
        <v>8</v>
      </c>
      <c r="G417" s="7">
        <v>15</v>
      </c>
      <c r="H417" s="8">
        <v>5.9393000000000002</v>
      </c>
      <c r="I417" s="7">
        <v>8.9999999999999998E-4</v>
      </c>
      <c r="J417" s="6">
        <v>-30.228200000000001</v>
      </c>
      <c r="K417" s="7">
        <v>1.9E-3</v>
      </c>
      <c r="L417" s="7">
        <v>0.03</v>
      </c>
      <c r="M417" s="7">
        <v>5.0000000000000001E-3</v>
      </c>
      <c r="N417" s="7">
        <v>-6.4000000000000003E-3</v>
      </c>
      <c r="O417" s="7">
        <v>2.0000000000000001E-4</v>
      </c>
      <c r="P417" s="7">
        <v>129.74</v>
      </c>
      <c r="Q417" s="7">
        <v>0.26</v>
      </c>
      <c r="R417" s="6">
        <f t="shared" si="10"/>
        <v>0.30753185185185189</v>
      </c>
      <c r="S417" s="18">
        <f t="shared" ref="S417" si="11">Q417*E417/G417^3</f>
        <v>6.1629629629629632E-4</v>
      </c>
    </row>
    <row r="418" spans="1:19">
      <c r="A418" s="19" t="s">
        <v>156</v>
      </c>
      <c r="B418" s="20">
        <v>22222222</v>
      </c>
      <c r="C418" s="20" t="s">
        <v>13</v>
      </c>
      <c r="D418" s="20">
        <v>0.25</v>
      </c>
      <c r="E418" s="4">
        <v>8</v>
      </c>
      <c r="F418" s="4">
        <v>8</v>
      </c>
      <c r="G418" s="4">
        <v>15</v>
      </c>
      <c r="H418" s="21">
        <v>7.4256000000000002</v>
      </c>
      <c r="I418" s="4">
        <v>8.9999999999999998E-4</v>
      </c>
      <c r="J418" s="20">
        <v>-37.786499999999997</v>
      </c>
      <c r="K418" s="4">
        <v>1.9E-3</v>
      </c>
      <c r="L418" s="4">
        <v>3.6999999999999998E-2</v>
      </c>
      <c r="M418" s="4">
        <v>4.0000000000000001E-3</v>
      </c>
      <c r="N418" s="4">
        <v>-5.5999999999999999E-3</v>
      </c>
      <c r="O418" s="4">
        <v>1E-4</v>
      </c>
      <c r="P418" s="4">
        <v>129.46</v>
      </c>
      <c r="Q418" s="4">
        <v>0.14000000000000001</v>
      </c>
      <c r="R418" s="20">
        <f t="shared" si="10"/>
        <v>0.30686814814814817</v>
      </c>
      <c r="S418" s="22">
        <f>Q418*E418/G418^3</f>
        <v>3.3185185185185189E-4</v>
      </c>
    </row>
    <row r="419" spans="1:19">
      <c r="A419" s="23" t="s">
        <v>156</v>
      </c>
      <c r="B419" s="4">
        <v>22222222</v>
      </c>
      <c r="C419" s="4" t="s">
        <v>13</v>
      </c>
      <c r="D419" s="4">
        <v>0.5</v>
      </c>
      <c r="E419" s="4">
        <v>8</v>
      </c>
      <c r="F419" s="4">
        <v>8</v>
      </c>
      <c r="G419" s="4">
        <v>15</v>
      </c>
      <c r="H419" s="24">
        <v>8.9094999999999995</v>
      </c>
      <c r="I419" s="4">
        <v>8.9999999999999998E-4</v>
      </c>
      <c r="J419" s="4">
        <v>-45.344000000000001</v>
      </c>
      <c r="K419" s="4">
        <v>4.0000000000000002E-4</v>
      </c>
      <c r="L419" s="4">
        <v>3.3000000000000002E-2</v>
      </c>
      <c r="M419" s="4">
        <v>3.0000000000000001E-3</v>
      </c>
      <c r="N419" s="4">
        <v>-4.4000000000000003E-3</v>
      </c>
      <c r="O419" s="4">
        <v>0</v>
      </c>
      <c r="P419" s="4">
        <v>129.63</v>
      </c>
      <c r="Q419" s="4">
        <v>7.0000000000000007E-2</v>
      </c>
      <c r="R419" s="4">
        <f t="shared" si="10"/>
        <v>0.30727111111111111</v>
      </c>
      <c r="S419" s="22">
        <f>Q419*E419/G419^3</f>
        <v>1.6592592592592595E-4</v>
      </c>
    </row>
    <row r="420" spans="1:19">
      <c r="A420" s="28" t="s">
        <v>156</v>
      </c>
      <c r="B420" s="29">
        <v>22222222</v>
      </c>
      <c r="C420" s="29" t="s">
        <v>13</v>
      </c>
      <c r="D420" s="29">
        <v>0.75</v>
      </c>
      <c r="E420" s="4">
        <v>8</v>
      </c>
      <c r="F420" s="4">
        <v>8</v>
      </c>
      <c r="G420" s="4">
        <v>15</v>
      </c>
      <c r="H420" s="30">
        <v>10.3935</v>
      </c>
      <c r="I420" s="4">
        <v>1E-3</v>
      </c>
      <c r="J420" s="29">
        <v>-52.900799999999997</v>
      </c>
      <c r="K420" s="4">
        <v>2.3E-3</v>
      </c>
      <c r="L420" s="4">
        <v>2.9000000000000001E-2</v>
      </c>
      <c r="M420" s="4">
        <v>1E-3</v>
      </c>
      <c r="N420" s="4">
        <v>-3.8E-3</v>
      </c>
      <c r="O420" s="4">
        <v>1E-4</v>
      </c>
      <c r="P420" s="4">
        <v>129.62</v>
      </c>
      <c r="Q420" s="4">
        <v>0.14000000000000001</v>
      </c>
      <c r="R420" s="29">
        <f t="shared" si="10"/>
        <v>0.30724740740740741</v>
      </c>
      <c r="S420" s="22">
        <f t="shared" ref="S420:S421" si="12">Q420*E420/G420^3</f>
        <v>3.3185185185185189E-4</v>
      </c>
    </row>
    <row r="421" spans="1:19" ht="17" thickBot="1">
      <c r="A421" s="50" t="s">
        <v>156</v>
      </c>
      <c r="B421" s="14">
        <v>22222222</v>
      </c>
      <c r="C421" s="14" t="s">
        <v>13</v>
      </c>
      <c r="D421" s="14">
        <v>1</v>
      </c>
      <c r="E421" s="10">
        <v>8</v>
      </c>
      <c r="F421" s="10">
        <v>8</v>
      </c>
      <c r="G421" s="10">
        <v>15</v>
      </c>
      <c r="H421" s="15">
        <v>11.8789</v>
      </c>
      <c r="I421" s="10">
        <v>8.9999999999999998E-4</v>
      </c>
      <c r="J421" s="14">
        <v>-60.4572</v>
      </c>
      <c r="K421" s="10">
        <v>1.4E-3</v>
      </c>
      <c r="L421" s="10">
        <v>2.8000000000000001E-2</v>
      </c>
      <c r="M421" s="10">
        <v>3.0000000000000001E-3</v>
      </c>
      <c r="N421" s="10">
        <v>-3.3E-3</v>
      </c>
      <c r="O421" s="10">
        <v>1E-4</v>
      </c>
      <c r="P421" s="10">
        <v>129.66999999999999</v>
      </c>
      <c r="Q421" s="10">
        <v>0.14000000000000001</v>
      </c>
      <c r="R421" s="14">
        <f t="shared" si="10"/>
        <v>0.30736592592592588</v>
      </c>
      <c r="S421" s="26">
        <f t="shared" si="12"/>
        <v>3.3185185185185189E-4</v>
      </c>
    </row>
    <row r="422" spans="1:19" ht="17" thickTop="1">
      <c r="A422" s="52" t="s">
        <v>14</v>
      </c>
      <c r="B422" s="53">
        <v>11111211</v>
      </c>
      <c r="C422" s="53"/>
      <c r="D422" s="53">
        <v>0</v>
      </c>
      <c r="E422" s="4">
        <v>8</v>
      </c>
      <c r="F422" s="4">
        <v>1</v>
      </c>
      <c r="G422" s="4">
        <v>15</v>
      </c>
      <c r="H422" s="53">
        <v>5.9393000000000002</v>
      </c>
      <c r="I422" s="4">
        <v>8.9999999999999998E-4</v>
      </c>
      <c r="J422" s="53">
        <v>-30.228200000000001</v>
      </c>
      <c r="K422" s="4">
        <v>1.9E-3</v>
      </c>
      <c r="L422" s="4">
        <v>0.03</v>
      </c>
      <c r="M422" s="4">
        <v>5.0000000000000001E-3</v>
      </c>
      <c r="N422" s="4">
        <v>-6.4000000000000003E-3</v>
      </c>
      <c r="O422" s="4">
        <v>2.0000000000000001E-4</v>
      </c>
      <c r="P422" s="4">
        <v>129.74</v>
      </c>
      <c r="Q422" s="4">
        <v>0.26</v>
      </c>
      <c r="R422" s="16">
        <f t="shared" si="10"/>
        <v>0.30753185185185189</v>
      </c>
      <c r="S422" s="22">
        <f>Q422*E422/G422^3</f>
        <v>6.1629629629629632E-4</v>
      </c>
    </row>
    <row r="423" spans="1:19">
      <c r="A423" s="52" t="s">
        <v>15</v>
      </c>
      <c r="B423" s="53">
        <v>12111111</v>
      </c>
      <c r="C423" s="53"/>
      <c r="D423" s="53">
        <v>0</v>
      </c>
      <c r="E423" s="4">
        <v>8</v>
      </c>
      <c r="F423" s="4">
        <v>1</v>
      </c>
      <c r="G423" s="4">
        <v>15</v>
      </c>
      <c r="H423" s="53">
        <v>5.9393000000000002</v>
      </c>
      <c r="I423" s="4">
        <v>8.9999999999999998E-4</v>
      </c>
      <c r="J423" s="53">
        <v>-30.228200000000001</v>
      </c>
      <c r="K423" s="4">
        <v>1.9E-3</v>
      </c>
      <c r="L423" s="4">
        <v>0.03</v>
      </c>
      <c r="M423" s="4">
        <v>5.0000000000000001E-3</v>
      </c>
      <c r="N423" s="4">
        <v>-6.4000000000000003E-3</v>
      </c>
      <c r="O423" s="4">
        <v>2.0000000000000001E-4</v>
      </c>
      <c r="P423" s="4">
        <v>129.74</v>
      </c>
      <c r="Q423" s="4">
        <v>0.26</v>
      </c>
      <c r="R423" s="53">
        <f t="shared" si="10"/>
        <v>0.30753185185185189</v>
      </c>
      <c r="S423" s="22">
        <f>Q423*E423/G423^3</f>
        <v>6.1629629629629632E-4</v>
      </c>
    </row>
    <row r="424" spans="1:19">
      <c r="A424" s="52" t="s">
        <v>16</v>
      </c>
      <c r="B424" s="53">
        <v>11111112</v>
      </c>
      <c r="C424" s="53"/>
      <c r="D424" s="53">
        <v>0</v>
      </c>
      <c r="E424" s="4">
        <v>8</v>
      </c>
      <c r="F424" s="4">
        <v>1</v>
      </c>
      <c r="G424" s="4">
        <v>15</v>
      </c>
      <c r="H424" s="53">
        <v>5.9393000000000002</v>
      </c>
      <c r="I424" s="4">
        <v>8.9999999999999998E-4</v>
      </c>
      <c r="J424" s="53">
        <v>-30.228200000000001</v>
      </c>
      <c r="K424" s="4">
        <v>1.9E-3</v>
      </c>
      <c r="L424" s="4">
        <v>0.03</v>
      </c>
      <c r="M424" s="4">
        <v>5.0000000000000001E-3</v>
      </c>
      <c r="N424" s="4">
        <v>-6.4000000000000003E-3</v>
      </c>
      <c r="O424" s="4">
        <v>2.0000000000000001E-4</v>
      </c>
      <c r="P424" s="4">
        <v>129.74</v>
      </c>
      <c r="Q424" s="4">
        <v>0.26</v>
      </c>
      <c r="R424" s="53">
        <f t="shared" si="10"/>
        <v>0.30753185185185189</v>
      </c>
      <c r="S424" s="22">
        <f t="shared" ref="S424:S487" si="13">Q424*E424/G424^3</f>
        <v>6.1629629629629632E-4</v>
      </c>
    </row>
    <row r="425" spans="1:19">
      <c r="A425" s="52" t="s">
        <v>18</v>
      </c>
      <c r="B425" s="53">
        <v>11121111</v>
      </c>
      <c r="C425" s="53"/>
      <c r="D425" s="53">
        <v>0</v>
      </c>
      <c r="E425" s="4">
        <v>8</v>
      </c>
      <c r="F425" s="4">
        <v>1</v>
      </c>
      <c r="G425" s="4">
        <v>15</v>
      </c>
      <c r="H425" s="53">
        <v>5.9393000000000002</v>
      </c>
      <c r="I425" s="4">
        <v>8.9999999999999998E-4</v>
      </c>
      <c r="J425" s="53">
        <v>-30.228200000000001</v>
      </c>
      <c r="K425" s="4">
        <v>1.9E-3</v>
      </c>
      <c r="L425" s="4">
        <v>0.03</v>
      </c>
      <c r="M425" s="4">
        <v>5.0000000000000001E-3</v>
      </c>
      <c r="N425" s="4">
        <v>-6.4000000000000003E-3</v>
      </c>
      <c r="O425" s="4">
        <v>2.0000000000000001E-4</v>
      </c>
      <c r="P425" s="4">
        <v>129.74</v>
      </c>
      <c r="Q425" s="4">
        <v>0.26</v>
      </c>
      <c r="R425" s="53">
        <f t="shared" ref="R425:R488" si="14">P425*E425/G425^3</f>
        <v>0.30753185185185189</v>
      </c>
      <c r="S425" s="22">
        <f t="shared" si="13"/>
        <v>6.1629629629629632E-4</v>
      </c>
    </row>
    <row r="426" spans="1:19">
      <c r="A426" s="52" t="s">
        <v>20</v>
      </c>
      <c r="B426" s="53">
        <v>21121111</v>
      </c>
      <c r="C426" s="53"/>
      <c r="D426" s="53">
        <v>0</v>
      </c>
      <c r="E426" s="4">
        <v>8</v>
      </c>
      <c r="F426" s="4">
        <v>2</v>
      </c>
      <c r="G426" s="4">
        <v>15</v>
      </c>
      <c r="H426" s="53">
        <v>5.9393000000000002</v>
      </c>
      <c r="I426" s="4">
        <v>8.9999999999999998E-4</v>
      </c>
      <c r="J426" s="53">
        <v>-30.228200000000001</v>
      </c>
      <c r="K426" s="4">
        <v>1.9E-3</v>
      </c>
      <c r="L426" s="4">
        <v>0.03</v>
      </c>
      <c r="M426" s="4">
        <v>5.0000000000000001E-3</v>
      </c>
      <c r="N426" s="4">
        <v>-6.4000000000000003E-3</v>
      </c>
      <c r="O426" s="4">
        <v>2.0000000000000001E-4</v>
      </c>
      <c r="P426" s="4">
        <v>129.74</v>
      </c>
      <c r="Q426" s="4">
        <v>0.26</v>
      </c>
      <c r="R426" s="53">
        <f t="shared" si="14"/>
        <v>0.30753185185185189</v>
      </c>
      <c r="S426" s="22">
        <f t="shared" si="13"/>
        <v>6.1629629629629632E-4</v>
      </c>
    </row>
    <row r="427" spans="1:19">
      <c r="A427" s="52" t="s">
        <v>21</v>
      </c>
      <c r="B427" s="53">
        <v>12112111</v>
      </c>
      <c r="C427" s="53"/>
      <c r="D427" s="53">
        <v>0</v>
      </c>
      <c r="E427" s="4">
        <v>8</v>
      </c>
      <c r="F427" s="4">
        <v>2</v>
      </c>
      <c r="G427" s="4">
        <v>15</v>
      </c>
      <c r="H427" s="53">
        <v>5.9393000000000002</v>
      </c>
      <c r="I427" s="4">
        <v>8.9999999999999998E-4</v>
      </c>
      <c r="J427" s="53">
        <v>-30.228200000000001</v>
      </c>
      <c r="K427" s="4">
        <v>1.9E-3</v>
      </c>
      <c r="L427" s="4">
        <v>0.03</v>
      </c>
      <c r="M427" s="4">
        <v>5.0000000000000001E-3</v>
      </c>
      <c r="N427" s="4">
        <v>-6.4000000000000003E-3</v>
      </c>
      <c r="O427" s="4">
        <v>2.0000000000000001E-4</v>
      </c>
      <c r="P427" s="4">
        <v>129.74</v>
      </c>
      <c r="Q427" s="4">
        <v>0.26</v>
      </c>
      <c r="R427" s="53">
        <f t="shared" si="14"/>
        <v>0.30753185185185189</v>
      </c>
      <c r="S427" s="22">
        <f t="shared" si="13"/>
        <v>6.1629629629629632E-4</v>
      </c>
    </row>
    <row r="428" spans="1:19">
      <c r="A428" s="52" t="s">
        <v>22</v>
      </c>
      <c r="B428" s="53">
        <v>11211112</v>
      </c>
      <c r="C428" s="53"/>
      <c r="D428" s="53">
        <v>0</v>
      </c>
      <c r="E428" s="4">
        <v>8</v>
      </c>
      <c r="F428" s="4">
        <v>2</v>
      </c>
      <c r="G428" s="4">
        <v>15</v>
      </c>
      <c r="H428" s="53">
        <v>5.9393000000000002</v>
      </c>
      <c r="I428" s="4">
        <v>8.9999999999999998E-4</v>
      </c>
      <c r="J428" s="53">
        <v>-30.228200000000001</v>
      </c>
      <c r="K428" s="4">
        <v>1.9E-3</v>
      </c>
      <c r="L428" s="4">
        <v>0.03</v>
      </c>
      <c r="M428" s="4">
        <v>5.0000000000000001E-3</v>
      </c>
      <c r="N428" s="4">
        <v>-6.4000000000000003E-3</v>
      </c>
      <c r="O428" s="4">
        <v>2.0000000000000001E-4</v>
      </c>
      <c r="P428" s="4">
        <v>129.74</v>
      </c>
      <c r="Q428" s="4">
        <v>0.26</v>
      </c>
      <c r="R428" s="53">
        <f t="shared" si="14"/>
        <v>0.30753185185185189</v>
      </c>
      <c r="S428" s="22">
        <f t="shared" si="13"/>
        <v>6.1629629629629632E-4</v>
      </c>
    </row>
    <row r="429" spans="1:19">
      <c r="A429" s="52" t="s">
        <v>23</v>
      </c>
      <c r="B429" s="53">
        <v>12111121</v>
      </c>
      <c r="C429" s="53"/>
      <c r="D429" s="53">
        <v>0</v>
      </c>
      <c r="E429" s="4">
        <v>8</v>
      </c>
      <c r="F429" s="4">
        <v>2</v>
      </c>
      <c r="G429" s="4">
        <v>15</v>
      </c>
      <c r="H429" s="53">
        <v>5.9393000000000002</v>
      </c>
      <c r="I429" s="4">
        <v>8.9999999999999998E-4</v>
      </c>
      <c r="J429" s="53">
        <v>-30.228200000000001</v>
      </c>
      <c r="K429" s="4">
        <v>1.9E-3</v>
      </c>
      <c r="L429" s="4">
        <v>0.03</v>
      </c>
      <c r="M429" s="4">
        <v>5.0000000000000001E-3</v>
      </c>
      <c r="N429" s="4">
        <v>-6.4000000000000003E-3</v>
      </c>
      <c r="O429" s="4">
        <v>2.0000000000000001E-4</v>
      </c>
      <c r="P429" s="4">
        <v>129.74</v>
      </c>
      <c r="Q429" s="4">
        <v>0.26</v>
      </c>
      <c r="R429" s="53">
        <f t="shared" si="14"/>
        <v>0.30753185185185189</v>
      </c>
      <c r="S429" s="22">
        <f t="shared" si="13"/>
        <v>6.1629629629629632E-4</v>
      </c>
    </row>
    <row r="430" spans="1:19">
      <c r="A430" s="52" t="s">
        <v>24</v>
      </c>
      <c r="B430" s="53">
        <v>11122111</v>
      </c>
      <c r="C430" s="53"/>
      <c r="D430" s="53">
        <v>0</v>
      </c>
      <c r="E430" s="4">
        <v>8</v>
      </c>
      <c r="F430" s="4">
        <v>2</v>
      </c>
      <c r="G430" s="4">
        <v>15</v>
      </c>
      <c r="H430" s="53">
        <v>5.9393000000000002</v>
      </c>
      <c r="I430" s="4">
        <v>8.9999999999999998E-4</v>
      </c>
      <c r="J430" s="53">
        <v>-30.228200000000001</v>
      </c>
      <c r="K430" s="4">
        <v>1.9E-3</v>
      </c>
      <c r="L430" s="4">
        <v>0.03</v>
      </c>
      <c r="M430" s="4">
        <v>5.0000000000000001E-3</v>
      </c>
      <c r="N430" s="4">
        <v>-6.4000000000000003E-3</v>
      </c>
      <c r="O430" s="4">
        <v>2.0000000000000001E-4</v>
      </c>
      <c r="P430" s="4">
        <v>129.74</v>
      </c>
      <c r="Q430" s="4">
        <v>0.26</v>
      </c>
      <c r="R430" s="53">
        <f t="shared" si="14"/>
        <v>0.30753185185185189</v>
      </c>
      <c r="S430" s="22">
        <f t="shared" si="13"/>
        <v>6.1629629629629632E-4</v>
      </c>
    </row>
    <row r="431" spans="1:19">
      <c r="A431" s="52" t="s">
        <v>25</v>
      </c>
      <c r="B431" s="53">
        <v>11111122</v>
      </c>
      <c r="C431" s="53"/>
      <c r="D431" s="53">
        <v>0</v>
      </c>
      <c r="E431" s="4">
        <v>8</v>
      </c>
      <c r="F431" s="4">
        <v>2</v>
      </c>
      <c r="G431" s="4">
        <v>15</v>
      </c>
      <c r="H431" s="53">
        <v>5.9393000000000002</v>
      </c>
      <c r="I431" s="4">
        <v>8.9999999999999998E-4</v>
      </c>
      <c r="J431" s="53">
        <v>-30.228200000000001</v>
      </c>
      <c r="K431" s="4">
        <v>1.9E-3</v>
      </c>
      <c r="L431" s="4">
        <v>0.03</v>
      </c>
      <c r="M431" s="4">
        <v>5.0000000000000001E-3</v>
      </c>
      <c r="N431" s="4">
        <v>-6.4000000000000003E-3</v>
      </c>
      <c r="O431" s="4">
        <v>2.0000000000000001E-4</v>
      </c>
      <c r="P431" s="4">
        <v>129.74</v>
      </c>
      <c r="Q431" s="4">
        <v>0.26</v>
      </c>
      <c r="R431" s="53">
        <f t="shared" si="14"/>
        <v>0.30753185185185189</v>
      </c>
      <c r="S431" s="22">
        <f t="shared" si="13"/>
        <v>6.1629629629629632E-4</v>
      </c>
    </row>
    <row r="432" spans="1:19">
      <c r="A432" s="52" t="s">
        <v>26</v>
      </c>
      <c r="B432" s="53">
        <v>11221111</v>
      </c>
      <c r="C432" s="53"/>
      <c r="D432" s="53">
        <v>0</v>
      </c>
      <c r="E432" s="4">
        <v>8</v>
      </c>
      <c r="F432" s="4">
        <v>2</v>
      </c>
      <c r="G432" s="4">
        <v>15</v>
      </c>
      <c r="H432" s="53">
        <v>5.9393000000000002</v>
      </c>
      <c r="I432" s="4">
        <v>8.9999999999999998E-4</v>
      </c>
      <c r="J432" s="53">
        <v>-30.228200000000001</v>
      </c>
      <c r="K432" s="4">
        <v>1.9E-3</v>
      </c>
      <c r="L432" s="4">
        <v>0.03</v>
      </c>
      <c r="M432" s="4">
        <v>5.0000000000000001E-3</v>
      </c>
      <c r="N432" s="4">
        <v>-6.4000000000000003E-3</v>
      </c>
      <c r="O432" s="4">
        <v>2.0000000000000001E-4</v>
      </c>
      <c r="P432" s="4">
        <v>129.74</v>
      </c>
      <c r="Q432" s="4">
        <v>0.26</v>
      </c>
      <c r="R432" s="53">
        <f t="shared" si="14"/>
        <v>0.30753185185185189</v>
      </c>
      <c r="S432" s="22">
        <f t="shared" si="13"/>
        <v>6.1629629629629632E-4</v>
      </c>
    </row>
    <row r="433" spans="1:19">
      <c r="A433" s="52" t="s">
        <v>27</v>
      </c>
      <c r="B433" s="53">
        <v>12121111</v>
      </c>
      <c r="C433" s="53"/>
      <c r="D433" s="53">
        <v>0</v>
      </c>
      <c r="E433" s="4">
        <v>8</v>
      </c>
      <c r="F433" s="4">
        <v>2</v>
      </c>
      <c r="G433" s="4">
        <v>15</v>
      </c>
      <c r="H433" s="53">
        <v>5.9393000000000002</v>
      </c>
      <c r="I433" s="4">
        <v>8.9999999999999998E-4</v>
      </c>
      <c r="J433" s="53">
        <v>-30.228200000000001</v>
      </c>
      <c r="K433" s="4">
        <v>1.9E-3</v>
      </c>
      <c r="L433" s="4">
        <v>0.03</v>
      </c>
      <c r="M433" s="4">
        <v>5.0000000000000001E-3</v>
      </c>
      <c r="N433" s="4">
        <v>-6.4000000000000003E-3</v>
      </c>
      <c r="O433" s="4">
        <v>2.0000000000000001E-4</v>
      </c>
      <c r="P433" s="4">
        <v>129.74</v>
      </c>
      <c r="Q433" s="4">
        <v>0.26</v>
      </c>
      <c r="R433" s="53">
        <f t="shared" si="14"/>
        <v>0.30753185185185189</v>
      </c>
      <c r="S433" s="22">
        <f t="shared" si="13"/>
        <v>6.1629629629629632E-4</v>
      </c>
    </row>
    <row r="434" spans="1:19">
      <c r="A434" s="52" t="s">
        <v>28</v>
      </c>
      <c r="B434" s="53">
        <v>11121211</v>
      </c>
      <c r="C434" s="53"/>
      <c r="D434" s="53">
        <v>0</v>
      </c>
      <c r="E434" s="4">
        <v>8</v>
      </c>
      <c r="F434" s="4">
        <v>2</v>
      </c>
      <c r="G434" s="4">
        <v>15</v>
      </c>
      <c r="H434" s="53">
        <v>5.9393000000000002</v>
      </c>
      <c r="I434" s="4">
        <v>8.9999999999999998E-4</v>
      </c>
      <c r="J434" s="53">
        <v>-30.228200000000001</v>
      </c>
      <c r="K434" s="4">
        <v>1.9E-3</v>
      </c>
      <c r="L434" s="4">
        <v>0.03</v>
      </c>
      <c r="M434" s="4">
        <v>5.0000000000000001E-3</v>
      </c>
      <c r="N434" s="4">
        <v>-6.4000000000000003E-3</v>
      </c>
      <c r="O434" s="4">
        <v>2.0000000000000001E-4</v>
      </c>
      <c r="P434" s="4">
        <v>129.74</v>
      </c>
      <c r="Q434" s="4">
        <v>0.26</v>
      </c>
      <c r="R434" s="53">
        <f t="shared" si="14"/>
        <v>0.30753185185185189</v>
      </c>
      <c r="S434" s="22">
        <f t="shared" si="13"/>
        <v>6.1629629629629632E-4</v>
      </c>
    </row>
    <row r="435" spans="1:19">
      <c r="A435" s="52" t="s">
        <v>29</v>
      </c>
      <c r="B435" s="53">
        <v>21111112</v>
      </c>
      <c r="C435" s="53"/>
      <c r="D435" s="53">
        <v>0</v>
      </c>
      <c r="E435" s="4">
        <v>8</v>
      </c>
      <c r="F435" s="4">
        <v>2</v>
      </c>
      <c r="G435" s="4">
        <v>15</v>
      </c>
      <c r="H435" s="53">
        <v>5.9393000000000002</v>
      </c>
      <c r="I435" s="4">
        <v>8.9999999999999998E-4</v>
      </c>
      <c r="J435" s="53">
        <v>-30.228200000000001</v>
      </c>
      <c r="K435" s="4">
        <v>1.9E-3</v>
      </c>
      <c r="L435" s="4">
        <v>0.03</v>
      </c>
      <c r="M435" s="4">
        <v>5.0000000000000001E-3</v>
      </c>
      <c r="N435" s="4">
        <v>-6.4000000000000003E-3</v>
      </c>
      <c r="O435" s="4">
        <v>2.0000000000000001E-4</v>
      </c>
      <c r="P435" s="4">
        <v>129.74</v>
      </c>
      <c r="Q435" s="4">
        <v>0.26</v>
      </c>
      <c r="R435" s="53">
        <f t="shared" si="14"/>
        <v>0.30753185185185189</v>
      </c>
      <c r="S435" s="22">
        <f t="shared" si="13"/>
        <v>6.1629629629629632E-4</v>
      </c>
    </row>
    <row r="436" spans="1:19">
      <c r="A436" s="52" t="s">
        <v>31</v>
      </c>
      <c r="B436" s="53">
        <v>12111112</v>
      </c>
      <c r="C436" s="53"/>
      <c r="D436" s="53">
        <v>0</v>
      </c>
      <c r="E436" s="4">
        <v>8</v>
      </c>
      <c r="F436" s="4">
        <v>2</v>
      </c>
      <c r="G436" s="4">
        <v>15</v>
      </c>
      <c r="H436" s="53">
        <v>5.9393000000000002</v>
      </c>
      <c r="I436" s="4">
        <v>8.9999999999999998E-4</v>
      </c>
      <c r="J436" s="53">
        <v>-30.228200000000001</v>
      </c>
      <c r="K436" s="4">
        <v>1.9E-3</v>
      </c>
      <c r="L436" s="4">
        <v>0.03</v>
      </c>
      <c r="M436" s="4">
        <v>5.0000000000000001E-3</v>
      </c>
      <c r="N436" s="4">
        <v>-6.4000000000000003E-3</v>
      </c>
      <c r="O436" s="4">
        <v>2.0000000000000001E-4</v>
      </c>
      <c r="P436" s="4">
        <v>129.74</v>
      </c>
      <c r="Q436" s="4">
        <v>0.26</v>
      </c>
      <c r="R436" s="53">
        <f t="shared" si="14"/>
        <v>0.30753185185185189</v>
      </c>
      <c r="S436" s="22">
        <f t="shared" si="13"/>
        <v>6.1629629629629632E-4</v>
      </c>
    </row>
    <row r="437" spans="1:19">
      <c r="A437" s="52" t="s">
        <v>32</v>
      </c>
      <c r="B437" s="53">
        <v>11211211</v>
      </c>
      <c r="C437" s="53"/>
      <c r="D437" s="53">
        <v>0</v>
      </c>
      <c r="E437" s="4">
        <v>8</v>
      </c>
      <c r="F437" s="4">
        <v>2</v>
      </c>
      <c r="G437" s="4">
        <v>15</v>
      </c>
      <c r="H437" s="53">
        <v>5.9393000000000002</v>
      </c>
      <c r="I437" s="4">
        <v>8.9999999999999998E-4</v>
      </c>
      <c r="J437" s="53">
        <v>-30.228200000000001</v>
      </c>
      <c r="K437" s="4">
        <v>1.9E-3</v>
      </c>
      <c r="L437" s="4">
        <v>0.03</v>
      </c>
      <c r="M437" s="4">
        <v>5.0000000000000001E-3</v>
      </c>
      <c r="N437" s="4">
        <v>-6.4000000000000003E-3</v>
      </c>
      <c r="O437" s="4">
        <v>2.0000000000000001E-4</v>
      </c>
      <c r="P437" s="4">
        <v>129.74</v>
      </c>
      <c r="Q437" s="4">
        <v>0.26</v>
      </c>
      <c r="R437" s="53">
        <f t="shared" si="14"/>
        <v>0.30753185185185189</v>
      </c>
      <c r="S437" s="22">
        <f t="shared" si="13"/>
        <v>6.1629629629629632E-4</v>
      </c>
    </row>
    <row r="438" spans="1:19">
      <c r="A438" s="52" t="s">
        <v>33</v>
      </c>
      <c r="B438" s="53">
        <v>11211121</v>
      </c>
      <c r="C438" s="53"/>
      <c r="D438" s="53">
        <v>0</v>
      </c>
      <c r="E438" s="4">
        <v>8</v>
      </c>
      <c r="F438" s="4">
        <v>2</v>
      </c>
      <c r="G438" s="4">
        <v>15</v>
      </c>
      <c r="H438" s="53">
        <v>5.9393000000000002</v>
      </c>
      <c r="I438" s="4">
        <v>8.9999999999999998E-4</v>
      </c>
      <c r="J438" s="53">
        <v>-30.228200000000001</v>
      </c>
      <c r="K438" s="4">
        <v>1.9E-3</v>
      </c>
      <c r="L438" s="4">
        <v>0.03</v>
      </c>
      <c r="M438" s="4">
        <v>5.0000000000000001E-3</v>
      </c>
      <c r="N438" s="4">
        <v>-6.4000000000000003E-3</v>
      </c>
      <c r="O438" s="4">
        <v>2.0000000000000001E-4</v>
      </c>
      <c r="P438" s="4">
        <v>129.74</v>
      </c>
      <c r="Q438" s="4">
        <v>0.26</v>
      </c>
      <c r="R438" s="53">
        <f t="shared" si="14"/>
        <v>0.30753185185185189</v>
      </c>
      <c r="S438" s="22">
        <f t="shared" si="13"/>
        <v>6.1629629629629632E-4</v>
      </c>
    </row>
    <row r="439" spans="1:19">
      <c r="A439" s="52" t="s">
        <v>34</v>
      </c>
      <c r="B439" s="53">
        <v>11111212</v>
      </c>
      <c r="C439" s="53"/>
      <c r="D439" s="53">
        <v>0</v>
      </c>
      <c r="E439" s="4">
        <v>8</v>
      </c>
      <c r="F439" s="4">
        <v>2</v>
      </c>
      <c r="G439" s="4">
        <v>15</v>
      </c>
      <c r="H439" s="53">
        <v>5.9393000000000002</v>
      </c>
      <c r="I439" s="4">
        <v>8.9999999999999998E-4</v>
      </c>
      <c r="J439" s="53">
        <v>-30.228200000000001</v>
      </c>
      <c r="K439" s="4">
        <v>1.9E-3</v>
      </c>
      <c r="L439" s="4">
        <v>0.03</v>
      </c>
      <c r="M439" s="4">
        <v>5.0000000000000001E-3</v>
      </c>
      <c r="N439" s="4">
        <v>-6.4000000000000003E-3</v>
      </c>
      <c r="O439" s="4">
        <v>2.0000000000000001E-4</v>
      </c>
      <c r="P439" s="4">
        <v>129.74</v>
      </c>
      <c r="Q439" s="4">
        <v>0.26</v>
      </c>
      <c r="R439" s="53">
        <f t="shared" si="14"/>
        <v>0.30753185185185189</v>
      </c>
      <c r="S439" s="22">
        <f t="shared" si="13"/>
        <v>6.1629629629629632E-4</v>
      </c>
    </row>
    <row r="440" spans="1:19">
      <c r="A440" s="52" t="s">
        <v>35</v>
      </c>
      <c r="B440" s="53">
        <v>21112111</v>
      </c>
      <c r="C440" s="53"/>
      <c r="D440" s="53">
        <v>0</v>
      </c>
      <c r="E440" s="4">
        <v>8</v>
      </c>
      <c r="F440" s="4">
        <v>2</v>
      </c>
      <c r="G440" s="4">
        <v>15</v>
      </c>
      <c r="H440" s="53">
        <v>5.9393000000000002</v>
      </c>
      <c r="I440" s="4">
        <v>8.9999999999999998E-4</v>
      </c>
      <c r="J440" s="53">
        <v>-30.228200000000001</v>
      </c>
      <c r="K440" s="4">
        <v>1.9E-3</v>
      </c>
      <c r="L440" s="4">
        <v>0.03</v>
      </c>
      <c r="M440" s="4">
        <v>5.0000000000000001E-3</v>
      </c>
      <c r="N440" s="4">
        <v>-6.4000000000000003E-3</v>
      </c>
      <c r="O440" s="4">
        <v>2.0000000000000001E-4</v>
      </c>
      <c r="P440" s="4">
        <v>129.74</v>
      </c>
      <c r="Q440" s="4">
        <v>0.26</v>
      </c>
      <c r="R440" s="53">
        <f t="shared" si="14"/>
        <v>0.30753185185185189</v>
      </c>
      <c r="S440" s="22">
        <f t="shared" si="13"/>
        <v>6.1629629629629632E-4</v>
      </c>
    </row>
    <row r="441" spans="1:19">
      <c r="A441" s="52" t="s">
        <v>36</v>
      </c>
      <c r="B441" s="53">
        <v>11111221</v>
      </c>
      <c r="C441" s="53"/>
      <c r="D441" s="53">
        <v>0</v>
      </c>
      <c r="E441" s="4">
        <v>8</v>
      </c>
      <c r="F441" s="4">
        <v>2</v>
      </c>
      <c r="G441" s="4">
        <v>15</v>
      </c>
      <c r="H441" s="53">
        <v>5.9393000000000002</v>
      </c>
      <c r="I441" s="4">
        <v>8.9999999999999998E-4</v>
      </c>
      <c r="J441" s="53">
        <v>-30.228200000000001</v>
      </c>
      <c r="K441" s="4">
        <v>1.9E-3</v>
      </c>
      <c r="L441" s="4">
        <v>0.03</v>
      </c>
      <c r="M441" s="4">
        <v>5.0000000000000001E-3</v>
      </c>
      <c r="N441" s="4">
        <v>-6.4000000000000003E-3</v>
      </c>
      <c r="O441" s="4">
        <v>2.0000000000000001E-4</v>
      </c>
      <c r="P441" s="4">
        <v>129.74</v>
      </c>
      <c r="Q441" s="4">
        <v>0.26</v>
      </c>
      <c r="R441" s="53">
        <f t="shared" si="14"/>
        <v>0.30753185185185189</v>
      </c>
      <c r="S441" s="22">
        <f t="shared" si="13"/>
        <v>6.1629629629629632E-4</v>
      </c>
    </row>
    <row r="442" spans="1:19">
      <c r="A442" s="52" t="s">
        <v>37</v>
      </c>
      <c r="B442" s="53">
        <v>21211211</v>
      </c>
      <c r="C442" s="53"/>
      <c r="D442" s="53">
        <v>0</v>
      </c>
      <c r="E442" s="4">
        <v>8</v>
      </c>
      <c r="F442" s="4">
        <v>3</v>
      </c>
      <c r="G442" s="4">
        <v>15</v>
      </c>
      <c r="H442" s="53">
        <v>5.9393000000000002</v>
      </c>
      <c r="I442" s="4">
        <v>8.9999999999999998E-4</v>
      </c>
      <c r="J442" s="53">
        <v>-30.228200000000001</v>
      </c>
      <c r="K442" s="4">
        <v>1.9E-3</v>
      </c>
      <c r="L442" s="4">
        <v>0.03</v>
      </c>
      <c r="M442" s="4">
        <v>5.0000000000000001E-3</v>
      </c>
      <c r="N442" s="4">
        <v>-6.4000000000000003E-3</v>
      </c>
      <c r="O442" s="4">
        <v>2.0000000000000001E-4</v>
      </c>
      <c r="P442" s="4">
        <v>129.74</v>
      </c>
      <c r="Q442" s="4">
        <v>0.26</v>
      </c>
      <c r="R442" s="53">
        <f t="shared" si="14"/>
        <v>0.30753185185185189</v>
      </c>
      <c r="S442" s="22">
        <f t="shared" si="13"/>
        <v>6.1629629629629632E-4</v>
      </c>
    </row>
    <row r="443" spans="1:19">
      <c r="A443" s="52" t="s">
        <v>38</v>
      </c>
      <c r="B443" s="53">
        <v>11221121</v>
      </c>
      <c r="C443" s="53"/>
      <c r="D443" s="53">
        <v>0</v>
      </c>
      <c r="E443" s="4">
        <v>8</v>
      </c>
      <c r="F443" s="4">
        <v>3</v>
      </c>
      <c r="G443" s="4">
        <v>15</v>
      </c>
      <c r="H443" s="53">
        <v>5.9393000000000002</v>
      </c>
      <c r="I443" s="4">
        <v>8.9999999999999998E-4</v>
      </c>
      <c r="J443" s="53">
        <v>-30.228200000000001</v>
      </c>
      <c r="K443" s="4">
        <v>1.9E-3</v>
      </c>
      <c r="L443" s="4">
        <v>0.03</v>
      </c>
      <c r="M443" s="4">
        <v>5.0000000000000001E-3</v>
      </c>
      <c r="N443" s="4">
        <v>-6.4000000000000003E-3</v>
      </c>
      <c r="O443" s="4">
        <v>2.0000000000000001E-4</v>
      </c>
      <c r="P443" s="4">
        <v>129.74</v>
      </c>
      <c r="Q443" s="4">
        <v>0.26</v>
      </c>
      <c r="R443" s="53">
        <f t="shared" si="14"/>
        <v>0.30753185185185189</v>
      </c>
      <c r="S443" s="22">
        <f t="shared" si="13"/>
        <v>6.1629629629629632E-4</v>
      </c>
    </row>
    <row r="444" spans="1:19">
      <c r="A444" s="52" t="s">
        <v>39</v>
      </c>
      <c r="B444" s="53">
        <v>12112112</v>
      </c>
      <c r="C444" s="53"/>
      <c r="D444" s="53">
        <v>0</v>
      </c>
      <c r="E444" s="4">
        <v>8</v>
      </c>
      <c r="F444" s="4">
        <v>3</v>
      </c>
      <c r="G444" s="4">
        <v>15</v>
      </c>
      <c r="H444" s="53">
        <v>5.9393000000000002</v>
      </c>
      <c r="I444" s="4">
        <v>8.9999999999999998E-4</v>
      </c>
      <c r="J444" s="53">
        <v>-30.228200000000001</v>
      </c>
      <c r="K444" s="4">
        <v>1.9E-3</v>
      </c>
      <c r="L444" s="4">
        <v>0.03</v>
      </c>
      <c r="M444" s="4">
        <v>5.0000000000000001E-3</v>
      </c>
      <c r="N444" s="4">
        <v>-6.4000000000000003E-3</v>
      </c>
      <c r="O444" s="4">
        <v>2.0000000000000001E-4</v>
      </c>
      <c r="P444" s="4">
        <v>129.74</v>
      </c>
      <c r="Q444" s="4">
        <v>0.26</v>
      </c>
      <c r="R444" s="53">
        <f t="shared" si="14"/>
        <v>0.30753185185185189</v>
      </c>
      <c r="S444" s="22">
        <f t="shared" si="13"/>
        <v>6.1629629629629632E-4</v>
      </c>
    </row>
    <row r="445" spans="1:19">
      <c r="A445" s="52" t="s">
        <v>40</v>
      </c>
      <c r="B445" s="53">
        <v>11112221</v>
      </c>
      <c r="C445" s="53"/>
      <c r="D445" s="53">
        <v>0</v>
      </c>
      <c r="E445" s="4">
        <v>8</v>
      </c>
      <c r="F445" s="4">
        <v>3</v>
      </c>
      <c r="G445" s="4">
        <v>15</v>
      </c>
      <c r="H445" s="53">
        <v>5.9393000000000002</v>
      </c>
      <c r="I445" s="4">
        <v>8.9999999999999998E-4</v>
      </c>
      <c r="J445" s="53">
        <v>-30.228200000000001</v>
      </c>
      <c r="K445" s="4">
        <v>1.9E-3</v>
      </c>
      <c r="L445" s="4">
        <v>0.03</v>
      </c>
      <c r="M445" s="4">
        <v>5.0000000000000001E-3</v>
      </c>
      <c r="N445" s="4">
        <v>-6.4000000000000003E-3</v>
      </c>
      <c r="O445" s="4">
        <v>2.0000000000000001E-4</v>
      </c>
      <c r="P445" s="4">
        <v>129.74</v>
      </c>
      <c r="Q445" s="4">
        <v>0.26</v>
      </c>
      <c r="R445" s="53">
        <f t="shared" si="14"/>
        <v>0.30753185185185189</v>
      </c>
      <c r="S445" s="22">
        <f t="shared" si="13"/>
        <v>6.1629629629629632E-4</v>
      </c>
    </row>
    <row r="446" spans="1:19">
      <c r="A446" s="52" t="s">
        <v>41</v>
      </c>
      <c r="B446" s="53">
        <v>21111122</v>
      </c>
      <c r="C446" s="53"/>
      <c r="D446" s="53">
        <v>0</v>
      </c>
      <c r="E446" s="4">
        <v>8</v>
      </c>
      <c r="F446" s="4">
        <v>3</v>
      </c>
      <c r="G446" s="4">
        <v>15</v>
      </c>
      <c r="H446" s="53">
        <v>5.9393000000000002</v>
      </c>
      <c r="I446" s="4">
        <v>8.9999999999999998E-4</v>
      </c>
      <c r="J446" s="53">
        <v>-30.228200000000001</v>
      </c>
      <c r="K446" s="4">
        <v>1.9E-3</v>
      </c>
      <c r="L446" s="4">
        <v>0.03</v>
      </c>
      <c r="M446" s="4">
        <v>5.0000000000000001E-3</v>
      </c>
      <c r="N446" s="4">
        <v>-6.4000000000000003E-3</v>
      </c>
      <c r="O446" s="4">
        <v>2.0000000000000001E-4</v>
      </c>
      <c r="P446" s="4">
        <v>129.74</v>
      </c>
      <c r="Q446" s="4">
        <v>0.26</v>
      </c>
      <c r="R446" s="53">
        <f t="shared" si="14"/>
        <v>0.30753185185185189</v>
      </c>
      <c r="S446" s="22">
        <f t="shared" si="13"/>
        <v>6.1629629629629632E-4</v>
      </c>
    </row>
    <row r="447" spans="1:19">
      <c r="A447" s="52" t="s">
        <v>42</v>
      </c>
      <c r="B447" s="53">
        <v>11121122</v>
      </c>
      <c r="C447" s="53"/>
      <c r="D447" s="53">
        <v>0</v>
      </c>
      <c r="E447" s="4">
        <v>8</v>
      </c>
      <c r="F447" s="4">
        <v>3</v>
      </c>
      <c r="G447" s="4">
        <v>15</v>
      </c>
      <c r="H447" s="53">
        <v>5.9393000000000002</v>
      </c>
      <c r="I447" s="4">
        <v>8.9999999999999998E-4</v>
      </c>
      <c r="J447" s="53">
        <v>-30.228200000000001</v>
      </c>
      <c r="K447" s="4">
        <v>1.9E-3</v>
      </c>
      <c r="L447" s="4">
        <v>0.03</v>
      </c>
      <c r="M447" s="4">
        <v>5.0000000000000001E-3</v>
      </c>
      <c r="N447" s="4">
        <v>-6.4000000000000003E-3</v>
      </c>
      <c r="O447" s="4">
        <v>2.0000000000000001E-4</v>
      </c>
      <c r="P447" s="4">
        <v>129.74</v>
      </c>
      <c r="Q447" s="4">
        <v>0.26</v>
      </c>
      <c r="R447" s="53">
        <f t="shared" si="14"/>
        <v>0.30753185185185189</v>
      </c>
      <c r="S447" s="22">
        <f t="shared" si="13"/>
        <v>6.1629629629629632E-4</v>
      </c>
    </row>
    <row r="448" spans="1:19">
      <c r="A448" s="52" t="s">
        <v>43</v>
      </c>
      <c r="B448" s="53">
        <v>21112211</v>
      </c>
      <c r="C448" s="53"/>
      <c r="D448" s="53">
        <v>0</v>
      </c>
      <c r="E448" s="4">
        <v>8</v>
      </c>
      <c r="F448" s="4">
        <v>3</v>
      </c>
      <c r="G448" s="4">
        <v>15</v>
      </c>
      <c r="H448" s="53">
        <v>5.9393000000000002</v>
      </c>
      <c r="I448" s="4">
        <v>8.9999999999999998E-4</v>
      </c>
      <c r="J448" s="53">
        <v>-30.228200000000001</v>
      </c>
      <c r="K448" s="4">
        <v>1.9E-3</v>
      </c>
      <c r="L448" s="4">
        <v>0.03</v>
      </c>
      <c r="M448" s="4">
        <v>5.0000000000000001E-3</v>
      </c>
      <c r="N448" s="4">
        <v>-6.4000000000000003E-3</v>
      </c>
      <c r="O448" s="4">
        <v>2.0000000000000001E-4</v>
      </c>
      <c r="P448" s="4">
        <v>129.74</v>
      </c>
      <c r="Q448" s="4">
        <v>0.26</v>
      </c>
      <c r="R448" s="53">
        <f t="shared" si="14"/>
        <v>0.30753185185185189</v>
      </c>
      <c r="S448" s="22">
        <f t="shared" si="13"/>
        <v>6.1629629629629632E-4</v>
      </c>
    </row>
    <row r="449" spans="1:19">
      <c r="A449" s="52" t="s">
        <v>44</v>
      </c>
      <c r="B449" s="53">
        <v>22211111</v>
      </c>
      <c r="C449" s="53"/>
      <c r="D449" s="53">
        <v>0</v>
      </c>
      <c r="E449" s="4">
        <v>8</v>
      </c>
      <c r="F449" s="4">
        <v>3</v>
      </c>
      <c r="G449" s="4">
        <v>15</v>
      </c>
      <c r="H449" s="53">
        <v>5.9393000000000002</v>
      </c>
      <c r="I449" s="4">
        <v>8.9999999999999998E-4</v>
      </c>
      <c r="J449" s="53">
        <v>-30.228200000000001</v>
      </c>
      <c r="K449" s="4">
        <v>1.9E-3</v>
      </c>
      <c r="L449" s="4">
        <v>0.03</v>
      </c>
      <c r="M449" s="4">
        <v>5.0000000000000001E-3</v>
      </c>
      <c r="N449" s="4">
        <v>-6.4000000000000003E-3</v>
      </c>
      <c r="O449" s="4">
        <v>2.0000000000000001E-4</v>
      </c>
      <c r="P449" s="4">
        <v>129.74</v>
      </c>
      <c r="Q449" s="4">
        <v>0.26</v>
      </c>
      <c r="R449" s="53">
        <f t="shared" si="14"/>
        <v>0.30753185185185189</v>
      </c>
      <c r="S449" s="22">
        <f t="shared" si="13"/>
        <v>6.1629629629629632E-4</v>
      </c>
    </row>
    <row r="450" spans="1:19">
      <c r="A450" s="52" t="s">
        <v>45</v>
      </c>
      <c r="B450" s="53">
        <v>12211121</v>
      </c>
      <c r="C450" s="53"/>
      <c r="D450" s="53">
        <v>0</v>
      </c>
      <c r="E450" s="4">
        <v>8</v>
      </c>
      <c r="F450" s="4">
        <v>3</v>
      </c>
      <c r="G450" s="4">
        <v>15</v>
      </c>
      <c r="H450" s="53">
        <v>5.9393000000000002</v>
      </c>
      <c r="I450" s="4">
        <v>8.9999999999999998E-4</v>
      </c>
      <c r="J450" s="53">
        <v>-30.228200000000001</v>
      </c>
      <c r="K450" s="4">
        <v>1.9E-3</v>
      </c>
      <c r="L450" s="4">
        <v>0.03</v>
      </c>
      <c r="M450" s="4">
        <v>5.0000000000000001E-3</v>
      </c>
      <c r="N450" s="4">
        <v>-6.4000000000000003E-3</v>
      </c>
      <c r="O450" s="4">
        <v>2.0000000000000001E-4</v>
      </c>
      <c r="P450" s="4">
        <v>129.74</v>
      </c>
      <c r="Q450" s="4">
        <v>0.26</v>
      </c>
      <c r="R450" s="53">
        <f t="shared" si="14"/>
        <v>0.30753185185185189</v>
      </c>
      <c r="S450" s="22">
        <f t="shared" si="13"/>
        <v>6.1629629629629632E-4</v>
      </c>
    </row>
    <row r="451" spans="1:19">
      <c r="A451" s="52" t="s">
        <v>46</v>
      </c>
      <c r="B451" s="53">
        <v>11112122</v>
      </c>
      <c r="C451" s="53"/>
      <c r="D451" s="53">
        <v>0</v>
      </c>
      <c r="E451" s="4">
        <v>8</v>
      </c>
      <c r="F451" s="4">
        <v>3</v>
      </c>
      <c r="G451" s="4">
        <v>15</v>
      </c>
      <c r="H451" s="53">
        <v>5.9393000000000002</v>
      </c>
      <c r="I451" s="4">
        <v>8.9999999999999998E-4</v>
      </c>
      <c r="J451" s="53">
        <v>-30.228200000000001</v>
      </c>
      <c r="K451" s="4">
        <v>1.9E-3</v>
      </c>
      <c r="L451" s="4">
        <v>0.03</v>
      </c>
      <c r="M451" s="4">
        <v>5.0000000000000001E-3</v>
      </c>
      <c r="N451" s="4">
        <v>-6.4000000000000003E-3</v>
      </c>
      <c r="O451" s="4">
        <v>2.0000000000000001E-4</v>
      </c>
      <c r="P451" s="4">
        <v>129.74</v>
      </c>
      <c r="Q451" s="4">
        <v>0.26</v>
      </c>
      <c r="R451" s="53">
        <f t="shared" si="14"/>
        <v>0.30753185185185189</v>
      </c>
      <c r="S451" s="22">
        <f t="shared" si="13"/>
        <v>6.1629629629629632E-4</v>
      </c>
    </row>
    <row r="452" spans="1:19">
      <c r="A452" s="52" t="s">
        <v>47</v>
      </c>
      <c r="B452" s="53">
        <v>11112212</v>
      </c>
      <c r="C452" s="53"/>
      <c r="D452" s="53">
        <v>0</v>
      </c>
      <c r="E452" s="4">
        <v>8</v>
      </c>
      <c r="F452" s="4">
        <v>3</v>
      </c>
      <c r="G452" s="4">
        <v>15</v>
      </c>
      <c r="H452" s="53">
        <v>5.9393000000000002</v>
      </c>
      <c r="I452" s="4">
        <v>8.9999999999999998E-4</v>
      </c>
      <c r="J452" s="53">
        <v>-30.228200000000001</v>
      </c>
      <c r="K452" s="4">
        <v>1.9E-3</v>
      </c>
      <c r="L452" s="4">
        <v>0.03</v>
      </c>
      <c r="M452" s="4">
        <v>5.0000000000000001E-3</v>
      </c>
      <c r="N452" s="4">
        <v>-6.4000000000000003E-3</v>
      </c>
      <c r="O452" s="4">
        <v>2.0000000000000001E-4</v>
      </c>
      <c r="P452" s="4">
        <v>129.74</v>
      </c>
      <c r="Q452" s="4">
        <v>0.26</v>
      </c>
      <c r="R452" s="53">
        <f t="shared" si="14"/>
        <v>0.30753185185185189</v>
      </c>
      <c r="S452" s="22">
        <f t="shared" si="13"/>
        <v>6.1629629629629632E-4</v>
      </c>
    </row>
    <row r="453" spans="1:19">
      <c r="A453" s="52" t="s">
        <v>49</v>
      </c>
      <c r="B453" s="53">
        <v>11122211</v>
      </c>
      <c r="C453" s="53"/>
      <c r="D453" s="53">
        <v>0</v>
      </c>
      <c r="E453" s="4">
        <v>8</v>
      </c>
      <c r="F453" s="4">
        <v>3</v>
      </c>
      <c r="G453" s="4">
        <v>15</v>
      </c>
      <c r="H453" s="53">
        <v>5.9393000000000002</v>
      </c>
      <c r="I453" s="4">
        <v>8.9999999999999998E-4</v>
      </c>
      <c r="J453" s="53">
        <v>-30.228200000000001</v>
      </c>
      <c r="K453" s="4">
        <v>1.9E-3</v>
      </c>
      <c r="L453" s="4">
        <v>0.03</v>
      </c>
      <c r="M453" s="4">
        <v>5.0000000000000001E-3</v>
      </c>
      <c r="N453" s="4">
        <v>-6.4000000000000003E-3</v>
      </c>
      <c r="O453" s="4">
        <v>2.0000000000000001E-4</v>
      </c>
      <c r="P453" s="4">
        <v>129.74</v>
      </c>
      <c r="Q453" s="4">
        <v>0.26</v>
      </c>
      <c r="R453" s="53">
        <f t="shared" si="14"/>
        <v>0.30753185185185189</v>
      </c>
      <c r="S453" s="22">
        <f t="shared" si="13"/>
        <v>6.1629629629629632E-4</v>
      </c>
    </row>
    <row r="454" spans="1:19">
      <c r="A454" s="52" t="s">
        <v>50</v>
      </c>
      <c r="B454" s="53">
        <v>11212112</v>
      </c>
      <c r="C454" s="53"/>
      <c r="D454" s="53">
        <v>0</v>
      </c>
      <c r="E454" s="4">
        <v>8</v>
      </c>
      <c r="F454" s="4">
        <v>3</v>
      </c>
      <c r="G454" s="4">
        <v>15</v>
      </c>
      <c r="H454" s="53">
        <v>5.9393000000000002</v>
      </c>
      <c r="I454" s="4">
        <v>8.9999999999999998E-4</v>
      </c>
      <c r="J454" s="53">
        <v>-30.228200000000001</v>
      </c>
      <c r="K454" s="4">
        <v>1.9E-3</v>
      </c>
      <c r="L454" s="4">
        <v>0.03</v>
      </c>
      <c r="M454" s="4">
        <v>5.0000000000000001E-3</v>
      </c>
      <c r="N454" s="4">
        <v>-6.4000000000000003E-3</v>
      </c>
      <c r="O454" s="4">
        <v>2.0000000000000001E-4</v>
      </c>
      <c r="P454" s="4">
        <v>129.74</v>
      </c>
      <c r="Q454" s="4">
        <v>0.26</v>
      </c>
      <c r="R454" s="53">
        <f t="shared" si="14"/>
        <v>0.30753185185185189</v>
      </c>
      <c r="S454" s="22">
        <f t="shared" si="13"/>
        <v>6.1629629629629632E-4</v>
      </c>
    </row>
    <row r="455" spans="1:19">
      <c r="A455" s="52" t="s">
        <v>51</v>
      </c>
      <c r="B455" s="53">
        <v>11221211</v>
      </c>
      <c r="C455" s="53"/>
      <c r="D455" s="53">
        <v>0</v>
      </c>
      <c r="E455" s="4">
        <v>8</v>
      </c>
      <c r="F455" s="4">
        <v>3</v>
      </c>
      <c r="G455" s="4">
        <v>15</v>
      </c>
      <c r="H455" s="53">
        <v>5.9393000000000002</v>
      </c>
      <c r="I455" s="4">
        <v>8.9999999999999998E-4</v>
      </c>
      <c r="J455" s="53">
        <v>-30.228200000000001</v>
      </c>
      <c r="K455" s="4">
        <v>1.9E-3</v>
      </c>
      <c r="L455" s="4">
        <v>0.03</v>
      </c>
      <c r="M455" s="4">
        <v>5.0000000000000001E-3</v>
      </c>
      <c r="N455" s="4">
        <v>-6.4000000000000003E-3</v>
      </c>
      <c r="O455" s="4">
        <v>2.0000000000000001E-4</v>
      </c>
      <c r="P455" s="4">
        <v>129.74</v>
      </c>
      <c r="Q455" s="4">
        <v>0.26</v>
      </c>
      <c r="R455" s="53">
        <f t="shared" si="14"/>
        <v>0.30753185185185189</v>
      </c>
      <c r="S455" s="22">
        <f t="shared" si="13"/>
        <v>6.1629629629629632E-4</v>
      </c>
    </row>
    <row r="456" spans="1:19">
      <c r="A456" s="52" t="s">
        <v>52</v>
      </c>
      <c r="B456" s="53">
        <v>12111212</v>
      </c>
      <c r="C456" s="53"/>
      <c r="D456" s="53">
        <v>0</v>
      </c>
      <c r="E456" s="4">
        <v>8</v>
      </c>
      <c r="F456" s="4">
        <v>3</v>
      </c>
      <c r="G456" s="4">
        <v>15</v>
      </c>
      <c r="H456" s="53">
        <v>5.9393000000000002</v>
      </c>
      <c r="I456" s="4">
        <v>8.9999999999999998E-4</v>
      </c>
      <c r="J456" s="53">
        <v>-30.228200000000001</v>
      </c>
      <c r="K456" s="4">
        <v>1.9E-3</v>
      </c>
      <c r="L456" s="4">
        <v>0.03</v>
      </c>
      <c r="M456" s="4">
        <v>5.0000000000000001E-3</v>
      </c>
      <c r="N456" s="4">
        <v>-6.4000000000000003E-3</v>
      </c>
      <c r="O456" s="4">
        <v>2.0000000000000001E-4</v>
      </c>
      <c r="P456" s="4">
        <v>129.74</v>
      </c>
      <c r="Q456" s="4">
        <v>0.26</v>
      </c>
      <c r="R456" s="53">
        <f t="shared" si="14"/>
        <v>0.30753185185185189</v>
      </c>
      <c r="S456" s="22">
        <f t="shared" si="13"/>
        <v>6.1629629629629632E-4</v>
      </c>
    </row>
    <row r="457" spans="1:19">
      <c r="A457" s="52" t="s">
        <v>53</v>
      </c>
      <c r="B457" s="53">
        <v>12122111</v>
      </c>
      <c r="C457" s="53"/>
      <c r="D457" s="53">
        <v>0</v>
      </c>
      <c r="E457" s="4">
        <v>8</v>
      </c>
      <c r="F457" s="4">
        <v>3</v>
      </c>
      <c r="G457" s="4">
        <v>15</v>
      </c>
      <c r="H457" s="53">
        <v>5.9393000000000002</v>
      </c>
      <c r="I457" s="4">
        <v>8.9999999999999998E-4</v>
      </c>
      <c r="J457" s="53">
        <v>-30.228200000000001</v>
      </c>
      <c r="K457" s="4">
        <v>1.9E-3</v>
      </c>
      <c r="L457" s="4">
        <v>0.03</v>
      </c>
      <c r="M457" s="4">
        <v>5.0000000000000001E-3</v>
      </c>
      <c r="N457" s="4">
        <v>-6.4000000000000003E-3</v>
      </c>
      <c r="O457" s="4">
        <v>2.0000000000000001E-4</v>
      </c>
      <c r="P457" s="4">
        <v>129.74</v>
      </c>
      <c r="Q457" s="4">
        <v>0.26</v>
      </c>
      <c r="R457" s="53">
        <f t="shared" si="14"/>
        <v>0.30753185185185189</v>
      </c>
      <c r="S457" s="22">
        <f t="shared" si="13"/>
        <v>6.1629629629629632E-4</v>
      </c>
    </row>
    <row r="458" spans="1:19">
      <c r="A458" s="52" t="s">
        <v>54</v>
      </c>
      <c r="B458" s="53">
        <v>11211221</v>
      </c>
      <c r="C458" s="53"/>
      <c r="D458" s="53">
        <v>0</v>
      </c>
      <c r="E458" s="4">
        <v>8</v>
      </c>
      <c r="F458" s="4">
        <v>3</v>
      </c>
      <c r="G458" s="4">
        <v>15</v>
      </c>
      <c r="H458" s="53">
        <v>5.9393000000000002</v>
      </c>
      <c r="I458" s="4">
        <v>8.9999999999999998E-4</v>
      </c>
      <c r="J458" s="53">
        <v>-30.228200000000001</v>
      </c>
      <c r="K458" s="4">
        <v>1.9E-3</v>
      </c>
      <c r="L458" s="4">
        <v>0.03</v>
      </c>
      <c r="M458" s="4">
        <v>5.0000000000000001E-3</v>
      </c>
      <c r="N458" s="4">
        <v>-6.4000000000000003E-3</v>
      </c>
      <c r="O458" s="4">
        <v>2.0000000000000001E-4</v>
      </c>
      <c r="P458" s="4">
        <v>129.74</v>
      </c>
      <c r="Q458" s="4">
        <v>0.26</v>
      </c>
      <c r="R458" s="53">
        <f t="shared" si="14"/>
        <v>0.30753185185185189</v>
      </c>
      <c r="S458" s="22">
        <f t="shared" si="13"/>
        <v>6.1629629629629632E-4</v>
      </c>
    </row>
    <row r="459" spans="1:19">
      <c r="A459" s="52" t="s">
        <v>55</v>
      </c>
      <c r="B459" s="53">
        <v>12212111</v>
      </c>
      <c r="C459" s="53"/>
      <c r="D459" s="53">
        <v>0</v>
      </c>
      <c r="E459" s="4">
        <v>8</v>
      </c>
      <c r="F459" s="4">
        <v>3</v>
      </c>
      <c r="G459" s="4">
        <v>15</v>
      </c>
      <c r="H459" s="53">
        <v>5.9393000000000002</v>
      </c>
      <c r="I459" s="4">
        <v>8.9999999999999998E-4</v>
      </c>
      <c r="J459" s="53">
        <v>-30.228200000000001</v>
      </c>
      <c r="K459" s="4">
        <v>1.9E-3</v>
      </c>
      <c r="L459" s="4">
        <v>0.03</v>
      </c>
      <c r="M459" s="4">
        <v>5.0000000000000001E-3</v>
      </c>
      <c r="N459" s="4">
        <v>-6.4000000000000003E-3</v>
      </c>
      <c r="O459" s="4">
        <v>2.0000000000000001E-4</v>
      </c>
      <c r="P459" s="4">
        <v>129.74</v>
      </c>
      <c r="Q459" s="4">
        <v>0.26</v>
      </c>
      <c r="R459" s="53">
        <f t="shared" si="14"/>
        <v>0.30753185185185189</v>
      </c>
      <c r="S459" s="22">
        <f t="shared" si="13"/>
        <v>6.1629629629629632E-4</v>
      </c>
    </row>
    <row r="460" spans="1:19">
      <c r="A460" s="52" t="s">
        <v>56</v>
      </c>
      <c r="B460" s="53">
        <v>11211122</v>
      </c>
      <c r="C460" s="53"/>
      <c r="D460" s="53">
        <v>0</v>
      </c>
      <c r="E460" s="4">
        <v>8</v>
      </c>
      <c r="F460" s="4">
        <v>3</v>
      </c>
      <c r="G460" s="4">
        <v>15</v>
      </c>
      <c r="H460" s="53">
        <v>5.9393000000000002</v>
      </c>
      <c r="I460" s="4">
        <v>8.9999999999999998E-4</v>
      </c>
      <c r="J460" s="53">
        <v>-30.228200000000001</v>
      </c>
      <c r="K460" s="4">
        <v>1.9E-3</v>
      </c>
      <c r="L460" s="4">
        <v>0.03</v>
      </c>
      <c r="M460" s="4">
        <v>5.0000000000000001E-3</v>
      </c>
      <c r="N460" s="4">
        <v>-6.4000000000000003E-3</v>
      </c>
      <c r="O460" s="4">
        <v>2.0000000000000001E-4</v>
      </c>
      <c r="P460" s="4">
        <v>129.74</v>
      </c>
      <c r="Q460" s="4">
        <v>0.26</v>
      </c>
      <c r="R460" s="53">
        <f t="shared" si="14"/>
        <v>0.30753185185185189</v>
      </c>
      <c r="S460" s="22">
        <f t="shared" si="13"/>
        <v>6.1629629629629632E-4</v>
      </c>
    </row>
    <row r="461" spans="1:19">
      <c r="A461" s="52" t="s">
        <v>57</v>
      </c>
      <c r="B461" s="53">
        <v>21121112</v>
      </c>
      <c r="C461" s="53"/>
      <c r="D461" s="53">
        <v>0</v>
      </c>
      <c r="E461" s="4">
        <v>8</v>
      </c>
      <c r="F461" s="4">
        <v>3</v>
      </c>
      <c r="G461" s="4">
        <v>15</v>
      </c>
      <c r="H461" s="53">
        <v>5.9393000000000002</v>
      </c>
      <c r="I461" s="4">
        <v>8.9999999999999998E-4</v>
      </c>
      <c r="J461" s="53">
        <v>-30.228200000000001</v>
      </c>
      <c r="K461" s="4">
        <v>1.9E-3</v>
      </c>
      <c r="L461" s="4">
        <v>0.03</v>
      </c>
      <c r="M461" s="4">
        <v>5.0000000000000001E-3</v>
      </c>
      <c r="N461" s="4">
        <v>-6.4000000000000003E-3</v>
      </c>
      <c r="O461" s="4">
        <v>2.0000000000000001E-4</v>
      </c>
      <c r="P461" s="4">
        <v>129.74</v>
      </c>
      <c r="Q461" s="4">
        <v>0.26</v>
      </c>
      <c r="R461" s="53">
        <f t="shared" si="14"/>
        <v>0.30753185185185189</v>
      </c>
      <c r="S461" s="22">
        <f t="shared" si="13"/>
        <v>6.1629629629629632E-4</v>
      </c>
    </row>
    <row r="462" spans="1:19">
      <c r="A462" s="52" t="s">
        <v>58</v>
      </c>
      <c r="B462" s="53">
        <v>12121112</v>
      </c>
      <c r="C462" s="53"/>
      <c r="D462" s="53">
        <v>0</v>
      </c>
      <c r="E462" s="4">
        <v>8</v>
      </c>
      <c r="F462" s="4">
        <v>3</v>
      </c>
      <c r="G462" s="4">
        <v>15</v>
      </c>
      <c r="H462" s="53">
        <v>5.9393000000000002</v>
      </c>
      <c r="I462" s="4">
        <v>8.9999999999999998E-4</v>
      </c>
      <c r="J462" s="53">
        <v>-30.228200000000001</v>
      </c>
      <c r="K462" s="4">
        <v>1.9E-3</v>
      </c>
      <c r="L462" s="4">
        <v>0.03</v>
      </c>
      <c r="M462" s="4">
        <v>5.0000000000000001E-3</v>
      </c>
      <c r="N462" s="4">
        <v>-6.4000000000000003E-3</v>
      </c>
      <c r="O462" s="4">
        <v>2.0000000000000001E-4</v>
      </c>
      <c r="P462" s="4">
        <v>129.74</v>
      </c>
      <c r="Q462" s="4">
        <v>0.26</v>
      </c>
      <c r="R462" s="53">
        <f t="shared" si="14"/>
        <v>0.30753185185185189</v>
      </c>
      <c r="S462" s="22">
        <f t="shared" si="13"/>
        <v>6.1629629629629632E-4</v>
      </c>
    </row>
    <row r="463" spans="1:19">
      <c r="A463" s="52" t="s">
        <v>59</v>
      </c>
      <c r="B463" s="53">
        <v>12111122</v>
      </c>
      <c r="C463" s="53"/>
      <c r="D463" s="53">
        <v>0</v>
      </c>
      <c r="E463" s="4">
        <v>8</v>
      </c>
      <c r="F463" s="4">
        <v>3</v>
      </c>
      <c r="G463" s="4">
        <v>15</v>
      </c>
      <c r="H463" s="53">
        <v>5.9393000000000002</v>
      </c>
      <c r="I463" s="4">
        <v>8.9999999999999998E-4</v>
      </c>
      <c r="J463" s="53">
        <v>-30.228200000000001</v>
      </c>
      <c r="K463" s="4">
        <v>1.9E-3</v>
      </c>
      <c r="L463" s="4">
        <v>0.03</v>
      </c>
      <c r="M463" s="4">
        <v>5.0000000000000001E-3</v>
      </c>
      <c r="N463" s="4">
        <v>-6.4000000000000003E-3</v>
      </c>
      <c r="O463" s="4">
        <v>2.0000000000000001E-4</v>
      </c>
      <c r="P463" s="4">
        <v>129.74</v>
      </c>
      <c r="Q463" s="4">
        <v>0.26</v>
      </c>
      <c r="R463" s="53">
        <f t="shared" si="14"/>
        <v>0.30753185185185189</v>
      </c>
      <c r="S463" s="22">
        <f t="shared" si="13"/>
        <v>6.1629629629629632E-4</v>
      </c>
    </row>
    <row r="464" spans="1:19">
      <c r="A464" s="52" t="s">
        <v>60</v>
      </c>
      <c r="B464" s="53">
        <v>21212111</v>
      </c>
      <c r="C464" s="53"/>
      <c r="D464" s="53">
        <v>0</v>
      </c>
      <c r="E464" s="4">
        <v>8</v>
      </c>
      <c r="F464" s="4">
        <v>3</v>
      </c>
      <c r="G464" s="4">
        <v>15</v>
      </c>
      <c r="H464" s="53">
        <v>5.9393000000000002</v>
      </c>
      <c r="I464" s="4">
        <v>8.9999999999999998E-4</v>
      </c>
      <c r="J464" s="53">
        <v>-30.228200000000001</v>
      </c>
      <c r="K464" s="4">
        <v>1.9E-3</v>
      </c>
      <c r="L464" s="4">
        <v>0.03</v>
      </c>
      <c r="M464" s="4">
        <v>5.0000000000000001E-3</v>
      </c>
      <c r="N464" s="4">
        <v>-6.4000000000000003E-3</v>
      </c>
      <c r="O464" s="4">
        <v>2.0000000000000001E-4</v>
      </c>
      <c r="P464" s="4">
        <v>129.74</v>
      </c>
      <c r="Q464" s="4">
        <v>0.26</v>
      </c>
      <c r="R464" s="53">
        <f t="shared" si="14"/>
        <v>0.30753185185185189</v>
      </c>
      <c r="S464" s="22">
        <f t="shared" si="13"/>
        <v>6.1629629629629632E-4</v>
      </c>
    </row>
    <row r="465" spans="1:19">
      <c r="A465" s="52" t="s">
        <v>61</v>
      </c>
      <c r="B465" s="53">
        <v>21111221</v>
      </c>
      <c r="C465" s="53"/>
      <c r="D465" s="53">
        <v>0</v>
      </c>
      <c r="E465" s="4">
        <v>8</v>
      </c>
      <c r="F465" s="4">
        <v>3</v>
      </c>
      <c r="G465" s="4">
        <v>15</v>
      </c>
      <c r="H465" s="53">
        <v>5.9393000000000002</v>
      </c>
      <c r="I465" s="4">
        <v>8.9999999999999998E-4</v>
      </c>
      <c r="J465" s="53">
        <v>-30.228200000000001</v>
      </c>
      <c r="K465" s="4">
        <v>1.9E-3</v>
      </c>
      <c r="L465" s="4">
        <v>0.03</v>
      </c>
      <c r="M465" s="4">
        <v>5.0000000000000001E-3</v>
      </c>
      <c r="N465" s="4">
        <v>-6.4000000000000003E-3</v>
      </c>
      <c r="O465" s="4">
        <v>2.0000000000000001E-4</v>
      </c>
      <c r="P465" s="4">
        <v>129.74</v>
      </c>
      <c r="Q465" s="4">
        <v>0.26</v>
      </c>
      <c r="R465" s="53">
        <f t="shared" si="14"/>
        <v>0.30753185185185189</v>
      </c>
      <c r="S465" s="22">
        <f t="shared" si="13"/>
        <v>6.1629629629629632E-4</v>
      </c>
    </row>
    <row r="466" spans="1:19">
      <c r="A466" s="52" t="s">
        <v>62</v>
      </c>
      <c r="B466" s="53">
        <v>21111212</v>
      </c>
      <c r="C466" s="53"/>
      <c r="D466" s="53">
        <v>0</v>
      </c>
      <c r="E466" s="4">
        <v>8</v>
      </c>
      <c r="F466" s="4">
        <v>3</v>
      </c>
      <c r="G466" s="4">
        <v>15</v>
      </c>
      <c r="H466" s="53">
        <v>5.9393000000000002</v>
      </c>
      <c r="I466" s="4">
        <v>8.9999999999999998E-4</v>
      </c>
      <c r="J466" s="53">
        <v>-30.228200000000001</v>
      </c>
      <c r="K466" s="4">
        <v>1.9E-3</v>
      </c>
      <c r="L466" s="4">
        <v>0.03</v>
      </c>
      <c r="M466" s="4">
        <v>5.0000000000000001E-3</v>
      </c>
      <c r="N466" s="4">
        <v>-6.4000000000000003E-3</v>
      </c>
      <c r="O466" s="4">
        <v>2.0000000000000001E-4</v>
      </c>
      <c r="P466" s="4">
        <v>129.74</v>
      </c>
      <c r="Q466" s="4">
        <v>0.26</v>
      </c>
      <c r="R466" s="53">
        <f t="shared" si="14"/>
        <v>0.30753185185185189</v>
      </c>
      <c r="S466" s="22">
        <f t="shared" si="13"/>
        <v>6.1629629629629632E-4</v>
      </c>
    </row>
    <row r="467" spans="1:19">
      <c r="A467" s="52" t="s">
        <v>63</v>
      </c>
      <c r="B467" s="53">
        <v>12112121</v>
      </c>
      <c r="C467" s="53"/>
      <c r="D467" s="53">
        <v>0</v>
      </c>
      <c r="E467" s="4">
        <v>8</v>
      </c>
      <c r="F467" s="4">
        <v>3</v>
      </c>
      <c r="G467" s="4">
        <v>15</v>
      </c>
      <c r="H467" s="53">
        <v>5.9393000000000002</v>
      </c>
      <c r="I467" s="4">
        <v>8.9999999999999998E-4</v>
      </c>
      <c r="J467" s="53">
        <v>-30.228200000000001</v>
      </c>
      <c r="K467" s="4">
        <v>1.9E-3</v>
      </c>
      <c r="L467" s="4">
        <v>0.03</v>
      </c>
      <c r="M467" s="4">
        <v>5.0000000000000001E-3</v>
      </c>
      <c r="N467" s="4">
        <v>-6.4000000000000003E-3</v>
      </c>
      <c r="O467" s="4">
        <v>2.0000000000000001E-4</v>
      </c>
      <c r="P467" s="4">
        <v>129.74</v>
      </c>
      <c r="Q467" s="4">
        <v>0.26</v>
      </c>
      <c r="R467" s="53">
        <f t="shared" si="14"/>
        <v>0.30753185185185189</v>
      </c>
      <c r="S467" s="22">
        <f t="shared" si="13"/>
        <v>6.1629629629629632E-4</v>
      </c>
    </row>
    <row r="468" spans="1:19">
      <c r="A468" s="52" t="s">
        <v>64</v>
      </c>
      <c r="B468" s="53">
        <v>11122112</v>
      </c>
      <c r="C468" s="53"/>
      <c r="D468" s="53">
        <v>0</v>
      </c>
      <c r="E468" s="4">
        <v>8</v>
      </c>
      <c r="F468" s="4">
        <v>3</v>
      </c>
      <c r="G468" s="4">
        <v>15</v>
      </c>
      <c r="H468" s="53">
        <v>5.9393000000000002</v>
      </c>
      <c r="I468" s="4">
        <v>8.9999999999999998E-4</v>
      </c>
      <c r="J468" s="53">
        <v>-30.228200000000001</v>
      </c>
      <c r="K468" s="4">
        <v>1.9E-3</v>
      </c>
      <c r="L468" s="4">
        <v>0.03</v>
      </c>
      <c r="M468" s="4">
        <v>5.0000000000000001E-3</v>
      </c>
      <c r="N468" s="4">
        <v>-6.4000000000000003E-3</v>
      </c>
      <c r="O468" s="4">
        <v>2.0000000000000001E-4</v>
      </c>
      <c r="P468" s="4">
        <v>129.74</v>
      </c>
      <c r="Q468" s="4">
        <v>0.26</v>
      </c>
      <c r="R468" s="53">
        <f t="shared" si="14"/>
        <v>0.30753185185185189</v>
      </c>
      <c r="S468" s="22">
        <f t="shared" si="13"/>
        <v>6.1629629629629632E-4</v>
      </c>
    </row>
    <row r="469" spans="1:19">
      <c r="A469" s="52" t="s">
        <v>65</v>
      </c>
      <c r="B469" s="53">
        <v>12121211</v>
      </c>
      <c r="C469" s="53"/>
      <c r="D469" s="53">
        <v>0</v>
      </c>
      <c r="E469" s="4">
        <v>8</v>
      </c>
      <c r="F469" s="4">
        <v>3</v>
      </c>
      <c r="G469" s="4">
        <v>15</v>
      </c>
      <c r="H469" s="53">
        <v>5.9393000000000002</v>
      </c>
      <c r="I469" s="4">
        <v>8.9999999999999998E-4</v>
      </c>
      <c r="J469" s="53">
        <v>-30.228200000000001</v>
      </c>
      <c r="K469" s="4">
        <v>1.9E-3</v>
      </c>
      <c r="L469" s="4">
        <v>0.03</v>
      </c>
      <c r="M469" s="4">
        <v>5.0000000000000001E-3</v>
      </c>
      <c r="N469" s="4">
        <v>-6.4000000000000003E-3</v>
      </c>
      <c r="O469" s="4">
        <v>2.0000000000000001E-4</v>
      </c>
      <c r="P469" s="4">
        <v>129.74</v>
      </c>
      <c r="Q469" s="4">
        <v>0.26</v>
      </c>
      <c r="R469" s="53">
        <f t="shared" si="14"/>
        <v>0.30753185185185189</v>
      </c>
      <c r="S469" s="22">
        <f t="shared" si="13"/>
        <v>6.1629629629629632E-4</v>
      </c>
    </row>
    <row r="470" spans="1:19">
      <c r="A470" s="52" t="s">
        <v>66</v>
      </c>
      <c r="B470" s="53">
        <v>12211221</v>
      </c>
      <c r="C470" s="53"/>
      <c r="D470" s="53">
        <v>0</v>
      </c>
      <c r="E470" s="4">
        <v>8</v>
      </c>
      <c r="F470" s="4">
        <v>4</v>
      </c>
      <c r="G470" s="4">
        <v>15</v>
      </c>
      <c r="H470" s="53">
        <v>5.9393000000000002</v>
      </c>
      <c r="I470" s="4">
        <v>8.9999999999999998E-4</v>
      </c>
      <c r="J470" s="53">
        <v>-30.228200000000001</v>
      </c>
      <c r="K470" s="4">
        <v>1.9E-3</v>
      </c>
      <c r="L470" s="4">
        <v>0.03</v>
      </c>
      <c r="M470" s="4">
        <v>5.0000000000000001E-3</v>
      </c>
      <c r="N470" s="4">
        <v>-6.4000000000000003E-3</v>
      </c>
      <c r="O470" s="4">
        <v>2.0000000000000001E-4</v>
      </c>
      <c r="P470" s="4">
        <v>129.74</v>
      </c>
      <c r="Q470" s="4">
        <v>0.26</v>
      </c>
      <c r="R470" s="53">
        <f t="shared" si="14"/>
        <v>0.30753185185185189</v>
      </c>
      <c r="S470" s="22">
        <f t="shared" si="13"/>
        <v>6.1629629629629632E-4</v>
      </c>
    </row>
    <row r="471" spans="1:19">
      <c r="A471" s="52" t="s">
        <v>67</v>
      </c>
      <c r="B471" s="53">
        <v>21111222</v>
      </c>
      <c r="C471" s="53"/>
      <c r="D471" s="53">
        <v>0</v>
      </c>
      <c r="E471" s="4">
        <v>8</v>
      </c>
      <c r="F471" s="4">
        <v>4</v>
      </c>
      <c r="G471" s="4">
        <v>15</v>
      </c>
      <c r="H471" s="53">
        <v>5.9393000000000002</v>
      </c>
      <c r="I471" s="4">
        <v>8.9999999999999998E-4</v>
      </c>
      <c r="J471" s="53">
        <v>-30.228200000000001</v>
      </c>
      <c r="K471" s="4">
        <v>1.9E-3</v>
      </c>
      <c r="L471" s="4">
        <v>0.03</v>
      </c>
      <c r="M471" s="4">
        <v>5.0000000000000001E-3</v>
      </c>
      <c r="N471" s="4">
        <v>-6.4000000000000003E-3</v>
      </c>
      <c r="O471" s="4">
        <v>2.0000000000000001E-4</v>
      </c>
      <c r="P471" s="4">
        <v>129.74</v>
      </c>
      <c r="Q471" s="4">
        <v>0.26</v>
      </c>
      <c r="R471" s="53">
        <f t="shared" si="14"/>
        <v>0.30753185185185189</v>
      </c>
      <c r="S471" s="22">
        <f t="shared" si="13"/>
        <v>6.1629629629629632E-4</v>
      </c>
    </row>
    <row r="472" spans="1:19">
      <c r="A472" s="52" t="s">
        <v>68</v>
      </c>
      <c r="B472" s="53">
        <v>11112222</v>
      </c>
      <c r="C472" s="53"/>
      <c r="D472" s="53">
        <v>0</v>
      </c>
      <c r="E472" s="4">
        <v>8</v>
      </c>
      <c r="F472" s="4">
        <v>4</v>
      </c>
      <c r="G472" s="4">
        <v>15</v>
      </c>
      <c r="H472" s="53">
        <v>5.9393000000000002</v>
      </c>
      <c r="I472" s="4">
        <v>8.9999999999999998E-4</v>
      </c>
      <c r="J472" s="53">
        <v>-30.228200000000001</v>
      </c>
      <c r="K472" s="4">
        <v>1.9E-3</v>
      </c>
      <c r="L472" s="4">
        <v>0.03</v>
      </c>
      <c r="M472" s="4">
        <v>5.0000000000000001E-3</v>
      </c>
      <c r="N472" s="4">
        <v>-6.4000000000000003E-3</v>
      </c>
      <c r="O472" s="4">
        <v>2.0000000000000001E-4</v>
      </c>
      <c r="P472" s="4">
        <v>129.74</v>
      </c>
      <c r="Q472" s="4">
        <v>0.26</v>
      </c>
      <c r="R472" s="53">
        <f t="shared" si="14"/>
        <v>0.30753185185185189</v>
      </c>
      <c r="S472" s="22">
        <f t="shared" si="13"/>
        <v>6.1629629629629632E-4</v>
      </c>
    </row>
    <row r="473" spans="1:19">
      <c r="A473" s="52" t="s">
        <v>69</v>
      </c>
      <c r="B473" s="53">
        <v>21122112</v>
      </c>
      <c r="C473" s="53"/>
      <c r="D473" s="53">
        <v>0</v>
      </c>
      <c r="E473" s="4">
        <v>8</v>
      </c>
      <c r="F473" s="4">
        <v>4</v>
      </c>
      <c r="G473" s="4">
        <v>15</v>
      </c>
      <c r="H473" s="53">
        <v>5.9393000000000002</v>
      </c>
      <c r="I473" s="4">
        <v>8.9999999999999998E-4</v>
      </c>
      <c r="J473" s="53">
        <v>-30.228200000000001</v>
      </c>
      <c r="K473" s="4">
        <v>1.9E-3</v>
      </c>
      <c r="L473" s="4">
        <v>0.03</v>
      </c>
      <c r="M473" s="4">
        <v>5.0000000000000001E-3</v>
      </c>
      <c r="N473" s="4">
        <v>-6.4000000000000003E-3</v>
      </c>
      <c r="O473" s="4">
        <v>2.0000000000000001E-4</v>
      </c>
      <c r="P473" s="4">
        <v>129.74</v>
      </c>
      <c r="Q473" s="4">
        <v>0.26</v>
      </c>
      <c r="R473" s="53">
        <f t="shared" si="14"/>
        <v>0.30753185185185189</v>
      </c>
      <c r="S473" s="22">
        <f t="shared" si="13"/>
        <v>6.1629629629629632E-4</v>
      </c>
    </row>
    <row r="474" spans="1:19">
      <c r="A474" s="52" t="s">
        <v>70</v>
      </c>
      <c r="B474" s="53">
        <v>21211212</v>
      </c>
      <c r="C474" s="53"/>
      <c r="D474" s="53">
        <v>0</v>
      </c>
      <c r="E474" s="4">
        <v>8</v>
      </c>
      <c r="F474" s="4">
        <v>4</v>
      </c>
      <c r="G474" s="4">
        <v>15</v>
      </c>
      <c r="H474" s="53">
        <v>5.9393000000000002</v>
      </c>
      <c r="I474" s="4">
        <v>8.9999999999999998E-4</v>
      </c>
      <c r="J474" s="53">
        <v>-30.228200000000001</v>
      </c>
      <c r="K474" s="4">
        <v>1.9E-3</v>
      </c>
      <c r="L474" s="4">
        <v>0.03</v>
      </c>
      <c r="M474" s="4">
        <v>5.0000000000000001E-3</v>
      </c>
      <c r="N474" s="4">
        <v>-6.4000000000000003E-3</v>
      </c>
      <c r="O474" s="4">
        <v>2.0000000000000001E-4</v>
      </c>
      <c r="P474" s="4">
        <v>129.74</v>
      </c>
      <c r="Q474" s="4">
        <v>0.26</v>
      </c>
      <c r="R474" s="53">
        <f t="shared" si="14"/>
        <v>0.30753185185185189</v>
      </c>
      <c r="S474" s="22">
        <f t="shared" si="13"/>
        <v>6.1629629629629632E-4</v>
      </c>
    </row>
    <row r="475" spans="1:19">
      <c r="A475" s="52" t="s">
        <v>71</v>
      </c>
      <c r="B475" s="53">
        <v>11121222</v>
      </c>
      <c r="C475" s="53"/>
      <c r="D475" s="53">
        <v>0</v>
      </c>
      <c r="E475" s="4">
        <v>8</v>
      </c>
      <c r="F475" s="4">
        <v>4</v>
      </c>
      <c r="G475" s="4">
        <v>15</v>
      </c>
      <c r="H475" s="53">
        <v>5.9393000000000002</v>
      </c>
      <c r="I475" s="4">
        <v>8.9999999999999998E-4</v>
      </c>
      <c r="J475" s="53">
        <v>-30.228200000000001</v>
      </c>
      <c r="K475" s="4">
        <v>1.9E-3</v>
      </c>
      <c r="L475" s="4">
        <v>0.03</v>
      </c>
      <c r="M475" s="4">
        <v>5.0000000000000001E-3</v>
      </c>
      <c r="N475" s="4">
        <v>-6.4000000000000003E-3</v>
      </c>
      <c r="O475" s="4">
        <v>2.0000000000000001E-4</v>
      </c>
      <c r="P475" s="4">
        <v>129.74</v>
      </c>
      <c r="Q475" s="4">
        <v>0.26</v>
      </c>
      <c r="R475" s="53">
        <f t="shared" si="14"/>
        <v>0.30753185185185189</v>
      </c>
      <c r="S475" s="22">
        <f t="shared" si="13"/>
        <v>6.1629629629629632E-4</v>
      </c>
    </row>
    <row r="476" spans="1:19">
      <c r="A476" s="52" t="s">
        <v>72</v>
      </c>
      <c r="B476" s="53">
        <v>11122122</v>
      </c>
      <c r="C476" s="53"/>
      <c r="D476" s="53">
        <v>0</v>
      </c>
      <c r="E476" s="4">
        <v>8</v>
      </c>
      <c r="F476" s="4">
        <v>4</v>
      </c>
      <c r="G476" s="4">
        <v>15</v>
      </c>
      <c r="H476" s="53">
        <v>5.9393000000000002</v>
      </c>
      <c r="I476" s="4">
        <v>8.9999999999999998E-4</v>
      </c>
      <c r="J476" s="53">
        <v>-30.228200000000001</v>
      </c>
      <c r="K476" s="4">
        <v>1.9E-3</v>
      </c>
      <c r="L476" s="4">
        <v>0.03</v>
      </c>
      <c r="M476" s="4">
        <v>5.0000000000000001E-3</v>
      </c>
      <c r="N476" s="4">
        <v>-6.4000000000000003E-3</v>
      </c>
      <c r="O476" s="4">
        <v>2.0000000000000001E-4</v>
      </c>
      <c r="P476" s="4">
        <v>129.74</v>
      </c>
      <c r="Q476" s="4">
        <v>0.26</v>
      </c>
      <c r="R476" s="53">
        <f t="shared" si="14"/>
        <v>0.30753185185185189</v>
      </c>
      <c r="S476" s="22">
        <f t="shared" si="13"/>
        <v>6.1629629629629632E-4</v>
      </c>
    </row>
    <row r="477" spans="1:19">
      <c r="A477" s="52" t="s">
        <v>73</v>
      </c>
      <c r="B477" s="53">
        <v>11122212</v>
      </c>
      <c r="C477" s="53"/>
      <c r="D477" s="53">
        <v>0</v>
      </c>
      <c r="E477" s="4">
        <v>8</v>
      </c>
      <c r="F477" s="4">
        <v>4</v>
      </c>
      <c r="G477" s="4">
        <v>15</v>
      </c>
      <c r="H477" s="53">
        <v>5.9393000000000002</v>
      </c>
      <c r="I477" s="4">
        <v>8.9999999999999998E-4</v>
      </c>
      <c r="J477" s="53">
        <v>-30.228200000000001</v>
      </c>
      <c r="K477" s="4">
        <v>1.9E-3</v>
      </c>
      <c r="L477" s="4">
        <v>0.03</v>
      </c>
      <c r="M477" s="4">
        <v>5.0000000000000001E-3</v>
      </c>
      <c r="N477" s="4">
        <v>-6.4000000000000003E-3</v>
      </c>
      <c r="O477" s="4">
        <v>2.0000000000000001E-4</v>
      </c>
      <c r="P477" s="4">
        <v>129.74</v>
      </c>
      <c r="Q477" s="4">
        <v>0.26</v>
      </c>
      <c r="R477" s="53">
        <f t="shared" si="14"/>
        <v>0.30753185185185189</v>
      </c>
      <c r="S477" s="22">
        <f t="shared" si="13"/>
        <v>6.1629629629629632E-4</v>
      </c>
    </row>
    <row r="478" spans="1:19">
      <c r="A478" s="52" t="s">
        <v>74</v>
      </c>
      <c r="B478" s="53">
        <v>11122221</v>
      </c>
      <c r="C478" s="53"/>
      <c r="D478" s="53">
        <v>0</v>
      </c>
      <c r="E478" s="4">
        <v>8</v>
      </c>
      <c r="F478" s="4">
        <v>4</v>
      </c>
      <c r="G478" s="4">
        <v>15</v>
      </c>
      <c r="H478" s="53">
        <v>5.9393000000000002</v>
      </c>
      <c r="I478" s="4">
        <v>8.9999999999999998E-4</v>
      </c>
      <c r="J478" s="53">
        <v>-30.228200000000001</v>
      </c>
      <c r="K478" s="4">
        <v>1.9E-3</v>
      </c>
      <c r="L478" s="4">
        <v>0.03</v>
      </c>
      <c r="M478" s="4">
        <v>5.0000000000000001E-3</v>
      </c>
      <c r="N478" s="4">
        <v>-6.4000000000000003E-3</v>
      </c>
      <c r="O478" s="4">
        <v>2.0000000000000001E-4</v>
      </c>
      <c r="P478" s="4">
        <v>129.74</v>
      </c>
      <c r="Q478" s="4">
        <v>0.26</v>
      </c>
      <c r="R478" s="53">
        <f t="shared" si="14"/>
        <v>0.30753185185185189</v>
      </c>
      <c r="S478" s="22">
        <f t="shared" si="13"/>
        <v>6.1629629629629632E-4</v>
      </c>
    </row>
    <row r="479" spans="1:19">
      <c r="A479" s="52" t="s">
        <v>75</v>
      </c>
      <c r="B479" s="53">
        <v>11221122</v>
      </c>
      <c r="C479" s="53"/>
      <c r="D479" s="53">
        <v>0</v>
      </c>
      <c r="E479" s="4">
        <v>8</v>
      </c>
      <c r="F479" s="4">
        <v>4</v>
      </c>
      <c r="G479" s="4">
        <v>15</v>
      </c>
      <c r="H479" s="53">
        <v>5.9393000000000002</v>
      </c>
      <c r="I479" s="4">
        <v>8.9999999999999998E-4</v>
      </c>
      <c r="J479" s="53">
        <v>-30.228200000000001</v>
      </c>
      <c r="K479" s="4">
        <v>1.9E-3</v>
      </c>
      <c r="L479" s="4">
        <v>0.03</v>
      </c>
      <c r="M479" s="4">
        <v>5.0000000000000001E-3</v>
      </c>
      <c r="N479" s="4">
        <v>-6.4000000000000003E-3</v>
      </c>
      <c r="O479" s="4">
        <v>2.0000000000000001E-4</v>
      </c>
      <c r="P479" s="4">
        <v>129.74</v>
      </c>
      <c r="Q479" s="4">
        <v>0.26</v>
      </c>
      <c r="R479" s="53">
        <f t="shared" si="14"/>
        <v>0.30753185185185189</v>
      </c>
      <c r="S479" s="22">
        <f t="shared" si="13"/>
        <v>6.1629629629629632E-4</v>
      </c>
    </row>
    <row r="480" spans="1:19">
      <c r="A480" s="52" t="s">
        <v>76</v>
      </c>
      <c r="B480" s="53">
        <v>11212122</v>
      </c>
      <c r="C480" s="53"/>
      <c r="D480" s="53">
        <v>0</v>
      </c>
      <c r="E480" s="4">
        <v>8</v>
      </c>
      <c r="F480" s="4">
        <v>4</v>
      </c>
      <c r="G480" s="4">
        <v>15</v>
      </c>
      <c r="H480" s="53">
        <v>5.9393000000000002</v>
      </c>
      <c r="I480" s="4">
        <v>8.9999999999999998E-4</v>
      </c>
      <c r="J480" s="53">
        <v>-30.228200000000001</v>
      </c>
      <c r="K480" s="4">
        <v>1.9E-3</v>
      </c>
      <c r="L480" s="4">
        <v>0.03</v>
      </c>
      <c r="M480" s="4">
        <v>5.0000000000000001E-3</v>
      </c>
      <c r="N480" s="4">
        <v>-6.4000000000000003E-3</v>
      </c>
      <c r="O480" s="4">
        <v>2.0000000000000001E-4</v>
      </c>
      <c r="P480" s="4">
        <v>129.74</v>
      </c>
      <c r="Q480" s="4">
        <v>0.26</v>
      </c>
      <c r="R480" s="53">
        <f t="shared" si="14"/>
        <v>0.30753185185185189</v>
      </c>
      <c r="S480" s="22">
        <f t="shared" si="13"/>
        <v>6.1629629629629632E-4</v>
      </c>
    </row>
    <row r="481" spans="1:19">
      <c r="A481" s="52" t="s">
        <v>77</v>
      </c>
      <c r="B481" s="53">
        <v>12121212</v>
      </c>
      <c r="C481" s="53"/>
      <c r="D481" s="53">
        <v>0</v>
      </c>
      <c r="E481" s="4">
        <v>8</v>
      </c>
      <c r="F481" s="4">
        <v>4</v>
      </c>
      <c r="G481" s="4">
        <v>15</v>
      </c>
      <c r="H481" s="53">
        <v>5.9393000000000002</v>
      </c>
      <c r="I481" s="4">
        <v>8.9999999999999998E-4</v>
      </c>
      <c r="J481" s="53">
        <v>-30.228200000000001</v>
      </c>
      <c r="K481" s="4">
        <v>1.9E-3</v>
      </c>
      <c r="L481" s="4">
        <v>0.03</v>
      </c>
      <c r="M481" s="4">
        <v>5.0000000000000001E-3</v>
      </c>
      <c r="N481" s="4">
        <v>-6.4000000000000003E-3</v>
      </c>
      <c r="O481" s="4">
        <v>2.0000000000000001E-4</v>
      </c>
      <c r="P481" s="4">
        <v>129.74</v>
      </c>
      <c r="Q481" s="4">
        <v>0.26</v>
      </c>
      <c r="R481" s="53">
        <f t="shared" si="14"/>
        <v>0.30753185185185189</v>
      </c>
      <c r="S481" s="22">
        <f t="shared" si="13"/>
        <v>6.1629629629629632E-4</v>
      </c>
    </row>
    <row r="482" spans="1:19">
      <c r="A482" s="52" t="s">
        <v>79</v>
      </c>
      <c r="B482" s="53">
        <v>12121221</v>
      </c>
      <c r="C482" s="53"/>
      <c r="D482" s="53">
        <v>0</v>
      </c>
      <c r="E482" s="4">
        <v>8</v>
      </c>
      <c r="F482" s="4">
        <v>4</v>
      </c>
      <c r="G482" s="4">
        <v>15</v>
      </c>
      <c r="H482" s="53">
        <v>5.9393000000000002</v>
      </c>
      <c r="I482" s="4">
        <v>8.9999999999999998E-4</v>
      </c>
      <c r="J482" s="53">
        <v>-30.228200000000001</v>
      </c>
      <c r="K482" s="4">
        <v>1.9E-3</v>
      </c>
      <c r="L482" s="4">
        <v>0.03</v>
      </c>
      <c r="M482" s="4">
        <v>5.0000000000000001E-3</v>
      </c>
      <c r="N482" s="4">
        <v>-6.4000000000000003E-3</v>
      </c>
      <c r="O482" s="4">
        <v>2.0000000000000001E-4</v>
      </c>
      <c r="P482" s="4">
        <v>129.74</v>
      </c>
      <c r="Q482" s="4">
        <v>0.26</v>
      </c>
      <c r="R482" s="53">
        <f t="shared" si="14"/>
        <v>0.30753185185185189</v>
      </c>
      <c r="S482" s="22">
        <f t="shared" si="13"/>
        <v>6.1629629629629632E-4</v>
      </c>
    </row>
    <row r="483" spans="1:19">
      <c r="A483" s="52" t="s">
        <v>80</v>
      </c>
      <c r="B483" s="53">
        <v>12122121</v>
      </c>
      <c r="C483" s="53"/>
      <c r="D483" s="53">
        <v>0</v>
      </c>
      <c r="E483" s="4">
        <v>8</v>
      </c>
      <c r="F483" s="4">
        <v>4</v>
      </c>
      <c r="G483" s="4">
        <v>15</v>
      </c>
      <c r="H483" s="53">
        <v>5.9393000000000002</v>
      </c>
      <c r="I483" s="4">
        <v>8.9999999999999998E-4</v>
      </c>
      <c r="J483" s="53">
        <v>-30.228200000000001</v>
      </c>
      <c r="K483" s="4">
        <v>1.9E-3</v>
      </c>
      <c r="L483" s="4">
        <v>0.03</v>
      </c>
      <c r="M483" s="4">
        <v>5.0000000000000001E-3</v>
      </c>
      <c r="N483" s="4">
        <v>-6.4000000000000003E-3</v>
      </c>
      <c r="O483" s="4">
        <v>2.0000000000000001E-4</v>
      </c>
      <c r="P483" s="4">
        <v>129.74</v>
      </c>
      <c r="Q483" s="4">
        <v>0.26</v>
      </c>
      <c r="R483" s="53">
        <f t="shared" si="14"/>
        <v>0.30753185185185189</v>
      </c>
      <c r="S483" s="22">
        <f t="shared" si="13"/>
        <v>6.1629629629629632E-4</v>
      </c>
    </row>
    <row r="484" spans="1:19">
      <c r="A484" s="52" t="s">
        <v>81</v>
      </c>
      <c r="B484" s="53">
        <v>22111122</v>
      </c>
      <c r="C484" s="53"/>
      <c r="D484" s="53">
        <v>0</v>
      </c>
      <c r="E484" s="4">
        <v>8</v>
      </c>
      <c r="F484" s="4">
        <v>4</v>
      </c>
      <c r="G484" s="4">
        <v>15</v>
      </c>
      <c r="H484" s="53">
        <v>5.9393000000000002</v>
      </c>
      <c r="I484" s="4">
        <v>8.9999999999999998E-4</v>
      </c>
      <c r="J484" s="53">
        <v>-30.228200000000001</v>
      </c>
      <c r="K484" s="4">
        <v>1.9E-3</v>
      </c>
      <c r="L484" s="4">
        <v>0.03</v>
      </c>
      <c r="M484" s="4">
        <v>5.0000000000000001E-3</v>
      </c>
      <c r="N484" s="4">
        <v>-6.4000000000000003E-3</v>
      </c>
      <c r="O484" s="4">
        <v>2.0000000000000001E-4</v>
      </c>
      <c r="P484" s="4">
        <v>129.74</v>
      </c>
      <c r="Q484" s="4">
        <v>0.26</v>
      </c>
      <c r="R484" s="53">
        <f t="shared" si="14"/>
        <v>0.30753185185185189</v>
      </c>
      <c r="S484" s="22">
        <f t="shared" si="13"/>
        <v>6.1629629629629632E-4</v>
      </c>
    </row>
    <row r="485" spans="1:19">
      <c r="A485" s="52" t="s">
        <v>82</v>
      </c>
      <c r="B485" s="53">
        <v>11222211</v>
      </c>
      <c r="C485" s="53"/>
      <c r="D485" s="53">
        <v>0</v>
      </c>
      <c r="E485" s="4">
        <v>8</v>
      </c>
      <c r="F485" s="4">
        <v>4</v>
      </c>
      <c r="G485" s="4">
        <v>15</v>
      </c>
      <c r="H485" s="53">
        <v>5.9393000000000002</v>
      </c>
      <c r="I485" s="4">
        <v>8.9999999999999998E-4</v>
      </c>
      <c r="J485" s="53">
        <v>-30.228200000000001</v>
      </c>
      <c r="K485" s="4">
        <v>1.9E-3</v>
      </c>
      <c r="L485" s="4">
        <v>0.03</v>
      </c>
      <c r="M485" s="4">
        <v>5.0000000000000001E-3</v>
      </c>
      <c r="N485" s="4">
        <v>-6.4000000000000003E-3</v>
      </c>
      <c r="O485" s="4">
        <v>2.0000000000000001E-4</v>
      </c>
      <c r="P485" s="4">
        <v>129.74</v>
      </c>
      <c r="Q485" s="4">
        <v>0.26</v>
      </c>
      <c r="R485" s="53">
        <f t="shared" si="14"/>
        <v>0.30753185185185189</v>
      </c>
      <c r="S485" s="22">
        <f t="shared" si="13"/>
        <v>6.1629629629629632E-4</v>
      </c>
    </row>
    <row r="486" spans="1:19">
      <c r="A486" s="52" t="s">
        <v>83</v>
      </c>
      <c r="B486" s="53">
        <v>12211212</v>
      </c>
      <c r="C486" s="53"/>
      <c r="D486" s="53">
        <v>0</v>
      </c>
      <c r="E486" s="4">
        <v>8</v>
      </c>
      <c r="F486" s="4">
        <v>4</v>
      </c>
      <c r="G486" s="4">
        <v>15</v>
      </c>
      <c r="H486" s="53">
        <v>5.9393000000000002</v>
      </c>
      <c r="I486" s="4">
        <v>8.9999999999999998E-4</v>
      </c>
      <c r="J486" s="53">
        <v>-30.228200000000001</v>
      </c>
      <c r="K486" s="4">
        <v>1.9E-3</v>
      </c>
      <c r="L486" s="4">
        <v>0.03</v>
      </c>
      <c r="M486" s="4">
        <v>5.0000000000000001E-3</v>
      </c>
      <c r="N486" s="4">
        <v>-6.4000000000000003E-3</v>
      </c>
      <c r="O486" s="4">
        <v>2.0000000000000001E-4</v>
      </c>
      <c r="P486" s="4">
        <v>129.74</v>
      </c>
      <c r="Q486" s="4">
        <v>0.26</v>
      </c>
      <c r="R486" s="53">
        <f t="shared" si="14"/>
        <v>0.30753185185185189</v>
      </c>
      <c r="S486" s="22">
        <f t="shared" si="13"/>
        <v>6.1629629629629632E-4</v>
      </c>
    </row>
    <row r="487" spans="1:19">
      <c r="A487" s="52" t="s">
        <v>84</v>
      </c>
      <c r="B487" s="53">
        <v>12212112</v>
      </c>
      <c r="C487" s="53"/>
      <c r="D487" s="53">
        <v>0</v>
      </c>
      <c r="E487" s="4">
        <v>8</v>
      </c>
      <c r="F487" s="4">
        <v>4</v>
      </c>
      <c r="G487" s="4">
        <v>15</v>
      </c>
      <c r="H487" s="53">
        <v>5.9393000000000002</v>
      </c>
      <c r="I487" s="4">
        <v>8.9999999999999998E-4</v>
      </c>
      <c r="J487" s="53">
        <v>-30.228200000000001</v>
      </c>
      <c r="K487" s="4">
        <v>1.9E-3</v>
      </c>
      <c r="L487" s="4">
        <v>0.03</v>
      </c>
      <c r="M487" s="4">
        <v>5.0000000000000001E-3</v>
      </c>
      <c r="N487" s="4">
        <v>-6.4000000000000003E-3</v>
      </c>
      <c r="O487" s="4">
        <v>2.0000000000000001E-4</v>
      </c>
      <c r="P487" s="4">
        <v>129.74</v>
      </c>
      <c r="Q487" s="4">
        <v>0.26</v>
      </c>
      <c r="R487" s="53">
        <f t="shared" si="14"/>
        <v>0.30753185185185189</v>
      </c>
      <c r="S487" s="22">
        <f t="shared" si="13"/>
        <v>6.1629629629629632E-4</v>
      </c>
    </row>
    <row r="488" spans="1:19">
      <c r="A488" s="52" t="s">
        <v>85</v>
      </c>
      <c r="B488" s="53">
        <v>12221112</v>
      </c>
      <c r="C488" s="53"/>
      <c r="D488" s="53">
        <v>0</v>
      </c>
      <c r="E488" s="4">
        <v>8</v>
      </c>
      <c r="F488" s="4">
        <v>4</v>
      </c>
      <c r="G488" s="4">
        <v>15</v>
      </c>
      <c r="H488" s="53">
        <v>5.9393000000000002</v>
      </c>
      <c r="I488" s="4">
        <v>8.9999999999999998E-4</v>
      </c>
      <c r="J488" s="53">
        <v>-30.228200000000001</v>
      </c>
      <c r="K488" s="4">
        <v>1.9E-3</v>
      </c>
      <c r="L488" s="4">
        <v>0.03</v>
      </c>
      <c r="M488" s="4">
        <v>5.0000000000000001E-3</v>
      </c>
      <c r="N488" s="4">
        <v>-6.4000000000000003E-3</v>
      </c>
      <c r="O488" s="4">
        <v>2.0000000000000001E-4</v>
      </c>
      <c r="P488" s="4">
        <v>129.74</v>
      </c>
      <c r="Q488" s="4">
        <v>0.26</v>
      </c>
      <c r="R488" s="53">
        <f t="shared" si="14"/>
        <v>0.30753185185185189</v>
      </c>
      <c r="S488" s="22">
        <f t="shared" ref="S488:S551" si="15">Q488*E488/G488^3</f>
        <v>6.1629629629629632E-4</v>
      </c>
    </row>
    <row r="489" spans="1:19">
      <c r="A489" s="52" t="s">
        <v>86</v>
      </c>
      <c r="B489" s="53">
        <v>21112122</v>
      </c>
      <c r="C489" s="53"/>
      <c r="D489" s="53">
        <v>0</v>
      </c>
      <c r="E489" s="4">
        <v>8</v>
      </c>
      <c r="F489" s="4">
        <v>4</v>
      </c>
      <c r="G489" s="4">
        <v>15</v>
      </c>
      <c r="H489" s="53">
        <v>5.9393000000000002</v>
      </c>
      <c r="I489" s="4">
        <v>8.9999999999999998E-4</v>
      </c>
      <c r="J489" s="53">
        <v>-30.228200000000001</v>
      </c>
      <c r="K489" s="4">
        <v>1.9E-3</v>
      </c>
      <c r="L489" s="4">
        <v>0.03</v>
      </c>
      <c r="M489" s="4">
        <v>5.0000000000000001E-3</v>
      </c>
      <c r="N489" s="4">
        <v>-6.4000000000000003E-3</v>
      </c>
      <c r="O489" s="4">
        <v>2.0000000000000001E-4</v>
      </c>
      <c r="P489" s="4">
        <v>129.74</v>
      </c>
      <c r="Q489" s="4">
        <v>0.26</v>
      </c>
      <c r="R489" s="53">
        <f t="shared" ref="R489:R552" si="16">P489*E489/G489^3</f>
        <v>0.30753185185185189</v>
      </c>
      <c r="S489" s="22">
        <f t="shared" si="15"/>
        <v>6.1629629629629632E-4</v>
      </c>
    </row>
    <row r="490" spans="1:19">
      <c r="A490" s="52" t="s">
        <v>87</v>
      </c>
      <c r="B490" s="53">
        <v>21112212</v>
      </c>
      <c r="C490" s="53"/>
      <c r="D490" s="53">
        <v>0</v>
      </c>
      <c r="E490" s="4">
        <v>8</v>
      </c>
      <c r="F490" s="4">
        <v>4</v>
      </c>
      <c r="G490" s="4">
        <v>15</v>
      </c>
      <c r="H490" s="53">
        <v>5.9393000000000002</v>
      </c>
      <c r="I490" s="4">
        <v>8.9999999999999998E-4</v>
      </c>
      <c r="J490" s="53">
        <v>-30.228200000000001</v>
      </c>
      <c r="K490" s="4">
        <v>1.9E-3</v>
      </c>
      <c r="L490" s="4">
        <v>0.03</v>
      </c>
      <c r="M490" s="4">
        <v>5.0000000000000001E-3</v>
      </c>
      <c r="N490" s="4">
        <v>-6.4000000000000003E-3</v>
      </c>
      <c r="O490" s="4">
        <v>2.0000000000000001E-4</v>
      </c>
      <c r="P490" s="4">
        <v>129.74</v>
      </c>
      <c r="Q490" s="4">
        <v>0.26</v>
      </c>
      <c r="R490" s="53">
        <f t="shared" si="16"/>
        <v>0.30753185185185189</v>
      </c>
      <c r="S490" s="22">
        <f t="shared" si="15"/>
        <v>6.1629629629629632E-4</v>
      </c>
    </row>
    <row r="491" spans="1:19">
      <c r="A491" s="52" t="s">
        <v>88</v>
      </c>
      <c r="B491" s="53">
        <v>21121122</v>
      </c>
      <c r="C491" s="53"/>
      <c r="D491" s="53">
        <v>0</v>
      </c>
      <c r="E491" s="4">
        <v>8</v>
      </c>
      <c r="F491" s="4">
        <v>4</v>
      </c>
      <c r="G491" s="4">
        <v>15</v>
      </c>
      <c r="H491" s="53">
        <v>5.9393000000000002</v>
      </c>
      <c r="I491" s="4">
        <v>8.9999999999999998E-4</v>
      </c>
      <c r="J491" s="53">
        <v>-30.228200000000001</v>
      </c>
      <c r="K491" s="4">
        <v>1.9E-3</v>
      </c>
      <c r="L491" s="4">
        <v>0.03</v>
      </c>
      <c r="M491" s="4">
        <v>5.0000000000000001E-3</v>
      </c>
      <c r="N491" s="4">
        <v>-6.4000000000000003E-3</v>
      </c>
      <c r="O491" s="4">
        <v>2.0000000000000001E-4</v>
      </c>
      <c r="P491" s="4">
        <v>129.74</v>
      </c>
      <c r="Q491" s="4">
        <v>0.26</v>
      </c>
      <c r="R491" s="53">
        <f t="shared" si="16"/>
        <v>0.30753185185185189</v>
      </c>
      <c r="S491" s="22">
        <f t="shared" si="15"/>
        <v>6.1629629629629632E-4</v>
      </c>
    </row>
    <row r="492" spans="1:19">
      <c r="A492" s="52" t="s">
        <v>89</v>
      </c>
      <c r="B492" s="53">
        <v>21121212</v>
      </c>
      <c r="C492" s="53"/>
      <c r="D492" s="53">
        <v>0</v>
      </c>
      <c r="E492" s="4">
        <v>8</v>
      </c>
      <c r="F492" s="4">
        <v>4</v>
      </c>
      <c r="G492" s="4">
        <v>15</v>
      </c>
      <c r="H492" s="53">
        <v>5.9393000000000002</v>
      </c>
      <c r="I492" s="4">
        <v>8.9999999999999998E-4</v>
      </c>
      <c r="J492" s="53">
        <v>-30.228200000000001</v>
      </c>
      <c r="K492" s="4">
        <v>1.9E-3</v>
      </c>
      <c r="L492" s="4">
        <v>0.03</v>
      </c>
      <c r="M492" s="4">
        <v>5.0000000000000001E-3</v>
      </c>
      <c r="N492" s="4">
        <v>-6.4000000000000003E-3</v>
      </c>
      <c r="O492" s="4">
        <v>2.0000000000000001E-4</v>
      </c>
      <c r="P492" s="4">
        <v>129.74</v>
      </c>
      <c r="Q492" s="4">
        <v>0.26</v>
      </c>
      <c r="R492" s="53">
        <f t="shared" si="16"/>
        <v>0.30753185185185189</v>
      </c>
      <c r="S492" s="22">
        <f t="shared" si="15"/>
        <v>6.1629629629629632E-4</v>
      </c>
    </row>
    <row r="493" spans="1:19">
      <c r="A493" s="52" t="s">
        <v>90</v>
      </c>
      <c r="B493" s="53">
        <v>21211122</v>
      </c>
      <c r="C493" s="53"/>
      <c r="D493" s="53">
        <v>0</v>
      </c>
      <c r="E493" s="4">
        <v>8</v>
      </c>
      <c r="F493" s="4">
        <v>4</v>
      </c>
      <c r="G493" s="4">
        <v>15</v>
      </c>
      <c r="H493" s="53">
        <v>5.9393000000000002</v>
      </c>
      <c r="I493" s="4">
        <v>8.9999999999999998E-4</v>
      </c>
      <c r="J493" s="53">
        <v>-30.228200000000001</v>
      </c>
      <c r="K493" s="4">
        <v>1.9E-3</v>
      </c>
      <c r="L493" s="4">
        <v>0.03</v>
      </c>
      <c r="M493" s="4">
        <v>5.0000000000000001E-3</v>
      </c>
      <c r="N493" s="4">
        <v>-6.4000000000000003E-3</v>
      </c>
      <c r="O493" s="4">
        <v>2.0000000000000001E-4</v>
      </c>
      <c r="P493" s="4">
        <v>129.74</v>
      </c>
      <c r="Q493" s="4">
        <v>0.26</v>
      </c>
      <c r="R493" s="53">
        <f t="shared" si="16"/>
        <v>0.30753185185185189</v>
      </c>
      <c r="S493" s="22">
        <f t="shared" si="15"/>
        <v>6.1629629629629632E-4</v>
      </c>
    </row>
    <row r="494" spans="1:19">
      <c r="A494" s="52" t="s">
        <v>92</v>
      </c>
      <c r="B494" s="53">
        <v>11212212</v>
      </c>
      <c r="C494" s="53"/>
      <c r="D494" s="53">
        <v>0</v>
      </c>
      <c r="E494" s="4">
        <v>8</v>
      </c>
      <c r="F494" s="4">
        <v>4</v>
      </c>
      <c r="G494" s="4">
        <v>15</v>
      </c>
      <c r="H494" s="53">
        <v>5.9393000000000002</v>
      </c>
      <c r="I494" s="4">
        <v>8.9999999999999998E-4</v>
      </c>
      <c r="J494" s="53">
        <v>-30.228200000000001</v>
      </c>
      <c r="K494" s="4">
        <v>1.9E-3</v>
      </c>
      <c r="L494" s="4">
        <v>0.03</v>
      </c>
      <c r="M494" s="4">
        <v>5.0000000000000001E-3</v>
      </c>
      <c r="N494" s="4">
        <v>-6.4000000000000003E-3</v>
      </c>
      <c r="O494" s="4">
        <v>2.0000000000000001E-4</v>
      </c>
      <c r="P494" s="4">
        <v>129.74</v>
      </c>
      <c r="Q494" s="4">
        <v>0.26</v>
      </c>
      <c r="R494" s="53">
        <f t="shared" si="16"/>
        <v>0.30753185185185189</v>
      </c>
      <c r="S494" s="22">
        <f t="shared" si="15"/>
        <v>6.1629629629629632E-4</v>
      </c>
    </row>
    <row r="495" spans="1:19">
      <c r="A495" s="52" t="s">
        <v>94</v>
      </c>
      <c r="B495" s="53">
        <v>11212221</v>
      </c>
      <c r="C495" s="53"/>
      <c r="D495" s="53">
        <v>0</v>
      </c>
      <c r="E495" s="4">
        <v>8</v>
      </c>
      <c r="F495" s="4">
        <v>4</v>
      </c>
      <c r="G495" s="4">
        <v>15</v>
      </c>
      <c r="H495" s="53">
        <v>5.9393000000000002</v>
      </c>
      <c r="I495" s="4">
        <v>8.9999999999999998E-4</v>
      </c>
      <c r="J495" s="53">
        <v>-30.228200000000001</v>
      </c>
      <c r="K495" s="4">
        <v>1.9E-3</v>
      </c>
      <c r="L495" s="4">
        <v>0.03</v>
      </c>
      <c r="M495" s="4">
        <v>5.0000000000000001E-3</v>
      </c>
      <c r="N495" s="4">
        <v>-6.4000000000000003E-3</v>
      </c>
      <c r="O495" s="4">
        <v>2.0000000000000001E-4</v>
      </c>
      <c r="P495" s="4">
        <v>129.74</v>
      </c>
      <c r="Q495" s="4">
        <v>0.26</v>
      </c>
      <c r="R495" s="53">
        <f t="shared" si="16"/>
        <v>0.30753185185185189</v>
      </c>
      <c r="S495" s="22">
        <f t="shared" si="15"/>
        <v>6.1629629629629632E-4</v>
      </c>
    </row>
    <row r="496" spans="1:19">
      <c r="A496" s="52" t="s">
        <v>95</v>
      </c>
      <c r="B496" s="53">
        <v>11221122</v>
      </c>
      <c r="C496" s="53"/>
      <c r="D496" s="53">
        <v>0</v>
      </c>
      <c r="E496" s="4">
        <v>8</v>
      </c>
      <c r="F496" s="4">
        <v>4</v>
      </c>
      <c r="G496" s="4">
        <v>15</v>
      </c>
      <c r="H496" s="53">
        <v>5.9393000000000002</v>
      </c>
      <c r="I496" s="4">
        <v>8.9999999999999998E-4</v>
      </c>
      <c r="J496" s="53">
        <v>-30.228200000000001</v>
      </c>
      <c r="K496" s="4">
        <v>1.9E-3</v>
      </c>
      <c r="L496" s="4">
        <v>0.03</v>
      </c>
      <c r="M496" s="4">
        <v>5.0000000000000001E-3</v>
      </c>
      <c r="N496" s="4">
        <v>-6.4000000000000003E-3</v>
      </c>
      <c r="O496" s="4">
        <v>2.0000000000000001E-4</v>
      </c>
      <c r="P496" s="4">
        <v>129.74</v>
      </c>
      <c r="Q496" s="4">
        <v>0.26</v>
      </c>
      <c r="R496" s="53">
        <f t="shared" si="16"/>
        <v>0.30753185185185189</v>
      </c>
      <c r="S496" s="22">
        <f t="shared" si="15"/>
        <v>6.1629629629629632E-4</v>
      </c>
    </row>
    <row r="497" spans="1:19">
      <c r="A497" s="52" t="s">
        <v>96</v>
      </c>
      <c r="B497" s="53">
        <v>11221212</v>
      </c>
      <c r="C497" s="53"/>
      <c r="D497" s="53">
        <v>0</v>
      </c>
      <c r="E497" s="4">
        <v>8</v>
      </c>
      <c r="F497" s="4">
        <v>4</v>
      </c>
      <c r="G497" s="4">
        <v>15</v>
      </c>
      <c r="H497" s="53">
        <v>5.9393000000000002</v>
      </c>
      <c r="I497" s="4">
        <v>8.9999999999999998E-4</v>
      </c>
      <c r="J497" s="53">
        <v>-30.228200000000001</v>
      </c>
      <c r="K497" s="4">
        <v>1.9E-3</v>
      </c>
      <c r="L497" s="4">
        <v>0.03</v>
      </c>
      <c r="M497" s="4">
        <v>5.0000000000000001E-3</v>
      </c>
      <c r="N497" s="4">
        <v>-6.4000000000000003E-3</v>
      </c>
      <c r="O497" s="4">
        <v>2.0000000000000001E-4</v>
      </c>
      <c r="P497" s="4">
        <v>129.74</v>
      </c>
      <c r="Q497" s="4">
        <v>0.26</v>
      </c>
      <c r="R497" s="53">
        <f t="shared" si="16"/>
        <v>0.30753185185185189</v>
      </c>
      <c r="S497" s="22">
        <f t="shared" si="15"/>
        <v>6.1629629629629632E-4</v>
      </c>
    </row>
    <row r="498" spans="1:19">
      <c r="A498" s="52" t="s">
        <v>97</v>
      </c>
      <c r="B498" s="53">
        <v>11221221</v>
      </c>
      <c r="C498" s="53"/>
      <c r="D498" s="53">
        <v>0</v>
      </c>
      <c r="E498" s="4">
        <v>8</v>
      </c>
      <c r="F498" s="4">
        <v>4</v>
      </c>
      <c r="G498" s="4">
        <v>15</v>
      </c>
      <c r="H498" s="53">
        <v>5.9393000000000002</v>
      </c>
      <c r="I498" s="4">
        <v>8.9999999999999998E-4</v>
      </c>
      <c r="J498" s="53">
        <v>-30.228200000000001</v>
      </c>
      <c r="K498" s="4">
        <v>1.9E-3</v>
      </c>
      <c r="L498" s="4">
        <v>0.03</v>
      </c>
      <c r="M498" s="4">
        <v>5.0000000000000001E-3</v>
      </c>
      <c r="N498" s="4">
        <v>-6.4000000000000003E-3</v>
      </c>
      <c r="O498" s="4">
        <v>2.0000000000000001E-4</v>
      </c>
      <c r="P498" s="4">
        <v>129.74</v>
      </c>
      <c r="Q498" s="4">
        <v>0.26</v>
      </c>
      <c r="R498" s="53">
        <f t="shared" si="16"/>
        <v>0.30753185185185189</v>
      </c>
      <c r="S498" s="22">
        <f t="shared" si="15"/>
        <v>6.1629629629629632E-4</v>
      </c>
    </row>
    <row r="499" spans="1:19">
      <c r="A499" s="52" t="s">
        <v>98</v>
      </c>
      <c r="B499" s="53">
        <v>11222112</v>
      </c>
      <c r="C499" s="53"/>
      <c r="D499" s="53">
        <v>0</v>
      </c>
      <c r="E499" s="4">
        <v>8</v>
      </c>
      <c r="F499" s="4">
        <v>4</v>
      </c>
      <c r="G499" s="4">
        <v>15</v>
      </c>
      <c r="H499" s="53">
        <v>5.9393000000000002</v>
      </c>
      <c r="I499" s="4">
        <v>8.9999999999999998E-4</v>
      </c>
      <c r="J499" s="53">
        <v>-30.228200000000001</v>
      </c>
      <c r="K499" s="4">
        <v>1.9E-3</v>
      </c>
      <c r="L499" s="4">
        <v>0.03</v>
      </c>
      <c r="M499" s="4">
        <v>5.0000000000000001E-3</v>
      </c>
      <c r="N499" s="4">
        <v>-6.4000000000000003E-3</v>
      </c>
      <c r="O499" s="4">
        <v>2.0000000000000001E-4</v>
      </c>
      <c r="P499" s="4">
        <v>129.74</v>
      </c>
      <c r="Q499" s="4">
        <v>0.26</v>
      </c>
      <c r="R499" s="53">
        <f t="shared" si="16"/>
        <v>0.30753185185185189</v>
      </c>
      <c r="S499" s="22">
        <f t="shared" si="15"/>
        <v>6.1629629629629632E-4</v>
      </c>
    </row>
    <row r="500" spans="1:19">
      <c r="A500" s="52" t="s">
        <v>99</v>
      </c>
      <c r="B500" s="53">
        <v>11222121</v>
      </c>
      <c r="C500" s="53"/>
      <c r="D500" s="53">
        <v>0</v>
      </c>
      <c r="E500" s="4">
        <v>8</v>
      </c>
      <c r="F500" s="4">
        <v>4</v>
      </c>
      <c r="G500" s="4">
        <v>15</v>
      </c>
      <c r="H500" s="53">
        <v>5.9393000000000002</v>
      </c>
      <c r="I500" s="4">
        <v>8.9999999999999998E-4</v>
      </c>
      <c r="J500" s="53">
        <v>-30.228200000000001</v>
      </c>
      <c r="K500" s="4">
        <v>1.9E-3</v>
      </c>
      <c r="L500" s="4">
        <v>0.03</v>
      </c>
      <c r="M500" s="4">
        <v>5.0000000000000001E-3</v>
      </c>
      <c r="N500" s="4">
        <v>-6.4000000000000003E-3</v>
      </c>
      <c r="O500" s="4">
        <v>2.0000000000000001E-4</v>
      </c>
      <c r="P500" s="4">
        <v>129.74</v>
      </c>
      <c r="Q500" s="4">
        <v>0.26</v>
      </c>
      <c r="R500" s="53">
        <f t="shared" si="16"/>
        <v>0.30753185185185189</v>
      </c>
      <c r="S500" s="22">
        <f t="shared" si="15"/>
        <v>6.1629629629629632E-4</v>
      </c>
    </row>
    <row r="501" spans="1:19">
      <c r="A501" s="52" t="s">
        <v>100</v>
      </c>
      <c r="B501" s="53">
        <v>12111222</v>
      </c>
      <c r="C501" s="53"/>
      <c r="D501" s="53">
        <v>0</v>
      </c>
      <c r="E501" s="4">
        <v>8</v>
      </c>
      <c r="F501" s="4">
        <v>4</v>
      </c>
      <c r="G501" s="4">
        <v>15</v>
      </c>
      <c r="H501" s="53">
        <v>5.9393000000000002</v>
      </c>
      <c r="I501" s="4">
        <v>8.9999999999999998E-4</v>
      </c>
      <c r="J501" s="53">
        <v>-30.228200000000001</v>
      </c>
      <c r="K501" s="4">
        <v>1.9E-3</v>
      </c>
      <c r="L501" s="4">
        <v>0.03</v>
      </c>
      <c r="M501" s="4">
        <v>5.0000000000000001E-3</v>
      </c>
      <c r="N501" s="4">
        <v>-6.4000000000000003E-3</v>
      </c>
      <c r="O501" s="4">
        <v>2.0000000000000001E-4</v>
      </c>
      <c r="P501" s="4">
        <v>129.74</v>
      </c>
      <c r="Q501" s="4">
        <v>0.26</v>
      </c>
      <c r="R501" s="53">
        <f t="shared" si="16"/>
        <v>0.30753185185185189</v>
      </c>
      <c r="S501" s="22">
        <f t="shared" si="15"/>
        <v>6.1629629629629632E-4</v>
      </c>
    </row>
    <row r="502" spans="1:19">
      <c r="A502" s="52" t="s">
        <v>101</v>
      </c>
      <c r="B502" s="53">
        <v>12112122</v>
      </c>
      <c r="C502" s="53"/>
      <c r="D502" s="53">
        <v>0</v>
      </c>
      <c r="E502" s="4">
        <v>8</v>
      </c>
      <c r="F502" s="4">
        <v>4</v>
      </c>
      <c r="G502" s="4">
        <v>15</v>
      </c>
      <c r="H502" s="53">
        <v>5.9393000000000002</v>
      </c>
      <c r="I502" s="4">
        <v>8.9999999999999998E-4</v>
      </c>
      <c r="J502" s="53">
        <v>-30.228200000000001</v>
      </c>
      <c r="K502" s="4">
        <v>1.9E-3</v>
      </c>
      <c r="L502" s="4">
        <v>0.03</v>
      </c>
      <c r="M502" s="4">
        <v>5.0000000000000001E-3</v>
      </c>
      <c r="N502" s="4">
        <v>-6.4000000000000003E-3</v>
      </c>
      <c r="O502" s="4">
        <v>2.0000000000000001E-4</v>
      </c>
      <c r="P502" s="4">
        <v>129.74</v>
      </c>
      <c r="Q502" s="4">
        <v>0.26</v>
      </c>
      <c r="R502" s="53">
        <f t="shared" si="16"/>
        <v>0.30753185185185189</v>
      </c>
      <c r="S502" s="22">
        <f t="shared" si="15"/>
        <v>6.1629629629629632E-4</v>
      </c>
    </row>
    <row r="503" spans="1:19">
      <c r="A503" s="52" t="s">
        <v>102</v>
      </c>
      <c r="B503" s="53">
        <v>12112212</v>
      </c>
      <c r="C503" s="53"/>
      <c r="D503" s="53">
        <v>0</v>
      </c>
      <c r="E503" s="4">
        <v>8</v>
      </c>
      <c r="F503" s="4">
        <v>4</v>
      </c>
      <c r="G503" s="4">
        <v>15</v>
      </c>
      <c r="H503" s="53">
        <v>5.9393000000000002</v>
      </c>
      <c r="I503" s="4">
        <v>8.9999999999999998E-4</v>
      </c>
      <c r="J503" s="53">
        <v>-30.228200000000001</v>
      </c>
      <c r="K503" s="4">
        <v>1.9E-3</v>
      </c>
      <c r="L503" s="4">
        <v>0.03</v>
      </c>
      <c r="M503" s="4">
        <v>5.0000000000000001E-3</v>
      </c>
      <c r="N503" s="4">
        <v>-6.4000000000000003E-3</v>
      </c>
      <c r="O503" s="4">
        <v>2.0000000000000001E-4</v>
      </c>
      <c r="P503" s="4">
        <v>129.74</v>
      </c>
      <c r="Q503" s="4">
        <v>0.26</v>
      </c>
      <c r="R503" s="53">
        <f t="shared" si="16"/>
        <v>0.30753185185185189</v>
      </c>
      <c r="S503" s="22">
        <f t="shared" si="15"/>
        <v>6.1629629629629632E-4</v>
      </c>
    </row>
    <row r="504" spans="1:19">
      <c r="A504" s="52" t="s">
        <v>103</v>
      </c>
      <c r="B504" s="53">
        <v>12112221</v>
      </c>
      <c r="C504" s="53"/>
      <c r="D504" s="53">
        <v>0</v>
      </c>
      <c r="E504" s="4">
        <v>8</v>
      </c>
      <c r="F504" s="4">
        <v>4</v>
      </c>
      <c r="G504" s="4">
        <v>15</v>
      </c>
      <c r="H504" s="53">
        <v>5.9393000000000002</v>
      </c>
      <c r="I504" s="4">
        <v>8.9999999999999998E-4</v>
      </c>
      <c r="J504" s="53">
        <v>-30.228200000000001</v>
      </c>
      <c r="K504" s="4">
        <v>1.9E-3</v>
      </c>
      <c r="L504" s="4">
        <v>0.03</v>
      </c>
      <c r="M504" s="4">
        <v>5.0000000000000001E-3</v>
      </c>
      <c r="N504" s="4">
        <v>-6.4000000000000003E-3</v>
      </c>
      <c r="O504" s="4">
        <v>2.0000000000000001E-4</v>
      </c>
      <c r="P504" s="4">
        <v>129.74</v>
      </c>
      <c r="Q504" s="4">
        <v>0.26</v>
      </c>
      <c r="R504" s="53">
        <f t="shared" si="16"/>
        <v>0.30753185185185189</v>
      </c>
      <c r="S504" s="22">
        <f t="shared" si="15"/>
        <v>6.1629629629629632E-4</v>
      </c>
    </row>
    <row r="505" spans="1:19">
      <c r="A505" s="52" t="s">
        <v>104</v>
      </c>
      <c r="B505" s="53">
        <v>12121122</v>
      </c>
      <c r="C505" s="53"/>
      <c r="D505" s="53">
        <v>0</v>
      </c>
      <c r="E505" s="4">
        <v>8</v>
      </c>
      <c r="F505" s="4">
        <v>4</v>
      </c>
      <c r="G505" s="4">
        <v>15</v>
      </c>
      <c r="H505" s="53">
        <v>5.9393000000000002</v>
      </c>
      <c r="I505" s="4">
        <v>8.9999999999999998E-4</v>
      </c>
      <c r="J505" s="53">
        <v>-30.228200000000001</v>
      </c>
      <c r="K505" s="4">
        <v>1.9E-3</v>
      </c>
      <c r="L505" s="4">
        <v>0.03</v>
      </c>
      <c r="M505" s="4">
        <v>5.0000000000000001E-3</v>
      </c>
      <c r="N505" s="4">
        <v>-6.4000000000000003E-3</v>
      </c>
      <c r="O505" s="4">
        <v>2.0000000000000001E-4</v>
      </c>
      <c r="P505" s="4">
        <v>129.74</v>
      </c>
      <c r="Q505" s="4">
        <v>0.26</v>
      </c>
      <c r="R505" s="53">
        <f t="shared" si="16"/>
        <v>0.30753185185185189</v>
      </c>
      <c r="S505" s="22">
        <f t="shared" si="15"/>
        <v>6.1629629629629632E-4</v>
      </c>
    </row>
    <row r="506" spans="1:19">
      <c r="A506" s="52" t="s">
        <v>105</v>
      </c>
      <c r="B506" s="53">
        <v>12122112</v>
      </c>
      <c r="C506" s="53"/>
      <c r="D506" s="53">
        <v>0</v>
      </c>
      <c r="E506" s="4">
        <v>8</v>
      </c>
      <c r="F506" s="4">
        <v>4</v>
      </c>
      <c r="G506" s="4">
        <v>15</v>
      </c>
      <c r="H506" s="53">
        <v>5.9393000000000002</v>
      </c>
      <c r="I506" s="4">
        <v>8.9999999999999998E-4</v>
      </c>
      <c r="J506" s="53">
        <v>-30.228200000000001</v>
      </c>
      <c r="K506" s="4">
        <v>1.9E-3</v>
      </c>
      <c r="L506" s="4">
        <v>0.03</v>
      </c>
      <c r="M506" s="4">
        <v>5.0000000000000001E-3</v>
      </c>
      <c r="N506" s="4">
        <v>-6.4000000000000003E-3</v>
      </c>
      <c r="O506" s="4">
        <v>2.0000000000000001E-4</v>
      </c>
      <c r="P506" s="4">
        <v>129.74</v>
      </c>
      <c r="Q506" s="4">
        <v>0.26</v>
      </c>
      <c r="R506" s="53">
        <f t="shared" si="16"/>
        <v>0.30753185185185189</v>
      </c>
      <c r="S506" s="22">
        <f t="shared" si="15"/>
        <v>6.1629629629629632E-4</v>
      </c>
    </row>
    <row r="507" spans="1:19">
      <c r="A507" s="52" t="s">
        <v>106</v>
      </c>
      <c r="B507" s="53">
        <v>12211122</v>
      </c>
      <c r="C507" s="53"/>
      <c r="D507" s="53">
        <v>0</v>
      </c>
      <c r="E507" s="4">
        <v>8</v>
      </c>
      <c r="F507" s="4">
        <v>4</v>
      </c>
      <c r="G507" s="4">
        <v>15</v>
      </c>
      <c r="H507" s="53">
        <v>5.9393000000000002</v>
      </c>
      <c r="I507" s="4">
        <v>8.9999999999999998E-4</v>
      </c>
      <c r="J507" s="53">
        <v>-30.228200000000001</v>
      </c>
      <c r="K507" s="4">
        <v>1.9E-3</v>
      </c>
      <c r="L507" s="4">
        <v>0.03</v>
      </c>
      <c r="M507" s="4">
        <v>5.0000000000000001E-3</v>
      </c>
      <c r="N507" s="4">
        <v>-6.4000000000000003E-3</v>
      </c>
      <c r="O507" s="4">
        <v>2.0000000000000001E-4</v>
      </c>
      <c r="P507" s="4">
        <v>129.74</v>
      </c>
      <c r="Q507" s="4">
        <v>0.26</v>
      </c>
      <c r="R507" s="53">
        <f t="shared" si="16"/>
        <v>0.30753185185185189</v>
      </c>
      <c r="S507" s="22">
        <f t="shared" si="15"/>
        <v>6.1629629629629632E-4</v>
      </c>
    </row>
    <row r="508" spans="1:19">
      <c r="A508" s="52" t="s">
        <v>107</v>
      </c>
      <c r="B508" s="53">
        <v>12112222</v>
      </c>
      <c r="C508" s="53"/>
      <c r="D508" s="53">
        <v>0</v>
      </c>
      <c r="E508" s="4">
        <v>8</v>
      </c>
      <c r="F508" s="4">
        <v>5</v>
      </c>
      <c r="G508" s="4">
        <v>15</v>
      </c>
      <c r="H508" s="53">
        <v>5.9393000000000002</v>
      </c>
      <c r="I508" s="4">
        <v>8.9999999999999998E-4</v>
      </c>
      <c r="J508" s="53">
        <v>-30.228200000000001</v>
      </c>
      <c r="K508" s="4">
        <v>1.9E-3</v>
      </c>
      <c r="L508" s="4">
        <v>0.03</v>
      </c>
      <c r="M508" s="4">
        <v>5.0000000000000001E-3</v>
      </c>
      <c r="N508" s="4">
        <v>-6.4000000000000003E-3</v>
      </c>
      <c r="O508" s="4">
        <v>2.0000000000000001E-4</v>
      </c>
      <c r="P508" s="4">
        <v>129.74</v>
      </c>
      <c r="Q508" s="4">
        <v>0.26</v>
      </c>
      <c r="R508" s="53">
        <f t="shared" si="16"/>
        <v>0.30753185185185189</v>
      </c>
      <c r="S508" s="22">
        <f t="shared" si="15"/>
        <v>6.1629629629629632E-4</v>
      </c>
    </row>
    <row r="509" spans="1:19">
      <c r="A509" s="52" t="s">
        <v>108</v>
      </c>
      <c r="B509" s="53">
        <v>12221122</v>
      </c>
      <c r="C509" s="53"/>
      <c r="D509" s="53">
        <v>0</v>
      </c>
      <c r="E509" s="4">
        <v>8</v>
      </c>
      <c r="F509" s="4">
        <v>5</v>
      </c>
      <c r="G509" s="4">
        <v>15</v>
      </c>
      <c r="H509" s="53">
        <v>5.9393000000000002</v>
      </c>
      <c r="I509" s="4">
        <v>8.9999999999999998E-4</v>
      </c>
      <c r="J509" s="53">
        <v>-30.228200000000001</v>
      </c>
      <c r="K509" s="4">
        <v>1.9E-3</v>
      </c>
      <c r="L509" s="4">
        <v>0.03</v>
      </c>
      <c r="M509" s="4">
        <v>5.0000000000000001E-3</v>
      </c>
      <c r="N509" s="4">
        <v>-6.4000000000000003E-3</v>
      </c>
      <c r="O509" s="4">
        <v>2.0000000000000001E-4</v>
      </c>
      <c r="P509" s="4">
        <v>129.74</v>
      </c>
      <c r="Q509" s="4">
        <v>0.26</v>
      </c>
      <c r="R509" s="53">
        <f t="shared" si="16"/>
        <v>0.30753185185185189</v>
      </c>
      <c r="S509" s="22">
        <f t="shared" si="15"/>
        <v>6.1629629629629632E-4</v>
      </c>
    </row>
    <row r="510" spans="1:19">
      <c r="A510" s="52" t="s">
        <v>109</v>
      </c>
      <c r="B510" s="53">
        <v>22221112</v>
      </c>
      <c r="C510" s="53"/>
      <c r="D510" s="53">
        <v>0</v>
      </c>
      <c r="E510" s="4">
        <v>8</v>
      </c>
      <c r="F510" s="4">
        <v>5</v>
      </c>
      <c r="G510" s="4">
        <v>15</v>
      </c>
      <c r="H510" s="53">
        <v>5.9393000000000002</v>
      </c>
      <c r="I510" s="4">
        <v>8.9999999999999998E-4</v>
      </c>
      <c r="J510" s="53">
        <v>-30.228200000000001</v>
      </c>
      <c r="K510" s="4">
        <v>1.9E-3</v>
      </c>
      <c r="L510" s="4">
        <v>0.03</v>
      </c>
      <c r="M510" s="4">
        <v>5.0000000000000001E-3</v>
      </c>
      <c r="N510" s="4">
        <v>-6.4000000000000003E-3</v>
      </c>
      <c r="O510" s="4">
        <v>2.0000000000000001E-4</v>
      </c>
      <c r="P510" s="4">
        <v>129.74</v>
      </c>
      <c r="Q510" s="4">
        <v>0.26</v>
      </c>
      <c r="R510" s="53">
        <f t="shared" si="16"/>
        <v>0.30753185185185189</v>
      </c>
      <c r="S510" s="22">
        <f t="shared" si="15"/>
        <v>6.1629629629629632E-4</v>
      </c>
    </row>
    <row r="511" spans="1:19">
      <c r="A511" s="52" t="s">
        <v>110</v>
      </c>
      <c r="B511" s="53">
        <v>12211222</v>
      </c>
      <c r="C511" s="53"/>
      <c r="D511" s="53">
        <v>0</v>
      </c>
      <c r="E511" s="4">
        <v>8</v>
      </c>
      <c r="F511" s="4">
        <v>5</v>
      </c>
      <c r="G511" s="4">
        <v>15</v>
      </c>
      <c r="H511" s="53">
        <v>5.9393000000000002</v>
      </c>
      <c r="I511" s="4">
        <v>8.9999999999999998E-4</v>
      </c>
      <c r="J511" s="53">
        <v>-30.228200000000001</v>
      </c>
      <c r="K511" s="4">
        <v>1.9E-3</v>
      </c>
      <c r="L511" s="4">
        <v>0.03</v>
      </c>
      <c r="M511" s="4">
        <v>5.0000000000000001E-3</v>
      </c>
      <c r="N511" s="4">
        <v>-6.4000000000000003E-3</v>
      </c>
      <c r="O511" s="4">
        <v>2.0000000000000001E-4</v>
      </c>
      <c r="P511" s="4">
        <v>129.74</v>
      </c>
      <c r="Q511" s="4">
        <v>0.26</v>
      </c>
      <c r="R511" s="53">
        <f t="shared" si="16"/>
        <v>0.30753185185185189</v>
      </c>
      <c r="S511" s="22">
        <f t="shared" si="15"/>
        <v>6.1629629629629632E-4</v>
      </c>
    </row>
    <row r="512" spans="1:19">
      <c r="A512" s="52" t="s">
        <v>111</v>
      </c>
      <c r="B512" s="53">
        <v>12222112</v>
      </c>
      <c r="C512" s="53"/>
      <c r="D512" s="53">
        <v>0</v>
      </c>
      <c r="E512" s="4">
        <v>8</v>
      </c>
      <c r="F512" s="4">
        <v>5</v>
      </c>
      <c r="G512" s="4">
        <v>15</v>
      </c>
      <c r="H512" s="53">
        <v>5.9393000000000002</v>
      </c>
      <c r="I512" s="4">
        <v>8.9999999999999998E-4</v>
      </c>
      <c r="J512" s="53">
        <v>-30.228200000000001</v>
      </c>
      <c r="K512" s="4">
        <v>1.9E-3</v>
      </c>
      <c r="L512" s="4">
        <v>0.03</v>
      </c>
      <c r="M512" s="4">
        <v>5.0000000000000001E-3</v>
      </c>
      <c r="N512" s="4">
        <v>-6.4000000000000003E-3</v>
      </c>
      <c r="O512" s="4">
        <v>2.0000000000000001E-4</v>
      </c>
      <c r="P512" s="4">
        <v>129.74</v>
      </c>
      <c r="Q512" s="4">
        <v>0.26</v>
      </c>
      <c r="R512" s="53">
        <f t="shared" si="16"/>
        <v>0.30753185185185189</v>
      </c>
      <c r="S512" s="22">
        <f t="shared" si="15"/>
        <v>6.1629629629629632E-4</v>
      </c>
    </row>
    <row r="513" spans="1:19">
      <c r="A513" s="52" t="s">
        <v>112</v>
      </c>
      <c r="B513" s="53">
        <v>11122222</v>
      </c>
      <c r="C513" s="53"/>
      <c r="D513" s="53">
        <v>0</v>
      </c>
      <c r="E513" s="4">
        <v>8</v>
      </c>
      <c r="F513" s="4">
        <v>5</v>
      </c>
      <c r="G513" s="4">
        <v>15</v>
      </c>
      <c r="H513" s="53">
        <v>5.9393000000000002</v>
      </c>
      <c r="I513" s="4">
        <v>8.9999999999999998E-4</v>
      </c>
      <c r="J513" s="53">
        <v>-30.228200000000001</v>
      </c>
      <c r="K513" s="4">
        <v>1.9E-3</v>
      </c>
      <c r="L513" s="4">
        <v>0.03</v>
      </c>
      <c r="M513" s="4">
        <v>5.0000000000000001E-3</v>
      </c>
      <c r="N513" s="4">
        <v>-6.4000000000000003E-3</v>
      </c>
      <c r="O513" s="4">
        <v>2.0000000000000001E-4</v>
      </c>
      <c r="P513" s="4">
        <v>129.74</v>
      </c>
      <c r="Q513" s="4">
        <v>0.26</v>
      </c>
      <c r="R513" s="53">
        <f t="shared" si="16"/>
        <v>0.30753185185185189</v>
      </c>
      <c r="S513" s="22">
        <f t="shared" si="15"/>
        <v>6.1629629629629632E-4</v>
      </c>
    </row>
    <row r="514" spans="1:19">
      <c r="A514" s="52" t="s">
        <v>113</v>
      </c>
      <c r="B514" s="53">
        <v>12122212</v>
      </c>
      <c r="C514" s="53"/>
      <c r="D514" s="53">
        <v>0</v>
      </c>
      <c r="E514" s="4">
        <v>8</v>
      </c>
      <c r="F514" s="4">
        <v>5</v>
      </c>
      <c r="G514" s="4">
        <v>15</v>
      </c>
      <c r="H514" s="53">
        <v>5.9393000000000002</v>
      </c>
      <c r="I514" s="4">
        <v>8.9999999999999998E-4</v>
      </c>
      <c r="J514" s="53">
        <v>-30.228200000000001</v>
      </c>
      <c r="K514" s="4">
        <v>1.9E-3</v>
      </c>
      <c r="L514" s="4">
        <v>0.03</v>
      </c>
      <c r="M514" s="4">
        <v>5.0000000000000001E-3</v>
      </c>
      <c r="N514" s="4">
        <v>-6.4000000000000003E-3</v>
      </c>
      <c r="O514" s="4">
        <v>2.0000000000000001E-4</v>
      </c>
      <c r="P514" s="4">
        <v>129.74</v>
      </c>
      <c r="Q514" s="4">
        <v>0.26</v>
      </c>
      <c r="R514" s="53">
        <f t="shared" si="16"/>
        <v>0.30753185185185189</v>
      </c>
      <c r="S514" s="22">
        <f t="shared" si="15"/>
        <v>6.1629629629629632E-4</v>
      </c>
    </row>
    <row r="515" spans="1:19">
      <c r="A515" s="52" t="s">
        <v>115</v>
      </c>
      <c r="B515" s="53">
        <v>22212211</v>
      </c>
      <c r="C515" s="53"/>
      <c r="D515" s="53">
        <v>0</v>
      </c>
      <c r="E515" s="4">
        <v>8</v>
      </c>
      <c r="F515" s="4">
        <v>5</v>
      </c>
      <c r="G515" s="4">
        <v>15</v>
      </c>
      <c r="H515" s="53">
        <v>5.9393000000000002</v>
      </c>
      <c r="I515" s="4">
        <v>8.9999999999999998E-4</v>
      </c>
      <c r="J515" s="53">
        <v>-30.228200000000001</v>
      </c>
      <c r="K515" s="4">
        <v>1.9E-3</v>
      </c>
      <c r="L515" s="4">
        <v>0.03</v>
      </c>
      <c r="M515" s="4">
        <v>5.0000000000000001E-3</v>
      </c>
      <c r="N515" s="4">
        <v>-6.4000000000000003E-3</v>
      </c>
      <c r="O515" s="4">
        <v>2.0000000000000001E-4</v>
      </c>
      <c r="P515" s="4">
        <v>129.74</v>
      </c>
      <c r="Q515" s="4">
        <v>0.26</v>
      </c>
      <c r="R515" s="53">
        <f t="shared" si="16"/>
        <v>0.30753185185185189</v>
      </c>
      <c r="S515" s="22">
        <f t="shared" si="15"/>
        <v>6.1629629629629632E-4</v>
      </c>
    </row>
    <row r="516" spans="1:19">
      <c r="A516" s="52" t="s">
        <v>116</v>
      </c>
      <c r="B516" s="53">
        <v>21212212</v>
      </c>
      <c r="C516" s="53"/>
      <c r="D516" s="53">
        <v>0</v>
      </c>
      <c r="E516" s="4">
        <v>8</v>
      </c>
      <c r="F516" s="4">
        <v>5</v>
      </c>
      <c r="G516" s="4">
        <v>15</v>
      </c>
      <c r="H516" s="53">
        <v>5.9393000000000002</v>
      </c>
      <c r="I516" s="4">
        <v>8.9999999999999998E-4</v>
      </c>
      <c r="J516" s="53">
        <v>-30.228200000000001</v>
      </c>
      <c r="K516" s="4">
        <v>1.9E-3</v>
      </c>
      <c r="L516" s="4">
        <v>0.03</v>
      </c>
      <c r="M516" s="4">
        <v>5.0000000000000001E-3</v>
      </c>
      <c r="N516" s="4">
        <v>-6.4000000000000003E-3</v>
      </c>
      <c r="O516" s="4">
        <v>2.0000000000000001E-4</v>
      </c>
      <c r="P516" s="4">
        <v>129.74</v>
      </c>
      <c r="Q516" s="4">
        <v>0.26</v>
      </c>
      <c r="R516" s="53">
        <f t="shared" si="16"/>
        <v>0.30753185185185189</v>
      </c>
      <c r="S516" s="22">
        <f t="shared" si="15"/>
        <v>6.1629629629629632E-4</v>
      </c>
    </row>
    <row r="517" spans="1:19">
      <c r="A517" s="52" t="s">
        <v>117</v>
      </c>
      <c r="B517" s="53">
        <v>12221221</v>
      </c>
      <c r="C517" s="53"/>
      <c r="D517" s="53">
        <v>0</v>
      </c>
      <c r="E517" s="4">
        <v>8</v>
      </c>
      <c r="F517" s="4">
        <v>5</v>
      </c>
      <c r="G517" s="4">
        <v>15</v>
      </c>
      <c r="H517" s="53">
        <v>5.9393000000000002</v>
      </c>
      <c r="I517" s="4">
        <v>8.9999999999999998E-4</v>
      </c>
      <c r="J517" s="53">
        <v>-30.228200000000001</v>
      </c>
      <c r="K517" s="4">
        <v>1.9E-3</v>
      </c>
      <c r="L517" s="4">
        <v>0.03</v>
      </c>
      <c r="M517" s="4">
        <v>5.0000000000000001E-3</v>
      </c>
      <c r="N517" s="4">
        <v>-6.4000000000000003E-3</v>
      </c>
      <c r="O517" s="4">
        <v>2.0000000000000001E-4</v>
      </c>
      <c r="P517" s="4">
        <v>129.74</v>
      </c>
      <c r="Q517" s="4">
        <v>0.26</v>
      </c>
      <c r="R517" s="53">
        <f t="shared" si="16"/>
        <v>0.30753185185185189</v>
      </c>
      <c r="S517" s="22">
        <f t="shared" si="15"/>
        <v>6.1629629629629632E-4</v>
      </c>
    </row>
    <row r="518" spans="1:19">
      <c r="A518" s="52" t="s">
        <v>118</v>
      </c>
      <c r="B518" s="53">
        <v>22122121</v>
      </c>
      <c r="C518" s="53"/>
      <c r="D518" s="53">
        <v>0</v>
      </c>
      <c r="E518" s="4">
        <v>8</v>
      </c>
      <c r="F518" s="4">
        <v>5</v>
      </c>
      <c r="G518" s="4">
        <v>15</v>
      </c>
      <c r="H518" s="53">
        <v>5.9393000000000002</v>
      </c>
      <c r="I518" s="4">
        <v>8.9999999999999998E-4</v>
      </c>
      <c r="J518" s="53">
        <v>-30.228200000000001</v>
      </c>
      <c r="K518" s="4">
        <v>1.9E-3</v>
      </c>
      <c r="L518" s="4">
        <v>0.03</v>
      </c>
      <c r="M518" s="4">
        <v>5.0000000000000001E-3</v>
      </c>
      <c r="N518" s="4">
        <v>-6.4000000000000003E-3</v>
      </c>
      <c r="O518" s="4">
        <v>2.0000000000000001E-4</v>
      </c>
      <c r="P518" s="4">
        <v>129.74</v>
      </c>
      <c r="Q518" s="4">
        <v>0.26</v>
      </c>
      <c r="R518" s="53">
        <f t="shared" si="16"/>
        <v>0.30753185185185189</v>
      </c>
      <c r="S518" s="22">
        <f t="shared" si="15"/>
        <v>6.1629629629629632E-4</v>
      </c>
    </row>
    <row r="519" spans="1:19">
      <c r="A519" s="52" t="s">
        <v>119</v>
      </c>
      <c r="B519" s="53">
        <v>21222211</v>
      </c>
      <c r="C519" s="53"/>
      <c r="D519" s="53">
        <v>0</v>
      </c>
      <c r="E519" s="4">
        <v>8</v>
      </c>
      <c r="F519" s="4">
        <v>5</v>
      </c>
      <c r="G519" s="4">
        <v>15</v>
      </c>
      <c r="H519" s="53">
        <v>5.9393000000000002</v>
      </c>
      <c r="I519" s="4">
        <v>8.9999999999999998E-4</v>
      </c>
      <c r="J519" s="53">
        <v>-30.228200000000001</v>
      </c>
      <c r="K519" s="4">
        <v>1.9E-3</v>
      </c>
      <c r="L519" s="4">
        <v>0.03</v>
      </c>
      <c r="M519" s="4">
        <v>5.0000000000000001E-3</v>
      </c>
      <c r="N519" s="4">
        <v>-6.4000000000000003E-3</v>
      </c>
      <c r="O519" s="4">
        <v>2.0000000000000001E-4</v>
      </c>
      <c r="P519" s="4">
        <v>129.74</v>
      </c>
      <c r="Q519" s="4">
        <v>0.26</v>
      </c>
      <c r="R519" s="53">
        <f t="shared" si="16"/>
        <v>0.30753185185185189</v>
      </c>
      <c r="S519" s="22">
        <f t="shared" si="15"/>
        <v>6.1629629629629632E-4</v>
      </c>
    </row>
    <row r="520" spans="1:19">
      <c r="A520" s="52" t="s">
        <v>120</v>
      </c>
      <c r="B520" s="53">
        <v>22211122</v>
      </c>
      <c r="C520" s="53"/>
      <c r="D520" s="53">
        <v>0</v>
      </c>
      <c r="E520" s="4">
        <v>8</v>
      </c>
      <c r="F520" s="4">
        <v>5</v>
      </c>
      <c r="G520" s="4">
        <v>15</v>
      </c>
      <c r="H520" s="53">
        <v>5.9393000000000002</v>
      </c>
      <c r="I520" s="4">
        <v>8.9999999999999998E-4</v>
      </c>
      <c r="J520" s="53">
        <v>-30.228200000000001</v>
      </c>
      <c r="K520" s="4">
        <v>1.9E-3</v>
      </c>
      <c r="L520" s="4">
        <v>0.03</v>
      </c>
      <c r="M520" s="4">
        <v>5.0000000000000001E-3</v>
      </c>
      <c r="N520" s="4">
        <v>-6.4000000000000003E-3</v>
      </c>
      <c r="O520" s="4">
        <v>2.0000000000000001E-4</v>
      </c>
      <c r="P520" s="4">
        <v>129.74</v>
      </c>
      <c r="Q520" s="4">
        <v>0.26</v>
      </c>
      <c r="R520" s="53">
        <f t="shared" si="16"/>
        <v>0.30753185185185189</v>
      </c>
      <c r="S520" s="22">
        <f t="shared" si="15"/>
        <v>6.1629629629629632E-4</v>
      </c>
    </row>
    <row r="521" spans="1:19">
      <c r="A521" s="52" t="s">
        <v>121</v>
      </c>
      <c r="B521" s="53">
        <v>21222112</v>
      </c>
      <c r="C521" s="53"/>
      <c r="D521" s="53">
        <v>0</v>
      </c>
      <c r="E521" s="4">
        <v>8</v>
      </c>
      <c r="F521" s="4">
        <v>5</v>
      </c>
      <c r="G521" s="4">
        <v>15</v>
      </c>
      <c r="H521" s="53">
        <v>5.9393000000000002</v>
      </c>
      <c r="I521" s="4">
        <v>8.9999999999999998E-4</v>
      </c>
      <c r="J521" s="53">
        <v>-30.228200000000001</v>
      </c>
      <c r="K521" s="4">
        <v>1.9E-3</v>
      </c>
      <c r="L521" s="4">
        <v>0.03</v>
      </c>
      <c r="M521" s="4">
        <v>5.0000000000000001E-3</v>
      </c>
      <c r="N521" s="4">
        <v>-6.4000000000000003E-3</v>
      </c>
      <c r="O521" s="4">
        <v>2.0000000000000001E-4</v>
      </c>
      <c r="P521" s="4">
        <v>129.74</v>
      </c>
      <c r="Q521" s="4">
        <v>0.26</v>
      </c>
      <c r="R521" s="53">
        <f t="shared" si="16"/>
        <v>0.30753185185185189</v>
      </c>
      <c r="S521" s="22">
        <f t="shared" si="15"/>
        <v>6.1629629629629632E-4</v>
      </c>
    </row>
    <row r="522" spans="1:19">
      <c r="A522" s="52" t="s">
        <v>122</v>
      </c>
      <c r="B522" s="53">
        <v>22212121</v>
      </c>
      <c r="C522" s="53"/>
      <c r="D522" s="53">
        <v>0</v>
      </c>
      <c r="E522" s="4">
        <v>8</v>
      </c>
      <c r="F522" s="4">
        <v>5</v>
      </c>
      <c r="G522" s="4">
        <v>15</v>
      </c>
      <c r="H522" s="53">
        <v>5.9393000000000002</v>
      </c>
      <c r="I522" s="4">
        <v>8.9999999999999998E-4</v>
      </c>
      <c r="J522" s="53">
        <v>-30.228200000000001</v>
      </c>
      <c r="K522" s="4">
        <v>1.9E-3</v>
      </c>
      <c r="L522" s="4">
        <v>0.03</v>
      </c>
      <c r="M522" s="4">
        <v>5.0000000000000001E-3</v>
      </c>
      <c r="N522" s="4">
        <v>-6.4000000000000003E-3</v>
      </c>
      <c r="O522" s="4">
        <v>2.0000000000000001E-4</v>
      </c>
      <c r="P522" s="4">
        <v>129.74</v>
      </c>
      <c r="Q522" s="4">
        <v>0.26</v>
      </c>
      <c r="R522" s="53">
        <f t="shared" si="16"/>
        <v>0.30753185185185189</v>
      </c>
      <c r="S522" s="22">
        <f t="shared" si="15"/>
        <v>6.1629629629629632E-4</v>
      </c>
    </row>
    <row r="523" spans="1:19">
      <c r="A523" s="52" t="s">
        <v>123</v>
      </c>
      <c r="B523" s="53">
        <v>21122122</v>
      </c>
      <c r="C523" s="53"/>
      <c r="D523" s="53">
        <v>0</v>
      </c>
      <c r="E523" s="4">
        <v>8</v>
      </c>
      <c r="F523" s="4">
        <v>5</v>
      </c>
      <c r="G523" s="4">
        <v>15</v>
      </c>
      <c r="H523" s="53">
        <v>5.9393000000000002</v>
      </c>
      <c r="I523" s="4">
        <v>8.9999999999999998E-4</v>
      </c>
      <c r="J523" s="53">
        <v>-30.228200000000001</v>
      </c>
      <c r="K523" s="4">
        <v>1.9E-3</v>
      </c>
      <c r="L523" s="4">
        <v>0.03</v>
      </c>
      <c r="M523" s="4">
        <v>5.0000000000000001E-3</v>
      </c>
      <c r="N523" s="4">
        <v>-6.4000000000000003E-3</v>
      </c>
      <c r="O523" s="4">
        <v>2.0000000000000001E-4</v>
      </c>
      <c r="P523" s="4">
        <v>129.74</v>
      </c>
      <c r="Q523" s="4">
        <v>0.26</v>
      </c>
      <c r="R523" s="53">
        <f t="shared" si="16"/>
        <v>0.30753185185185189</v>
      </c>
      <c r="S523" s="22">
        <f t="shared" si="15"/>
        <v>6.1629629629629632E-4</v>
      </c>
    </row>
    <row r="524" spans="1:19">
      <c r="A524" s="52" t="s">
        <v>124</v>
      </c>
      <c r="B524" s="53">
        <v>22112212</v>
      </c>
      <c r="C524" s="53"/>
      <c r="D524" s="53">
        <v>0</v>
      </c>
      <c r="E524" s="4">
        <v>8</v>
      </c>
      <c r="F524" s="4">
        <v>5</v>
      </c>
      <c r="G524" s="4">
        <v>15</v>
      </c>
      <c r="H524" s="53">
        <v>5.9393000000000002</v>
      </c>
      <c r="I524" s="4">
        <v>8.9999999999999998E-4</v>
      </c>
      <c r="J524" s="53">
        <v>-30.228200000000001</v>
      </c>
      <c r="K524" s="4">
        <v>1.9E-3</v>
      </c>
      <c r="L524" s="4">
        <v>0.03</v>
      </c>
      <c r="M524" s="4">
        <v>5.0000000000000001E-3</v>
      </c>
      <c r="N524" s="4">
        <v>-6.4000000000000003E-3</v>
      </c>
      <c r="O524" s="4">
        <v>2.0000000000000001E-4</v>
      </c>
      <c r="P524" s="4">
        <v>129.74</v>
      </c>
      <c r="Q524" s="4">
        <v>0.26</v>
      </c>
      <c r="R524" s="53">
        <f t="shared" si="16"/>
        <v>0.30753185185185189</v>
      </c>
      <c r="S524" s="22">
        <f t="shared" si="15"/>
        <v>6.1629629629629632E-4</v>
      </c>
    </row>
    <row r="525" spans="1:19">
      <c r="A525" s="52" t="s">
        <v>125</v>
      </c>
      <c r="B525" s="53">
        <v>22112122</v>
      </c>
      <c r="C525" s="53"/>
      <c r="D525" s="53">
        <v>0</v>
      </c>
      <c r="E525" s="4">
        <v>8</v>
      </c>
      <c r="F525" s="4">
        <v>5</v>
      </c>
      <c r="G525" s="4">
        <v>15</v>
      </c>
      <c r="H525" s="53">
        <v>5.9393000000000002</v>
      </c>
      <c r="I525" s="4">
        <v>8.9999999999999998E-4</v>
      </c>
      <c r="J525" s="53">
        <v>-30.228200000000001</v>
      </c>
      <c r="K525" s="4">
        <v>1.9E-3</v>
      </c>
      <c r="L525" s="4">
        <v>0.03</v>
      </c>
      <c r="M525" s="4">
        <v>5.0000000000000001E-3</v>
      </c>
      <c r="N525" s="4">
        <v>-6.4000000000000003E-3</v>
      </c>
      <c r="O525" s="4">
        <v>2.0000000000000001E-4</v>
      </c>
      <c r="P525" s="4">
        <v>129.74</v>
      </c>
      <c r="Q525" s="4">
        <v>0.26</v>
      </c>
      <c r="R525" s="53">
        <f t="shared" si="16"/>
        <v>0.30753185185185189</v>
      </c>
      <c r="S525" s="22">
        <f t="shared" si="15"/>
        <v>6.1629629629629632E-4</v>
      </c>
    </row>
    <row r="526" spans="1:19">
      <c r="A526" s="52" t="s">
        <v>126</v>
      </c>
      <c r="B526" s="53">
        <v>21121222</v>
      </c>
      <c r="C526" s="53"/>
      <c r="D526" s="53">
        <v>0</v>
      </c>
      <c r="E526" s="4">
        <v>8</v>
      </c>
      <c r="F526" s="4">
        <v>5</v>
      </c>
      <c r="G526" s="4">
        <v>15</v>
      </c>
      <c r="H526" s="53">
        <v>5.9393000000000002</v>
      </c>
      <c r="I526" s="4">
        <v>8.9999999999999998E-4</v>
      </c>
      <c r="J526" s="53">
        <v>-30.228200000000001</v>
      </c>
      <c r="K526" s="4">
        <v>1.9E-3</v>
      </c>
      <c r="L526" s="4">
        <v>0.03</v>
      </c>
      <c r="M526" s="4">
        <v>5.0000000000000001E-3</v>
      </c>
      <c r="N526" s="4">
        <v>-6.4000000000000003E-3</v>
      </c>
      <c r="O526" s="4">
        <v>2.0000000000000001E-4</v>
      </c>
      <c r="P526" s="4">
        <v>129.74</v>
      </c>
      <c r="Q526" s="4">
        <v>0.26</v>
      </c>
      <c r="R526" s="53">
        <f t="shared" si="16"/>
        <v>0.30753185185185189</v>
      </c>
      <c r="S526" s="22">
        <f t="shared" si="15"/>
        <v>6.1629629629629632E-4</v>
      </c>
    </row>
    <row r="527" spans="1:19">
      <c r="A527" s="52" t="s">
        <v>127</v>
      </c>
      <c r="B527" s="53">
        <v>22122211</v>
      </c>
      <c r="C527" s="53"/>
      <c r="D527" s="53">
        <v>0</v>
      </c>
      <c r="E527" s="4">
        <v>8</v>
      </c>
      <c r="F527" s="4">
        <v>5</v>
      </c>
      <c r="G527" s="4">
        <v>15</v>
      </c>
      <c r="H527" s="53">
        <v>5.9393000000000002</v>
      </c>
      <c r="I527" s="4">
        <v>8.9999999999999998E-4</v>
      </c>
      <c r="J527" s="53">
        <v>-30.228200000000001</v>
      </c>
      <c r="K527" s="4">
        <v>1.9E-3</v>
      </c>
      <c r="L527" s="4">
        <v>0.03</v>
      </c>
      <c r="M527" s="4">
        <v>5.0000000000000001E-3</v>
      </c>
      <c r="N527" s="4">
        <v>-6.4000000000000003E-3</v>
      </c>
      <c r="O527" s="4">
        <v>2.0000000000000001E-4</v>
      </c>
      <c r="P527" s="4">
        <v>129.74</v>
      </c>
      <c r="Q527" s="4">
        <v>0.26</v>
      </c>
      <c r="R527" s="53">
        <f t="shared" si="16"/>
        <v>0.30753185185185189</v>
      </c>
      <c r="S527" s="22">
        <f t="shared" si="15"/>
        <v>6.1629629629629632E-4</v>
      </c>
    </row>
    <row r="528" spans="1:19">
      <c r="A528" s="52" t="s">
        <v>128</v>
      </c>
      <c r="B528" s="53">
        <v>12212122</v>
      </c>
      <c r="C528" s="53"/>
      <c r="D528" s="53">
        <v>0</v>
      </c>
      <c r="E528" s="4">
        <v>8</v>
      </c>
      <c r="F528" s="4">
        <v>5</v>
      </c>
      <c r="G528" s="4">
        <v>15</v>
      </c>
      <c r="H528" s="53">
        <v>5.9393000000000002</v>
      </c>
      <c r="I528" s="4">
        <v>8.9999999999999998E-4</v>
      </c>
      <c r="J528" s="53">
        <v>-30.228200000000001</v>
      </c>
      <c r="K528" s="4">
        <v>1.9E-3</v>
      </c>
      <c r="L528" s="4">
        <v>0.03</v>
      </c>
      <c r="M528" s="4">
        <v>5.0000000000000001E-3</v>
      </c>
      <c r="N528" s="4">
        <v>-6.4000000000000003E-3</v>
      </c>
      <c r="O528" s="4">
        <v>2.0000000000000001E-4</v>
      </c>
      <c r="P528" s="4">
        <v>129.74</v>
      </c>
      <c r="Q528" s="4">
        <v>0.26</v>
      </c>
      <c r="R528" s="53">
        <f t="shared" si="16"/>
        <v>0.30753185185185189</v>
      </c>
      <c r="S528" s="22">
        <f t="shared" si="15"/>
        <v>6.1629629629629632E-4</v>
      </c>
    </row>
    <row r="529" spans="1:19">
      <c r="A529" s="52" t="s">
        <v>129</v>
      </c>
      <c r="B529" s="53">
        <v>12212212</v>
      </c>
      <c r="C529" s="53"/>
      <c r="D529" s="53">
        <v>0</v>
      </c>
      <c r="E529" s="4">
        <v>8</v>
      </c>
      <c r="F529" s="4">
        <v>5</v>
      </c>
      <c r="G529" s="4">
        <v>15</v>
      </c>
      <c r="H529" s="53">
        <v>5.9393000000000002</v>
      </c>
      <c r="I529" s="4">
        <v>8.9999999999999998E-4</v>
      </c>
      <c r="J529" s="53">
        <v>-30.228200000000001</v>
      </c>
      <c r="K529" s="4">
        <v>1.9E-3</v>
      </c>
      <c r="L529" s="4">
        <v>0.03</v>
      </c>
      <c r="M529" s="4">
        <v>5.0000000000000001E-3</v>
      </c>
      <c r="N529" s="4">
        <v>-6.4000000000000003E-3</v>
      </c>
      <c r="O529" s="4">
        <v>2.0000000000000001E-4</v>
      </c>
      <c r="P529" s="4">
        <v>129.74</v>
      </c>
      <c r="Q529" s="4">
        <v>0.26</v>
      </c>
      <c r="R529" s="53">
        <f t="shared" si="16"/>
        <v>0.30753185185185189</v>
      </c>
      <c r="S529" s="22">
        <f t="shared" si="15"/>
        <v>6.1629629629629632E-4</v>
      </c>
    </row>
    <row r="530" spans="1:19">
      <c r="A530" s="52" t="s">
        <v>130</v>
      </c>
      <c r="B530" s="53">
        <v>21211222</v>
      </c>
      <c r="C530" s="53"/>
      <c r="D530" s="53">
        <v>0</v>
      </c>
      <c r="E530" s="4">
        <v>8</v>
      </c>
      <c r="F530" s="4">
        <v>5</v>
      </c>
      <c r="G530" s="4">
        <v>15</v>
      </c>
      <c r="H530" s="53">
        <v>5.9393000000000002</v>
      </c>
      <c r="I530" s="4">
        <v>8.9999999999999998E-4</v>
      </c>
      <c r="J530" s="53">
        <v>-30.228200000000001</v>
      </c>
      <c r="K530" s="4">
        <v>1.9E-3</v>
      </c>
      <c r="L530" s="4">
        <v>0.03</v>
      </c>
      <c r="M530" s="4">
        <v>5.0000000000000001E-3</v>
      </c>
      <c r="N530" s="4">
        <v>-6.4000000000000003E-3</v>
      </c>
      <c r="O530" s="4">
        <v>2.0000000000000001E-4</v>
      </c>
      <c r="P530" s="4">
        <v>129.74</v>
      </c>
      <c r="Q530" s="4">
        <v>0.26</v>
      </c>
      <c r="R530" s="53">
        <f t="shared" si="16"/>
        <v>0.30753185185185189</v>
      </c>
      <c r="S530" s="22">
        <f t="shared" si="15"/>
        <v>6.1629629629629632E-4</v>
      </c>
    </row>
    <row r="531" spans="1:19">
      <c r="A531" s="52" t="s">
        <v>131</v>
      </c>
      <c r="B531" s="53">
        <v>11212222</v>
      </c>
      <c r="C531" s="53"/>
      <c r="D531" s="53">
        <v>0</v>
      </c>
      <c r="E531" s="4">
        <v>8</v>
      </c>
      <c r="F531" s="4">
        <v>5</v>
      </c>
      <c r="G531" s="4">
        <v>15</v>
      </c>
      <c r="H531" s="53">
        <v>5.9393000000000002</v>
      </c>
      <c r="I531" s="4">
        <v>8.9999999999999998E-4</v>
      </c>
      <c r="J531" s="53">
        <v>-30.228200000000001</v>
      </c>
      <c r="K531" s="4">
        <v>1.9E-3</v>
      </c>
      <c r="L531" s="4">
        <v>0.03</v>
      </c>
      <c r="M531" s="4">
        <v>5.0000000000000001E-3</v>
      </c>
      <c r="N531" s="4">
        <v>-6.4000000000000003E-3</v>
      </c>
      <c r="O531" s="4">
        <v>2.0000000000000001E-4</v>
      </c>
      <c r="P531" s="4">
        <v>129.74</v>
      </c>
      <c r="Q531" s="4">
        <v>0.26</v>
      </c>
      <c r="R531" s="53">
        <f t="shared" si="16"/>
        <v>0.30753185185185189</v>
      </c>
      <c r="S531" s="22">
        <f t="shared" si="15"/>
        <v>6.1629629629629632E-4</v>
      </c>
    </row>
    <row r="532" spans="1:19">
      <c r="A532" s="52" t="s">
        <v>132</v>
      </c>
      <c r="B532" s="53">
        <v>12222121</v>
      </c>
      <c r="C532" s="53"/>
      <c r="D532" s="53">
        <v>0</v>
      </c>
      <c r="E532" s="4">
        <v>8</v>
      </c>
      <c r="F532" s="4">
        <v>5</v>
      </c>
      <c r="G532" s="4">
        <v>15</v>
      </c>
      <c r="H532" s="53">
        <v>5.9393000000000002</v>
      </c>
      <c r="I532" s="4">
        <v>8.9999999999999998E-4</v>
      </c>
      <c r="J532" s="53">
        <v>-30.228200000000001</v>
      </c>
      <c r="K532" s="4">
        <v>1.9E-3</v>
      </c>
      <c r="L532" s="4">
        <v>0.03</v>
      </c>
      <c r="M532" s="4">
        <v>5.0000000000000001E-3</v>
      </c>
      <c r="N532" s="4">
        <v>-6.4000000000000003E-3</v>
      </c>
      <c r="O532" s="4">
        <v>2.0000000000000001E-4</v>
      </c>
      <c r="P532" s="4">
        <v>129.74</v>
      </c>
      <c r="Q532" s="4">
        <v>0.26</v>
      </c>
      <c r="R532" s="53">
        <f t="shared" si="16"/>
        <v>0.30753185185185189</v>
      </c>
      <c r="S532" s="22">
        <f t="shared" si="15"/>
        <v>6.1629629629629632E-4</v>
      </c>
    </row>
    <row r="533" spans="1:19">
      <c r="A533" s="52" t="s">
        <v>133</v>
      </c>
      <c r="B533" s="53">
        <v>22121212</v>
      </c>
      <c r="C533" s="53"/>
      <c r="D533" s="53">
        <v>0</v>
      </c>
      <c r="E533" s="4">
        <v>8</v>
      </c>
      <c r="F533" s="4">
        <v>5</v>
      </c>
      <c r="G533" s="4">
        <v>15</v>
      </c>
      <c r="H533" s="53">
        <v>5.9393000000000002</v>
      </c>
      <c r="I533" s="4">
        <v>8.9999999999999998E-4</v>
      </c>
      <c r="J533" s="53">
        <v>-30.228200000000001</v>
      </c>
      <c r="K533" s="4">
        <v>1.9E-3</v>
      </c>
      <c r="L533" s="4">
        <v>0.03</v>
      </c>
      <c r="M533" s="4">
        <v>5.0000000000000001E-3</v>
      </c>
      <c r="N533" s="4">
        <v>-6.4000000000000003E-3</v>
      </c>
      <c r="O533" s="4">
        <v>2.0000000000000001E-4</v>
      </c>
      <c r="P533" s="4">
        <v>129.74</v>
      </c>
      <c r="Q533" s="4">
        <v>0.26</v>
      </c>
      <c r="R533" s="53">
        <f t="shared" si="16"/>
        <v>0.30753185185185189</v>
      </c>
      <c r="S533" s="22">
        <f t="shared" si="15"/>
        <v>6.1629629629629632E-4</v>
      </c>
    </row>
    <row r="534" spans="1:19">
      <c r="A534" s="52" t="s">
        <v>134</v>
      </c>
      <c r="B534" s="53">
        <v>12222211</v>
      </c>
      <c r="C534" s="53"/>
      <c r="D534" s="53">
        <v>0</v>
      </c>
      <c r="E534" s="4">
        <v>8</v>
      </c>
      <c r="F534" s="4">
        <v>5</v>
      </c>
      <c r="G534" s="4">
        <v>15</v>
      </c>
      <c r="H534" s="53">
        <v>5.9393000000000002</v>
      </c>
      <c r="I534" s="4">
        <v>8.9999999999999998E-4</v>
      </c>
      <c r="J534" s="53">
        <v>-30.228200000000001</v>
      </c>
      <c r="K534" s="4">
        <v>1.9E-3</v>
      </c>
      <c r="L534" s="4">
        <v>0.03</v>
      </c>
      <c r="M534" s="4">
        <v>5.0000000000000001E-3</v>
      </c>
      <c r="N534" s="4">
        <v>-6.4000000000000003E-3</v>
      </c>
      <c r="O534" s="4">
        <v>2.0000000000000001E-4</v>
      </c>
      <c r="P534" s="4">
        <v>129.74</v>
      </c>
      <c r="Q534" s="4">
        <v>0.26</v>
      </c>
      <c r="R534" s="53">
        <f t="shared" si="16"/>
        <v>0.30753185185185189</v>
      </c>
      <c r="S534" s="22">
        <f t="shared" si="15"/>
        <v>6.1629629629629632E-4</v>
      </c>
    </row>
    <row r="535" spans="1:19">
      <c r="A535" s="52" t="s">
        <v>135</v>
      </c>
      <c r="B535" s="53">
        <v>21212221</v>
      </c>
      <c r="C535" s="53"/>
      <c r="D535" s="53">
        <v>0</v>
      </c>
      <c r="E535" s="4">
        <v>8</v>
      </c>
      <c r="F535" s="4">
        <v>5</v>
      </c>
      <c r="G535" s="4">
        <v>15</v>
      </c>
      <c r="H535" s="53">
        <v>5.9393000000000002</v>
      </c>
      <c r="I535" s="4">
        <v>8.9999999999999998E-4</v>
      </c>
      <c r="J535" s="53">
        <v>-30.228200000000001</v>
      </c>
      <c r="K535" s="4">
        <v>1.9E-3</v>
      </c>
      <c r="L535" s="4">
        <v>0.03</v>
      </c>
      <c r="M535" s="4">
        <v>5.0000000000000001E-3</v>
      </c>
      <c r="N535" s="4">
        <v>-6.4000000000000003E-3</v>
      </c>
      <c r="O535" s="4">
        <v>2.0000000000000001E-4</v>
      </c>
      <c r="P535" s="4">
        <v>129.74</v>
      </c>
      <c r="Q535" s="4">
        <v>0.26</v>
      </c>
      <c r="R535" s="53">
        <f t="shared" si="16"/>
        <v>0.30753185185185189</v>
      </c>
      <c r="S535" s="22">
        <f t="shared" si="15"/>
        <v>6.1629629629629632E-4</v>
      </c>
    </row>
    <row r="536" spans="1:19">
      <c r="A536" s="52" t="s">
        <v>136</v>
      </c>
      <c r="B536" s="53">
        <v>22222121</v>
      </c>
      <c r="C536" s="53"/>
      <c r="D536" s="53">
        <v>0</v>
      </c>
      <c r="E536" s="4">
        <v>8</v>
      </c>
      <c r="F536" s="4">
        <v>6</v>
      </c>
      <c r="G536" s="4">
        <v>15</v>
      </c>
      <c r="H536" s="53">
        <v>5.9393000000000002</v>
      </c>
      <c r="I536" s="4">
        <v>8.9999999999999998E-4</v>
      </c>
      <c r="J536" s="53">
        <v>-30.228200000000001</v>
      </c>
      <c r="K536" s="4">
        <v>1.9E-3</v>
      </c>
      <c r="L536" s="4">
        <v>0.03</v>
      </c>
      <c r="M536" s="4">
        <v>5.0000000000000001E-3</v>
      </c>
      <c r="N536" s="4">
        <v>-6.4000000000000003E-3</v>
      </c>
      <c r="O536" s="4">
        <v>2.0000000000000001E-4</v>
      </c>
      <c r="P536" s="4">
        <v>129.74</v>
      </c>
      <c r="Q536" s="4">
        <v>0.26</v>
      </c>
      <c r="R536" s="53">
        <f t="shared" si="16"/>
        <v>0.30753185185185189</v>
      </c>
      <c r="S536" s="22">
        <f t="shared" si="15"/>
        <v>6.1629629629629632E-4</v>
      </c>
    </row>
    <row r="537" spans="1:19">
      <c r="A537" s="52" t="s">
        <v>137</v>
      </c>
      <c r="B537" s="53">
        <v>12221222</v>
      </c>
      <c r="C537" s="53"/>
      <c r="D537" s="53">
        <v>0</v>
      </c>
      <c r="E537" s="4">
        <v>8</v>
      </c>
      <c r="F537" s="4">
        <v>6</v>
      </c>
      <c r="G537" s="4">
        <v>15</v>
      </c>
      <c r="H537" s="53">
        <v>5.9393000000000002</v>
      </c>
      <c r="I537" s="4">
        <v>8.9999999999999998E-4</v>
      </c>
      <c r="J537" s="53">
        <v>-30.228200000000001</v>
      </c>
      <c r="K537" s="4">
        <v>1.9E-3</v>
      </c>
      <c r="L537" s="4">
        <v>0.03</v>
      </c>
      <c r="M537" s="4">
        <v>5.0000000000000001E-3</v>
      </c>
      <c r="N537" s="4">
        <v>-6.4000000000000003E-3</v>
      </c>
      <c r="O537" s="4">
        <v>2.0000000000000001E-4</v>
      </c>
      <c r="P537" s="4">
        <v>129.74</v>
      </c>
      <c r="Q537" s="4">
        <v>0.26</v>
      </c>
      <c r="R537" s="53">
        <f t="shared" si="16"/>
        <v>0.30753185185185189</v>
      </c>
      <c r="S537" s="22">
        <f t="shared" si="15"/>
        <v>6.1629629629629632E-4</v>
      </c>
    </row>
    <row r="538" spans="1:19">
      <c r="A538" s="52" t="s">
        <v>138</v>
      </c>
      <c r="B538" s="53">
        <v>21221222</v>
      </c>
      <c r="C538" s="53"/>
      <c r="D538" s="53">
        <v>0</v>
      </c>
      <c r="E538" s="4">
        <v>8</v>
      </c>
      <c r="F538" s="4">
        <v>6</v>
      </c>
      <c r="G538" s="4">
        <v>15</v>
      </c>
      <c r="H538" s="53">
        <v>5.9393000000000002</v>
      </c>
      <c r="I538" s="4">
        <v>8.9999999999999998E-4</v>
      </c>
      <c r="J538" s="53">
        <v>-30.228200000000001</v>
      </c>
      <c r="K538" s="4">
        <v>1.9E-3</v>
      </c>
      <c r="L538" s="4">
        <v>0.03</v>
      </c>
      <c r="M538" s="4">
        <v>5.0000000000000001E-3</v>
      </c>
      <c r="N538" s="4">
        <v>-6.4000000000000003E-3</v>
      </c>
      <c r="O538" s="4">
        <v>2.0000000000000001E-4</v>
      </c>
      <c r="P538" s="4">
        <v>129.74</v>
      </c>
      <c r="Q538" s="4">
        <v>0.26</v>
      </c>
      <c r="R538" s="53">
        <f t="shared" si="16"/>
        <v>0.30753185185185189</v>
      </c>
      <c r="S538" s="22">
        <f t="shared" si="15"/>
        <v>6.1629629629629632E-4</v>
      </c>
    </row>
    <row r="539" spans="1:19">
      <c r="A539" s="52" t="s">
        <v>139</v>
      </c>
      <c r="B539" s="53">
        <v>22211222</v>
      </c>
      <c r="C539" s="53"/>
      <c r="D539" s="53">
        <v>0</v>
      </c>
      <c r="E539" s="4">
        <v>8</v>
      </c>
      <c r="F539" s="4">
        <v>6</v>
      </c>
      <c r="G539" s="4">
        <v>15</v>
      </c>
      <c r="H539" s="53">
        <v>5.9393000000000002</v>
      </c>
      <c r="I539" s="4">
        <v>8.9999999999999998E-4</v>
      </c>
      <c r="J539" s="53">
        <v>-30.228200000000001</v>
      </c>
      <c r="K539" s="4">
        <v>1.9E-3</v>
      </c>
      <c r="L539" s="4">
        <v>0.03</v>
      </c>
      <c r="M539" s="4">
        <v>5.0000000000000001E-3</v>
      </c>
      <c r="N539" s="4">
        <v>-6.4000000000000003E-3</v>
      </c>
      <c r="O539" s="4">
        <v>2.0000000000000001E-4</v>
      </c>
      <c r="P539" s="4">
        <v>129.74</v>
      </c>
      <c r="Q539" s="4">
        <v>0.26</v>
      </c>
      <c r="R539" s="53">
        <f t="shared" si="16"/>
        <v>0.30753185185185189</v>
      </c>
      <c r="S539" s="22">
        <f t="shared" si="15"/>
        <v>6.1629629629629632E-4</v>
      </c>
    </row>
    <row r="540" spans="1:19">
      <c r="A540" s="52" t="s">
        <v>140</v>
      </c>
      <c r="B540" s="53">
        <v>22122122</v>
      </c>
      <c r="C540" s="53"/>
      <c r="D540" s="53">
        <v>0</v>
      </c>
      <c r="E540" s="4">
        <v>8</v>
      </c>
      <c r="F540" s="4">
        <v>6</v>
      </c>
      <c r="G540" s="4">
        <v>15</v>
      </c>
      <c r="H540" s="53">
        <v>5.9393000000000002</v>
      </c>
      <c r="I540" s="4">
        <v>8.9999999999999998E-4</v>
      </c>
      <c r="J540" s="53">
        <v>-30.228200000000001</v>
      </c>
      <c r="K540" s="4">
        <v>1.9E-3</v>
      </c>
      <c r="L540" s="4">
        <v>0.03</v>
      </c>
      <c r="M540" s="4">
        <v>5.0000000000000001E-3</v>
      </c>
      <c r="N540" s="4">
        <v>-6.4000000000000003E-3</v>
      </c>
      <c r="O540" s="4">
        <v>2.0000000000000001E-4</v>
      </c>
      <c r="P540" s="4">
        <v>129.74</v>
      </c>
      <c r="Q540" s="4">
        <v>0.26</v>
      </c>
      <c r="R540" s="53">
        <f t="shared" si="16"/>
        <v>0.30753185185185189</v>
      </c>
      <c r="S540" s="22">
        <f t="shared" si="15"/>
        <v>6.1629629629629632E-4</v>
      </c>
    </row>
    <row r="541" spans="1:19">
      <c r="A541" s="52" t="s">
        <v>141</v>
      </c>
      <c r="B541" s="53">
        <v>21222212</v>
      </c>
      <c r="C541" s="53"/>
      <c r="D541" s="53">
        <v>0</v>
      </c>
      <c r="E541" s="4">
        <v>8</v>
      </c>
      <c r="F541" s="4">
        <v>6</v>
      </c>
      <c r="G541" s="4">
        <v>15</v>
      </c>
      <c r="H541" s="53">
        <v>5.9393000000000002</v>
      </c>
      <c r="I541" s="4">
        <v>8.9999999999999998E-4</v>
      </c>
      <c r="J541" s="53">
        <v>-30.228200000000001</v>
      </c>
      <c r="K541" s="4">
        <v>1.9E-3</v>
      </c>
      <c r="L541" s="4">
        <v>0.03</v>
      </c>
      <c r="M541" s="4">
        <v>5.0000000000000001E-3</v>
      </c>
      <c r="N541" s="4">
        <v>-6.4000000000000003E-3</v>
      </c>
      <c r="O541" s="4">
        <v>2.0000000000000001E-4</v>
      </c>
      <c r="P541" s="4">
        <v>129.74</v>
      </c>
      <c r="Q541" s="4">
        <v>0.26</v>
      </c>
      <c r="R541" s="53">
        <f t="shared" si="16"/>
        <v>0.30753185185185189</v>
      </c>
      <c r="S541" s="22">
        <f t="shared" si="15"/>
        <v>6.1629629629629632E-4</v>
      </c>
    </row>
    <row r="542" spans="1:19">
      <c r="A542" s="52" t="s">
        <v>142</v>
      </c>
      <c r="B542" s="53">
        <v>11222222</v>
      </c>
      <c r="C542" s="53"/>
      <c r="D542" s="53">
        <v>0</v>
      </c>
      <c r="E542" s="4">
        <v>8</v>
      </c>
      <c r="F542" s="4">
        <v>6</v>
      </c>
      <c r="G542" s="4">
        <v>15</v>
      </c>
      <c r="H542" s="53">
        <v>5.9393000000000002</v>
      </c>
      <c r="I542" s="4">
        <v>8.9999999999999998E-4</v>
      </c>
      <c r="J542" s="53">
        <v>-30.228200000000001</v>
      </c>
      <c r="K542" s="4">
        <v>1.9E-3</v>
      </c>
      <c r="L542" s="4">
        <v>0.03</v>
      </c>
      <c r="M542" s="4">
        <v>5.0000000000000001E-3</v>
      </c>
      <c r="N542" s="4">
        <v>-6.4000000000000003E-3</v>
      </c>
      <c r="O542" s="4">
        <v>2.0000000000000001E-4</v>
      </c>
      <c r="P542" s="4">
        <v>129.74</v>
      </c>
      <c r="Q542" s="4">
        <v>0.26</v>
      </c>
      <c r="R542" s="53">
        <f t="shared" si="16"/>
        <v>0.30753185185185189</v>
      </c>
      <c r="S542" s="22">
        <f t="shared" si="15"/>
        <v>6.1629629629629632E-4</v>
      </c>
    </row>
    <row r="543" spans="1:19">
      <c r="A543" s="52" t="s">
        <v>143</v>
      </c>
      <c r="B543" s="53">
        <v>21122222</v>
      </c>
      <c r="C543" s="53"/>
      <c r="D543" s="53">
        <v>0</v>
      </c>
      <c r="E543" s="4">
        <v>8</v>
      </c>
      <c r="F543" s="4">
        <v>6</v>
      </c>
      <c r="G543" s="4">
        <v>15</v>
      </c>
      <c r="H543" s="53">
        <v>5.9393000000000002</v>
      </c>
      <c r="I543" s="4">
        <v>8.9999999999999998E-4</v>
      </c>
      <c r="J543" s="53">
        <v>-30.228200000000001</v>
      </c>
      <c r="K543" s="4">
        <v>1.9E-3</v>
      </c>
      <c r="L543" s="4">
        <v>0.03</v>
      </c>
      <c r="M543" s="4">
        <v>5.0000000000000001E-3</v>
      </c>
      <c r="N543" s="4">
        <v>-6.4000000000000003E-3</v>
      </c>
      <c r="O543" s="4">
        <v>2.0000000000000001E-4</v>
      </c>
      <c r="P543" s="4">
        <v>129.74</v>
      </c>
      <c r="Q543" s="4">
        <v>0.26</v>
      </c>
      <c r="R543" s="53">
        <f t="shared" si="16"/>
        <v>0.30753185185185189</v>
      </c>
      <c r="S543" s="22">
        <f t="shared" si="15"/>
        <v>6.1629629629629632E-4</v>
      </c>
    </row>
    <row r="544" spans="1:19">
      <c r="A544" s="52" t="s">
        <v>144</v>
      </c>
      <c r="B544" s="53">
        <v>21222221</v>
      </c>
      <c r="C544" s="53"/>
      <c r="D544" s="53">
        <v>0</v>
      </c>
      <c r="E544" s="4">
        <v>8</v>
      </c>
      <c r="F544" s="4">
        <v>6</v>
      </c>
      <c r="G544" s="4">
        <v>15</v>
      </c>
      <c r="H544" s="53">
        <v>5.9393000000000002</v>
      </c>
      <c r="I544" s="4">
        <v>8.9999999999999998E-4</v>
      </c>
      <c r="J544" s="53">
        <v>-30.228200000000001</v>
      </c>
      <c r="K544" s="4">
        <v>1.9E-3</v>
      </c>
      <c r="L544" s="4">
        <v>0.03</v>
      </c>
      <c r="M544" s="4">
        <v>5.0000000000000001E-3</v>
      </c>
      <c r="N544" s="4">
        <v>-6.4000000000000003E-3</v>
      </c>
      <c r="O544" s="4">
        <v>2.0000000000000001E-4</v>
      </c>
      <c r="P544" s="4">
        <v>129.74</v>
      </c>
      <c r="Q544" s="4">
        <v>0.26</v>
      </c>
      <c r="R544" s="53">
        <f t="shared" si="16"/>
        <v>0.30753185185185189</v>
      </c>
      <c r="S544" s="22">
        <f t="shared" si="15"/>
        <v>6.1629629629629632E-4</v>
      </c>
    </row>
    <row r="545" spans="1:19">
      <c r="A545" s="52" t="s">
        <v>145</v>
      </c>
      <c r="B545" s="53">
        <v>12212222</v>
      </c>
      <c r="C545" s="53"/>
      <c r="D545" s="53">
        <v>0</v>
      </c>
      <c r="E545" s="4">
        <v>8</v>
      </c>
      <c r="F545" s="4">
        <v>6</v>
      </c>
      <c r="G545" s="4">
        <v>15</v>
      </c>
      <c r="H545" s="53">
        <v>5.9393000000000002</v>
      </c>
      <c r="I545" s="4">
        <v>8.9999999999999998E-4</v>
      </c>
      <c r="J545" s="53">
        <v>-30.228200000000001</v>
      </c>
      <c r="K545" s="4">
        <v>1.9E-3</v>
      </c>
      <c r="L545" s="4">
        <v>0.03</v>
      </c>
      <c r="M545" s="4">
        <v>5.0000000000000001E-3</v>
      </c>
      <c r="N545" s="4">
        <v>-6.4000000000000003E-3</v>
      </c>
      <c r="O545" s="4">
        <v>2.0000000000000001E-4</v>
      </c>
      <c r="P545" s="4">
        <v>129.74</v>
      </c>
      <c r="Q545" s="4">
        <v>0.26</v>
      </c>
      <c r="R545" s="53">
        <f t="shared" si="16"/>
        <v>0.30753185185185189</v>
      </c>
      <c r="S545" s="22">
        <f t="shared" si="15"/>
        <v>6.1629629629629632E-4</v>
      </c>
    </row>
    <row r="546" spans="1:19">
      <c r="A546" s="52" t="s">
        <v>146</v>
      </c>
      <c r="B546" s="53">
        <v>22212122</v>
      </c>
      <c r="C546" s="53"/>
      <c r="D546" s="53">
        <v>0</v>
      </c>
      <c r="E546" s="4">
        <v>8</v>
      </c>
      <c r="F546" s="4">
        <v>6</v>
      </c>
      <c r="G546" s="4">
        <v>15</v>
      </c>
      <c r="H546" s="53">
        <v>5.9393000000000002</v>
      </c>
      <c r="I546" s="4">
        <v>8.9999999999999998E-4</v>
      </c>
      <c r="J546" s="53">
        <v>-30.228200000000001</v>
      </c>
      <c r="K546" s="4">
        <v>1.9E-3</v>
      </c>
      <c r="L546" s="4">
        <v>0.03</v>
      </c>
      <c r="M546" s="4">
        <v>5.0000000000000001E-3</v>
      </c>
      <c r="N546" s="4">
        <v>-6.4000000000000003E-3</v>
      </c>
      <c r="O546" s="4">
        <v>2.0000000000000001E-4</v>
      </c>
      <c r="P546" s="4">
        <v>129.74</v>
      </c>
      <c r="Q546" s="4">
        <v>0.26</v>
      </c>
      <c r="R546" s="53">
        <f t="shared" si="16"/>
        <v>0.30753185185185189</v>
      </c>
      <c r="S546" s="22">
        <f t="shared" si="15"/>
        <v>6.1629629629629632E-4</v>
      </c>
    </row>
    <row r="547" spans="1:19">
      <c r="A547" s="52" t="s">
        <v>147</v>
      </c>
      <c r="B547" s="53">
        <v>22221212</v>
      </c>
      <c r="C547" s="53"/>
      <c r="D547" s="53">
        <v>0</v>
      </c>
      <c r="E547" s="4">
        <v>8</v>
      </c>
      <c r="F547" s="4">
        <v>6</v>
      </c>
      <c r="G547" s="4">
        <v>15</v>
      </c>
      <c r="H547" s="53">
        <v>5.9393000000000002</v>
      </c>
      <c r="I547" s="4">
        <v>8.9999999999999998E-4</v>
      </c>
      <c r="J547" s="53">
        <v>-30.228200000000001</v>
      </c>
      <c r="K547" s="4">
        <v>1.9E-3</v>
      </c>
      <c r="L547" s="4">
        <v>0.03</v>
      </c>
      <c r="M547" s="4">
        <v>5.0000000000000001E-3</v>
      </c>
      <c r="N547" s="4">
        <v>-6.4000000000000003E-3</v>
      </c>
      <c r="O547" s="4">
        <v>2.0000000000000001E-4</v>
      </c>
      <c r="P547" s="4">
        <v>129.74</v>
      </c>
      <c r="Q547" s="4">
        <v>0.26</v>
      </c>
      <c r="R547" s="53">
        <f t="shared" si="16"/>
        <v>0.30753185185185189</v>
      </c>
      <c r="S547" s="22">
        <f t="shared" si="15"/>
        <v>6.1629629629629632E-4</v>
      </c>
    </row>
    <row r="548" spans="1:19">
      <c r="A548" s="52" t="s">
        <v>148</v>
      </c>
      <c r="B548" s="53">
        <v>12222221</v>
      </c>
      <c r="C548" s="53"/>
      <c r="D548" s="53">
        <v>0</v>
      </c>
      <c r="E548" s="4">
        <v>8</v>
      </c>
      <c r="F548" s="4">
        <v>6</v>
      </c>
      <c r="G548" s="4">
        <v>15</v>
      </c>
      <c r="H548" s="53">
        <v>5.9393000000000002</v>
      </c>
      <c r="I548" s="4">
        <v>8.9999999999999998E-4</v>
      </c>
      <c r="J548" s="53">
        <v>-30.228200000000001</v>
      </c>
      <c r="K548" s="4">
        <v>1.9E-3</v>
      </c>
      <c r="L548" s="4">
        <v>0.03</v>
      </c>
      <c r="M548" s="4">
        <v>5.0000000000000001E-3</v>
      </c>
      <c r="N548" s="4">
        <v>-6.4000000000000003E-3</v>
      </c>
      <c r="O548" s="4">
        <v>2.0000000000000001E-4</v>
      </c>
      <c r="P548" s="4">
        <v>129.74</v>
      </c>
      <c r="Q548" s="4">
        <v>0.26</v>
      </c>
      <c r="R548" s="53">
        <f t="shared" si="16"/>
        <v>0.30753185185185189</v>
      </c>
      <c r="S548" s="22">
        <f t="shared" si="15"/>
        <v>6.1629629629629632E-4</v>
      </c>
    </row>
    <row r="549" spans="1:19">
      <c r="A549" s="52" t="s">
        <v>149</v>
      </c>
      <c r="B549" s="53">
        <v>21222122</v>
      </c>
      <c r="C549" s="53"/>
      <c r="D549" s="53">
        <v>0</v>
      </c>
      <c r="E549" s="4">
        <v>8</v>
      </c>
      <c r="F549" s="4">
        <v>6</v>
      </c>
      <c r="G549" s="4">
        <v>15</v>
      </c>
      <c r="H549" s="53">
        <v>5.9393000000000002</v>
      </c>
      <c r="I549" s="4">
        <v>8.9999999999999998E-4</v>
      </c>
      <c r="J549" s="53">
        <v>-30.228200000000001</v>
      </c>
      <c r="K549" s="4">
        <v>1.9E-3</v>
      </c>
      <c r="L549" s="4">
        <v>0.03</v>
      </c>
      <c r="M549" s="4">
        <v>5.0000000000000001E-3</v>
      </c>
      <c r="N549" s="4">
        <v>-6.4000000000000003E-3</v>
      </c>
      <c r="O549" s="4">
        <v>2.0000000000000001E-4</v>
      </c>
      <c r="P549" s="4">
        <v>129.74</v>
      </c>
      <c r="Q549" s="4">
        <v>0.26</v>
      </c>
      <c r="R549" s="53">
        <f t="shared" si="16"/>
        <v>0.30753185185185189</v>
      </c>
      <c r="S549" s="22">
        <f t="shared" si="15"/>
        <v>6.1629629629629632E-4</v>
      </c>
    </row>
    <row r="550" spans="1:19">
      <c r="A550" s="52" t="s">
        <v>150</v>
      </c>
      <c r="B550" s="53">
        <v>22112222</v>
      </c>
      <c r="C550" s="53"/>
      <c r="D550" s="53">
        <v>0</v>
      </c>
      <c r="E550" s="4">
        <v>8</v>
      </c>
      <c r="F550" s="4">
        <v>6</v>
      </c>
      <c r="G550" s="4">
        <v>15</v>
      </c>
      <c r="H550" s="53">
        <v>5.9393000000000002</v>
      </c>
      <c r="I550" s="4">
        <v>8.9999999999999998E-4</v>
      </c>
      <c r="J550" s="53">
        <v>-30.228200000000001</v>
      </c>
      <c r="K550" s="4">
        <v>1.9E-3</v>
      </c>
      <c r="L550" s="4">
        <v>0.03</v>
      </c>
      <c r="M550" s="4">
        <v>5.0000000000000001E-3</v>
      </c>
      <c r="N550" s="4">
        <v>-6.4000000000000003E-3</v>
      </c>
      <c r="O550" s="4">
        <v>2.0000000000000001E-4</v>
      </c>
      <c r="P550" s="4">
        <v>129.74</v>
      </c>
      <c r="Q550" s="4">
        <v>0.26</v>
      </c>
      <c r="R550" s="53">
        <f t="shared" si="16"/>
        <v>0.30753185185185189</v>
      </c>
      <c r="S550" s="22">
        <f t="shared" si="15"/>
        <v>6.1629629629629632E-4</v>
      </c>
    </row>
    <row r="551" spans="1:19">
      <c r="A551" s="52" t="s">
        <v>151</v>
      </c>
      <c r="B551" s="53">
        <v>22122221</v>
      </c>
      <c r="C551" s="53"/>
      <c r="D551" s="53">
        <v>0</v>
      </c>
      <c r="E551" s="4">
        <v>8</v>
      </c>
      <c r="F551" s="4">
        <v>6</v>
      </c>
      <c r="G551" s="4">
        <v>15</v>
      </c>
      <c r="H551" s="53">
        <v>5.9393000000000002</v>
      </c>
      <c r="I551" s="4">
        <v>8.9999999999999998E-4</v>
      </c>
      <c r="J551" s="53">
        <v>-30.228200000000001</v>
      </c>
      <c r="K551" s="4">
        <v>1.9E-3</v>
      </c>
      <c r="L551" s="4">
        <v>0.03</v>
      </c>
      <c r="M551" s="4">
        <v>5.0000000000000001E-3</v>
      </c>
      <c r="N551" s="4">
        <v>-6.4000000000000003E-3</v>
      </c>
      <c r="O551" s="4">
        <v>2.0000000000000001E-4</v>
      </c>
      <c r="P551" s="4">
        <v>129.74</v>
      </c>
      <c r="Q551" s="4">
        <v>0.26</v>
      </c>
      <c r="R551" s="53">
        <f t="shared" si="16"/>
        <v>0.30753185185185189</v>
      </c>
      <c r="S551" s="22">
        <f t="shared" si="15"/>
        <v>6.1629629629629632E-4</v>
      </c>
    </row>
    <row r="552" spans="1:19">
      <c r="A552" s="52" t="s">
        <v>152</v>
      </c>
      <c r="B552" s="53">
        <v>22222221</v>
      </c>
      <c r="C552" s="53"/>
      <c r="D552" s="53">
        <v>0</v>
      </c>
      <c r="E552" s="4">
        <v>8</v>
      </c>
      <c r="F552" s="4">
        <v>7</v>
      </c>
      <c r="G552" s="4">
        <v>15</v>
      </c>
      <c r="H552" s="53">
        <v>5.9393000000000002</v>
      </c>
      <c r="I552" s="4">
        <v>8.9999999999999998E-4</v>
      </c>
      <c r="J552" s="53">
        <v>-30.228200000000001</v>
      </c>
      <c r="K552" s="4">
        <v>1.9E-3</v>
      </c>
      <c r="L552" s="4">
        <v>0.03</v>
      </c>
      <c r="M552" s="4">
        <v>5.0000000000000001E-3</v>
      </c>
      <c r="N552" s="4">
        <v>-6.4000000000000003E-3</v>
      </c>
      <c r="O552" s="4">
        <v>2.0000000000000001E-4</v>
      </c>
      <c r="P552" s="4">
        <v>129.74</v>
      </c>
      <c r="Q552" s="4">
        <v>0.26</v>
      </c>
      <c r="R552" s="53">
        <f t="shared" si="16"/>
        <v>0.30753185185185189</v>
      </c>
      <c r="S552" s="22">
        <f t="shared" ref="S552:S555" si="17">Q552*E552/G552^3</f>
        <v>6.1629629629629632E-4</v>
      </c>
    </row>
    <row r="553" spans="1:19">
      <c r="A553" s="52" t="s">
        <v>153</v>
      </c>
      <c r="B553" s="53">
        <v>22222212</v>
      </c>
      <c r="C553" s="53"/>
      <c r="D553" s="53">
        <v>0</v>
      </c>
      <c r="E553" s="4">
        <v>8</v>
      </c>
      <c r="F553" s="4">
        <v>7</v>
      </c>
      <c r="G553" s="4">
        <v>15</v>
      </c>
      <c r="H553" s="53">
        <v>5.9393000000000002</v>
      </c>
      <c r="I553" s="4">
        <v>8.9999999999999998E-4</v>
      </c>
      <c r="J553" s="53">
        <v>-30.228200000000001</v>
      </c>
      <c r="K553" s="4">
        <v>1.9E-3</v>
      </c>
      <c r="L553" s="4">
        <v>0.03</v>
      </c>
      <c r="M553" s="4">
        <v>5.0000000000000001E-3</v>
      </c>
      <c r="N553" s="4">
        <v>-6.4000000000000003E-3</v>
      </c>
      <c r="O553" s="4">
        <v>2.0000000000000001E-4</v>
      </c>
      <c r="P553" s="4">
        <v>129.74</v>
      </c>
      <c r="Q553" s="4">
        <v>0.26</v>
      </c>
      <c r="R553" s="53">
        <f t="shared" ref="R553:R555" si="18">P553*E553/G553^3</f>
        <v>0.30753185185185189</v>
      </c>
      <c r="S553" s="22">
        <f t="shared" si="17"/>
        <v>6.1629629629629632E-4</v>
      </c>
    </row>
    <row r="554" spans="1:19">
      <c r="A554" s="52" t="s">
        <v>154</v>
      </c>
      <c r="B554" s="53">
        <v>22122222</v>
      </c>
      <c r="C554" s="53"/>
      <c r="D554" s="53">
        <v>0</v>
      </c>
      <c r="E554" s="4">
        <v>8</v>
      </c>
      <c r="F554" s="4">
        <v>7</v>
      </c>
      <c r="G554" s="4">
        <v>15</v>
      </c>
      <c r="H554" s="53">
        <v>5.9393000000000002</v>
      </c>
      <c r="I554" s="4">
        <v>8.9999999999999998E-4</v>
      </c>
      <c r="J554" s="53">
        <v>-30.228200000000001</v>
      </c>
      <c r="K554" s="4">
        <v>1.9E-3</v>
      </c>
      <c r="L554" s="4">
        <v>0.03</v>
      </c>
      <c r="M554" s="4">
        <v>5.0000000000000001E-3</v>
      </c>
      <c r="N554" s="4">
        <v>-6.4000000000000003E-3</v>
      </c>
      <c r="O554" s="4">
        <v>2.0000000000000001E-4</v>
      </c>
      <c r="P554" s="4">
        <v>129.74</v>
      </c>
      <c r="Q554" s="4">
        <v>0.26</v>
      </c>
      <c r="R554" s="53">
        <f t="shared" si="18"/>
        <v>0.30753185185185189</v>
      </c>
      <c r="S554" s="22">
        <f t="shared" si="17"/>
        <v>6.1629629629629632E-4</v>
      </c>
    </row>
    <row r="555" spans="1:19" ht="17" thickBot="1">
      <c r="A555" s="54" t="s">
        <v>155</v>
      </c>
      <c r="B555" s="55">
        <v>22221222</v>
      </c>
      <c r="C555" s="55"/>
      <c r="D555" s="55">
        <v>0</v>
      </c>
      <c r="E555" s="56">
        <v>8</v>
      </c>
      <c r="F555" s="56">
        <v>7</v>
      </c>
      <c r="G555" s="56">
        <v>15</v>
      </c>
      <c r="H555" s="55">
        <v>5.9393000000000002</v>
      </c>
      <c r="I555" s="56">
        <v>8.9999999999999998E-4</v>
      </c>
      <c r="J555" s="55">
        <v>-30.228200000000001</v>
      </c>
      <c r="K555" s="56">
        <v>1.9E-3</v>
      </c>
      <c r="L555" s="56">
        <v>0.03</v>
      </c>
      <c r="M555" s="56">
        <v>5.0000000000000001E-3</v>
      </c>
      <c r="N555" s="56">
        <v>-6.4000000000000003E-3</v>
      </c>
      <c r="O555" s="56">
        <v>2.0000000000000001E-4</v>
      </c>
      <c r="P555" s="56">
        <v>129.74</v>
      </c>
      <c r="Q555" s="56">
        <v>0.26</v>
      </c>
      <c r="R555" s="55">
        <f t="shared" si="18"/>
        <v>0.30753185185185189</v>
      </c>
      <c r="S555" s="57">
        <f t="shared" si="17"/>
        <v>6.1629629629629632E-4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14"/>
  <sheetViews>
    <sheetView topLeftCell="A100" zoomScale="66" zoomScaleNormal="100" workbookViewId="0">
      <selection activeCell="L444" sqref="L444"/>
    </sheetView>
  </sheetViews>
  <sheetFormatPr baseColWidth="10" defaultColWidth="8.83203125" defaultRowHeight="15"/>
  <cols>
    <col min="1" max="1" width="16.83203125" customWidth="1"/>
    <col min="2" max="2" width="17" customWidth="1"/>
    <col min="3" max="3" width="17.5" customWidth="1"/>
  </cols>
  <sheetData>
    <row r="1" spans="1:26" ht="17" thickBot="1">
      <c r="A1" s="114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6" t="s">
        <v>1712</v>
      </c>
      <c r="I1" s="179" t="s">
        <v>1714</v>
      </c>
      <c r="J1" s="116" t="s">
        <v>7</v>
      </c>
      <c r="K1" s="116" t="s">
        <v>1713</v>
      </c>
      <c r="L1" s="116" t="s">
        <v>8</v>
      </c>
      <c r="M1" s="116" t="s">
        <v>1713</v>
      </c>
      <c r="N1" s="116" t="s">
        <v>9</v>
      </c>
      <c r="O1" s="116" t="s">
        <v>1713</v>
      </c>
      <c r="P1" s="116" t="s">
        <v>10</v>
      </c>
      <c r="Q1" s="116" t="s">
        <v>1713</v>
      </c>
      <c r="R1" s="117" t="s">
        <v>11</v>
      </c>
      <c r="S1" s="180" t="s">
        <v>1715</v>
      </c>
      <c r="T1" s="108"/>
      <c r="U1" s="108"/>
      <c r="V1" s="108"/>
      <c r="W1" s="108"/>
      <c r="X1" s="108"/>
      <c r="Y1" s="108"/>
      <c r="Z1" s="108"/>
    </row>
    <row r="2" spans="1:26" ht="16">
      <c r="A2" s="109" t="s">
        <v>157</v>
      </c>
      <c r="B2" s="110">
        <v>111111111111</v>
      </c>
      <c r="C2" s="110" t="s">
        <v>13</v>
      </c>
      <c r="D2" s="111">
        <v>0</v>
      </c>
      <c r="E2" s="82">
        <v>12</v>
      </c>
      <c r="F2" s="82">
        <v>0</v>
      </c>
      <c r="G2" s="82">
        <v>18</v>
      </c>
      <c r="H2" s="112">
        <v>6.4987000000000004</v>
      </c>
      <c r="I2" s="4">
        <v>4.0000000000000002E-4</v>
      </c>
      <c r="J2" s="113">
        <v>-36.641500000000001</v>
      </c>
      <c r="K2" s="4">
        <v>1.2999999999999999E-3</v>
      </c>
      <c r="L2" s="4">
        <v>2.5000000000000001E-2</v>
      </c>
      <c r="M2" s="4">
        <v>3.0000000000000001E-3</v>
      </c>
      <c r="N2" s="4">
        <v>-5.7999999999999996E-3</v>
      </c>
      <c r="O2" s="4">
        <v>2.0000000000000001E-4</v>
      </c>
      <c r="P2" s="4">
        <v>133.01</v>
      </c>
      <c r="Q2" s="4">
        <v>0.15</v>
      </c>
      <c r="R2" s="113">
        <f>P2*E2/G2^3</f>
        <v>0.27368312757201646</v>
      </c>
      <c r="S2" s="22">
        <f>Q2*E2/G2^3</f>
        <v>3.0864197530864197E-4</v>
      </c>
    </row>
    <row r="3" spans="1:26" ht="16">
      <c r="A3" s="19" t="s">
        <v>157</v>
      </c>
      <c r="B3" s="80">
        <v>111111111111</v>
      </c>
      <c r="C3" s="80" t="s">
        <v>13</v>
      </c>
      <c r="D3" s="81">
        <v>0.25</v>
      </c>
      <c r="E3" s="82">
        <v>12</v>
      </c>
      <c r="F3" s="82">
        <v>0</v>
      </c>
      <c r="G3" s="82">
        <v>18</v>
      </c>
      <c r="H3" s="21">
        <v>4.8746</v>
      </c>
      <c r="I3" s="4">
        <v>8.9999999999999998E-4</v>
      </c>
      <c r="J3" s="20">
        <v>-27.478899999999999</v>
      </c>
      <c r="K3" s="4">
        <v>1E-3</v>
      </c>
      <c r="L3" s="4">
        <v>2.7E-2</v>
      </c>
      <c r="M3" s="4">
        <v>8.0000000000000002E-3</v>
      </c>
      <c r="N3" s="4">
        <v>-7.3000000000000001E-3</v>
      </c>
      <c r="O3" s="4">
        <v>2.0000000000000001E-4</v>
      </c>
      <c r="P3" s="4">
        <v>133.37</v>
      </c>
      <c r="Q3" s="4">
        <v>0.18</v>
      </c>
      <c r="R3" s="20">
        <f>P3*E3/G3^3</f>
        <v>0.27442386831275722</v>
      </c>
      <c r="S3" s="22">
        <f>Q3*E3/G3^3</f>
        <v>3.7037037037037041E-4</v>
      </c>
    </row>
    <row r="4" spans="1:26" ht="16">
      <c r="A4" s="23" t="s">
        <v>157</v>
      </c>
      <c r="B4" s="82">
        <v>111111111111</v>
      </c>
      <c r="C4" s="82" t="s">
        <v>13</v>
      </c>
      <c r="D4" s="83">
        <v>0.5</v>
      </c>
      <c r="E4" s="82">
        <v>12</v>
      </c>
      <c r="F4" s="82">
        <v>0</v>
      </c>
      <c r="G4" s="82">
        <v>18</v>
      </c>
      <c r="H4" s="24">
        <v>3.2492999999999999</v>
      </c>
      <c r="I4" s="4">
        <v>2.0000000000000001E-4</v>
      </c>
      <c r="J4" s="4">
        <v>-18.320399999999999</v>
      </c>
      <c r="K4" s="4">
        <v>6.9999999999999999E-4</v>
      </c>
      <c r="L4" s="4">
        <v>3.1E-2</v>
      </c>
      <c r="M4" s="4">
        <v>2.3E-2</v>
      </c>
      <c r="N4" s="4">
        <v>-1.14E-2</v>
      </c>
      <c r="O4" s="4">
        <v>1E-3</v>
      </c>
      <c r="P4" s="4">
        <v>133.13999999999999</v>
      </c>
      <c r="Q4" s="4">
        <v>0.38</v>
      </c>
      <c r="R4" s="4">
        <f>P4*E4/G4^3</f>
        <v>0.27395061728395059</v>
      </c>
      <c r="S4" s="22">
        <f>Q4*E4/G4^3</f>
        <v>7.8189300411522647E-4</v>
      </c>
    </row>
    <row r="5" spans="1:26" ht="17" thickBot="1">
      <c r="A5" s="25" t="s">
        <v>157</v>
      </c>
      <c r="B5" s="70">
        <v>111111111111</v>
      </c>
      <c r="C5" s="70" t="s">
        <v>13</v>
      </c>
      <c r="D5" s="71">
        <v>0.75</v>
      </c>
      <c r="E5" s="72">
        <v>12</v>
      </c>
      <c r="F5" s="72">
        <v>0</v>
      </c>
      <c r="G5" s="72">
        <v>18</v>
      </c>
      <c r="H5" s="11">
        <v>1.6247</v>
      </c>
      <c r="I5" s="10">
        <v>2.9999999999999997E-4</v>
      </c>
      <c r="J5" s="9">
        <v>-9.1599000000000004</v>
      </c>
      <c r="K5" s="10">
        <v>5.0000000000000001E-4</v>
      </c>
      <c r="L5" s="10">
        <v>3.9E-2</v>
      </c>
      <c r="M5" s="10">
        <v>5.0000000000000001E-3</v>
      </c>
      <c r="N5" s="10">
        <v>-2.2200000000000001E-2</v>
      </c>
      <c r="O5" s="10">
        <v>4.0000000000000002E-4</v>
      </c>
      <c r="P5" s="10">
        <v>133.24</v>
      </c>
      <c r="Q5" s="10">
        <v>0.14000000000000001</v>
      </c>
      <c r="R5" s="9">
        <f>P5*E5/G5^3</f>
        <v>0.27415637860082304</v>
      </c>
      <c r="S5" s="26">
        <f>Q5*E5/G5^3</f>
        <v>2.8806584362139919E-4</v>
      </c>
    </row>
    <row r="6" spans="1:26" ht="17" thickTop="1">
      <c r="A6" s="27" t="s">
        <v>158</v>
      </c>
      <c r="B6" s="73">
        <v>111111211111</v>
      </c>
      <c r="C6" s="73" t="s">
        <v>19</v>
      </c>
      <c r="D6" s="74">
        <v>0.25</v>
      </c>
      <c r="E6" s="69">
        <v>12</v>
      </c>
      <c r="F6" s="69">
        <v>1</v>
      </c>
      <c r="G6" s="69">
        <v>18</v>
      </c>
      <c r="H6" s="12">
        <v>4.8960999999999997</v>
      </c>
      <c r="I6" s="7">
        <v>1E-3</v>
      </c>
      <c r="J6" s="5">
        <v>-27.5852</v>
      </c>
      <c r="K6" s="7">
        <v>8.9999999999999998E-4</v>
      </c>
      <c r="L6" s="7">
        <v>4.5999999999999999E-2</v>
      </c>
      <c r="M6" s="7">
        <v>1.2E-2</v>
      </c>
      <c r="N6" s="7">
        <v>-6.8999999999999999E-3</v>
      </c>
      <c r="O6" s="7">
        <v>5.0000000000000001E-4</v>
      </c>
      <c r="P6" s="7">
        <v>133.57</v>
      </c>
      <c r="Q6" s="7">
        <v>0.19</v>
      </c>
      <c r="R6" s="5">
        <f>P6*E6/G6^3</f>
        <v>0.27483539094650206</v>
      </c>
      <c r="S6" s="18">
        <f>Q6*E6/G6^3</f>
        <v>3.9094650205761324E-4</v>
      </c>
    </row>
    <row r="7" spans="1:26" ht="16">
      <c r="A7" s="23" t="s">
        <v>158</v>
      </c>
      <c r="B7" s="82">
        <v>111111211111</v>
      </c>
      <c r="C7" s="82" t="s">
        <v>19</v>
      </c>
      <c r="D7" s="83">
        <v>0.5</v>
      </c>
      <c r="E7" s="82">
        <v>12</v>
      </c>
      <c r="F7" s="82">
        <v>1</v>
      </c>
      <c r="G7" s="82">
        <v>18</v>
      </c>
      <c r="H7" s="24">
        <v>3.2915999999999999</v>
      </c>
      <c r="I7" s="4">
        <v>2.0000000000000001E-4</v>
      </c>
      <c r="J7" s="4">
        <v>-18.541899999999998</v>
      </c>
      <c r="K7" s="4">
        <v>2.9999999999999997E-4</v>
      </c>
      <c r="L7" s="4">
        <v>3.1E-2</v>
      </c>
      <c r="M7" s="4">
        <v>2E-3</v>
      </c>
      <c r="N7" s="4">
        <v>-1.12E-2</v>
      </c>
      <c r="O7" s="4">
        <v>2.0000000000000001E-4</v>
      </c>
      <c r="P7" s="4">
        <v>133.16999999999999</v>
      </c>
      <c r="Q7" s="4">
        <v>0.08</v>
      </c>
      <c r="R7" s="4">
        <f t="shared" ref="R7:R296" si="0">P7*E7/G7^3</f>
        <v>0.27401234567901234</v>
      </c>
      <c r="S7" s="22">
        <f t="shared" ref="S7:S296" si="1">Q7*E7/G7^3</f>
        <v>1.6460905349794237E-4</v>
      </c>
    </row>
    <row r="8" spans="1:26" ht="16">
      <c r="A8" s="28" t="s">
        <v>158</v>
      </c>
      <c r="B8" s="84">
        <v>111111211111</v>
      </c>
      <c r="C8" s="84" t="s">
        <v>19</v>
      </c>
      <c r="D8" s="85">
        <v>0.75</v>
      </c>
      <c r="E8" s="82">
        <v>12</v>
      </c>
      <c r="F8" s="82">
        <v>1</v>
      </c>
      <c r="G8" s="82">
        <v>18</v>
      </c>
      <c r="H8" s="30">
        <v>1.6938</v>
      </c>
      <c r="I8" s="4">
        <v>1E-4</v>
      </c>
      <c r="J8" s="29">
        <v>-9.5345999999999993</v>
      </c>
      <c r="K8" s="4">
        <v>2.0000000000000001E-4</v>
      </c>
      <c r="L8" s="4">
        <v>3.3000000000000002E-2</v>
      </c>
      <c r="M8" s="4">
        <v>1.6E-2</v>
      </c>
      <c r="N8" s="4">
        <v>-2.18E-2</v>
      </c>
      <c r="O8" s="4">
        <v>5.9999999999999995E-4</v>
      </c>
      <c r="P8" s="4">
        <v>132.66</v>
      </c>
      <c r="Q8" s="4">
        <v>0.19</v>
      </c>
      <c r="R8" s="29">
        <f t="shared" si="0"/>
        <v>0.27296296296296296</v>
      </c>
      <c r="S8" s="22">
        <f t="shared" si="1"/>
        <v>3.9094650205761324E-4</v>
      </c>
    </row>
    <row r="9" spans="1:26" ht="16">
      <c r="A9" s="86" t="s">
        <v>159</v>
      </c>
      <c r="B9" s="87">
        <v>111111111112</v>
      </c>
      <c r="C9" s="87" t="s">
        <v>17</v>
      </c>
      <c r="D9" s="88">
        <v>0.25</v>
      </c>
      <c r="E9" s="82">
        <v>12</v>
      </c>
      <c r="F9" s="82">
        <v>1</v>
      </c>
      <c r="G9" s="82">
        <v>18</v>
      </c>
      <c r="H9" s="21">
        <v>4.9016999999999999</v>
      </c>
      <c r="I9" s="4">
        <v>6.9999999999999999E-4</v>
      </c>
      <c r="J9" s="20">
        <v>-27.603100000000001</v>
      </c>
      <c r="K9" s="4">
        <v>2.0000000000000001E-4</v>
      </c>
      <c r="L9" s="4">
        <v>2.5000000000000001E-2</v>
      </c>
      <c r="M9" s="4">
        <v>8.0000000000000002E-3</v>
      </c>
      <c r="N9" s="4">
        <v>-7.4999999999999997E-3</v>
      </c>
      <c r="O9" s="4">
        <v>1E-4</v>
      </c>
      <c r="P9" s="4">
        <v>133.04</v>
      </c>
      <c r="Q9" s="4">
        <v>0.1</v>
      </c>
      <c r="R9" s="20">
        <f>P9*E9/G9^3</f>
        <v>0.2737448559670782</v>
      </c>
      <c r="S9" s="22">
        <f>Q9*E9/G9^3</f>
        <v>2.0576131687242801E-4</v>
      </c>
    </row>
    <row r="10" spans="1:26" ht="16">
      <c r="A10" s="89" t="s">
        <v>159</v>
      </c>
      <c r="B10" s="90">
        <v>111111111112</v>
      </c>
      <c r="C10" s="90" t="s">
        <v>17</v>
      </c>
      <c r="D10" s="91">
        <v>0.5</v>
      </c>
      <c r="E10" s="39">
        <v>12</v>
      </c>
      <c r="F10" s="39">
        <v>1</v>
      </c>
      <c r="G10" s="39">
        <v>18</v>
      </c>
      <c r="H10" s="36">
        <v>3.3068</v>
      </c>
      <c r="I10" s="39">
        <v>1E-3</v>
      </c>
      <c r="J10" s="39">
        <v>-18.575099999999999</v>
      </c>
      <c r="K10" s="39">
        <v>1E-3</v>
      </c>
      <c r="L10" s="39">
        <v>3.6999999999999998E-2</v>
      </c>
      <c r="M10" s="39">
        <v>7.0000000000000001E-3</v>
      </c>
      <c r="N10" s="39">
        <v>-1.03E-2</v>
      </c>
      <c r="O10" s="39">
        <v>5.0000000000000001E-4</v>
      </c>
      <c r="P10" s="39">
        <v>133.33000000000001</v>
      </c>
      <c r="Q10" s="39">
        <v>0.28999999999999998</v>
      </c>
      <c r="R10" s="4">
        <f t="shared" si="0"/>
        <v>0.27434156378600821</v>
      </c>
      <c r="S10" s="22">
        <f t="shared" si="1"/>
        <v>5.9670781893004111E-4</v>
      </c>
    </row>
    <row r="11" spans="1:26" ht="16">
      <c r="A11" s="92" t="s">
        <v>159</v>
      </c>
      <c r="B11" s="93">
        <v>111111111112</v>
      </c>
      <c r="C11" s="93" t="s">
        <v>17</v>
      </c>
      <c r="D11" s="94">
        <v>0.75</v>
      </c>
      <c r="E11" s="39">
        <v>12</v>
      </c>
      <c r="F11" s="39">
        <v>1</v>
      </c>
      <c r="G11" s="39">
        <v>18</v>
      </c>
      <c r="H11" s="30">
        <v>1.7222</v>
      </c>
      <c r="I11" s="4">
        <v>2.0000000000000001E-4</v>
      </c>
      <c r="J11" s="29">
        <v>-9.6044</v>
      </c>
      <c r="K11" s="4">
        <v>2.0000000000000001E-4</v>
      </c>
      <c r="L11" s="4">
        <v>2.8000000000000001E-2</v>
      </c>
      <c r="M11" s="4">
        <v>3.0000000000000001E-3</v>
      </c>
      <c r="N11" s="4">
        <v>-2.1899999999999999E-2</v>
      </c>
      <c r="O11" s="4">
        <v>4.0000000000000002E-4</v>
      </c>
      <c r="P11" s="4">
        <v>132.05000000000001</v>
      </c>
      <c r="Q11" s="4">
        <v>0.13</v>
      </c>
      <c r="R11" s="29">
        <f t="shared" si="0"/>
        <v>0.2717078189300412</v>
      </c>
      <c r="S11" s="22">
        <f t="shared" si="1"/>
        <v>2.6748971193415636E-4</v>
      </c>
    </row>
    <row r="12" spans="1:26" ht="16">
      <c r="A12" s="86" t="s">
        <v>160</v>
      </c>
      <c r="B12" s="87">
        <v>111111112111</v>
      </c>
      <c r="C12" s="87"/>
      <c r="D12" s="88">
        <v>0.25</v>
      </c>
      <c r="E12" s="82">
        <v>12</v>
      </c>
      <c r="F12" s="82">
        <v>1</v>
      </c>
      <c r="G12" s="82">
        <v>18</v>
      </c>
      <c r="H12" s="21">
        <v>4.8941999999999997</v>
      </c>
      <c r="I12" s="4">
        <v>5.0000000000000001E-4</v>
      </c>
      <c r="J12" s="20">
        <v>-27.589500000000001</v>
      </c>
      <c r="K12" s="4">
        <v>5.0000000000000001E-4</v>
      </c>
      <c r="L12" s="4">
        <v>3.7999999999999999E-2</v>
      </c>
      <c r="M12" s="4">
        <v>5.0000000000000001E-3</v>
      </c>
      <c r="N12" s="4">
        <v>-7.3000000000000001E-3</v>
      </c>
      <c r="O12" s="4">
        <v>2.0000000000000001E-4</v>
      </c>
      <c r="P12" s="4">
        <v>133.32</v>
      </c>
      <c r="Q12" s="4">
        <v>0.2</v>
      </c>
      <c r="R12" s="20">
        <f>P12*E12/G12^3</f>
        <v>0.27432098765432095</v>
      </c>
      <c r="S12" s="22">
        <f>Q12*E12/G12^3</f>
        <v>4.1152263374485601E-4</v>
      </c>
    </row>
    <row r="13" spans="1:26" ht="16">
      <c r="A13" s="89" t="s">
        <v>160</v>
      </c>
      <c r="B13" s="90">
        <v>111111112111</v>
      </c>
      <c r="C13" s="90"/>
      <c r="D13" s="91">
        <v>0.5</v>
      </c>
      <c r="E13" s="39">
        <v>12</v>
      </c>
      <c r="F13" s="39">
        <v>1</v>
      </c>
      <c r="G13" s="39">
        <v>18</v>
      </c>
      <c r="H13" s="36">
        <v>3.2938000000000001</v>
      </c>
      <c r="I13" s="39">
        <v>2.0000000000000001E-4</v>
      </c>
      <c r="J13" s="39">
        <v>-18.5456</v>
      </c>
      <c r="K13" s="39">
        <v>6.9999999999999999E-4</v>
      </c>
      <c r="L13" s="39">
        <v>2.8000000000000001E-2</v>
      </c>
      <c r="M13" s="39">
        <v>4.0000000000000001E-3</v>
      </c>
      <c r="N13" s="39">
        <v>-1.11E-2</v>
      </c>
      <c r="O13" s="39">
        <v>2.9999999999999997E-4</v>
      </c>
      <c r="P13" s="39">
        <v>133.08000000000001</v>
      </c>
      <c r="Q13" s="39">
        <v>0.12</v>
      </c>
      <c r="R13" s="4">
        <f t="shared" si="0"/>
        <v>0.27382716049382716</v>
      </c>
      <c r="S13" s="22">
        <f t="shared" si="1"/>
        <v>2.4691358024691359E-4</v>
      </c>
    </row>
    <row r="14" spans="1:26" ht="16">
      <c r="A14" s="92" t="s">
        <v>160</v>
      </c>
      <c r="B14" s="93">
        <v>111111112111</v>
      </c>
      <c r="C14" s="93"/>
      <c r="D14" s="94">
        <v>0.75</v>
      </c>
      <c r="E14" s="39">
        <v>12</v>
      </c>
      <c r="F14" s="39">
        <v>1</v>
      </c>
      <c r="G14" s="39">
        <v>18</v>
      </c>
      <c r="H14" s="32">
        <v>1.6976</v>
      </c>
      <c r="I14" s="39">
        <v>2.9999999999999997E-4</v>
      </c>
      <c r="J14" s="41">
        <v>-9.5420999999999996</v>
      </c>
      <c r="K14" s="39">
        <v>4.0000000000000002E-4</v>
      </c>
      <c r="L14" s="39">
        <v>3.4000000000000002E-2</v>
      </c>
      <c r="M14" s="39">
        <v>5.0000000000000001E-3</v>
      </c>
      <c r="N14" s="39">
        <v>-2.23E-2</v>
      </c>
      <c r="O14" s="39">
        <v>2.9999999999999997E-4</v>
      </c>
      <c r="P14" s="39">
        <v>132.36000000000001</v>
      </c>
      <c r="Q14" s="39">
        <v>0.09</v>
      </c>
      <c r="R14" s="29">
        <f t="shared" si="0"/>
        <v>0.27234567901234569</v>
      </c>
      <c r="S14" s="22">
        <f t="shared" si="1"/>
        <v>1.851851851851852E-4</v>
      </c>
    </row>
    <row r="15" spans="1:26" ht="16">
      <c r="A15" s="19" t="s">
        <v>161</v>
      </c>
      <c r="B15" s="80">
        <v>111111121111</v>
      </c>
      <c r="C15" s="80"/>
      <c r="D15" s="88">
        <v>0.25</v>
      </c>
      <c r="E15" s="82">
        <v>12</v>
      </c>
      <c r="F15" s="82">
        <v>1</v>
      </c>
      <c r="G15" s="82">
        <v>18</v>
      </c>
      <c r="H15" s="21">
        <v>4.8940999999999999</v>
      </c>
      <c r="I15" s="4">
        <v>1E-3</v>
      </c>
      <c r="J15" s="20">
        <v>-27.587</v>
      </c>
      <c r="K15" s="4">
        <v>1.8E-3</v>
      </c>
      <c r="L15" s="4">
        <v>3.5999999999999997E-2</v>
      </c>
      <c r="M15" s="4">
        <v>7.0000000000000001E-3</v>
      </c>
      <c r="N15" s="4">
        <v>-7.4000000000000003E-3</v>
      </c>
      <c r="O15" s="4">
        <v>4.0000000000000002E-4</v>
      </c>
      <c r="P15" s="4">
        <v>133.32</v>
      </c>
      <c r="Q15" s="4">
        <v>0.31</v>
      </c>
      <c r="R15" s="20">
        <f>P15*E15/G15^3</f>
        <v>0.27432098765432095</v>
      </c>
      <c r="S15" s="22">
        <f>Q15*E15/G15^3</f>
        <v>6.3786008230452666E-4</v>
      </c>
    </row>
    <row r="16" spans="1:26" ht="16">
      <c r="A16" s="23" t="s">
        <v>161</v>
      </c>
      <c r="B16" s="82">
        <v>111111121111</v>
      </c>
      <c r="C16" s="82"/>
      <c r="D16" s="91">
        <v>0.5</v>
      </c>
      <c r="E16" s="82">
        <v>12</v>
      </c>
      <c r="F16" s="82">
        <v>1</v>
      </c>
      <c r="G16" s="82">
        <v>18</v>
      </c>
      <c r="H16" s="24">
        <v>3.2923</v>
      </c>
      <c r="I16" s="4">
        <v>2.0000000000000001E-4</v>
      </c>
      <c r="J16" s="4">
        <v>-18.5428</v>
      </c>
      <c r="K16" s="4">
        <v>5.9999999999999995E-4</v>
      </c>
      <c r="L16" s="4">
        <v>3.4000000000000002E-2</v>
      </c>
      <c r="M16" s="4">
        <v>4.0000000000000001E-3</v>
      </c>
      <c r="N16" s="4">
        <v>-1.0699999999999999E-2</v>
      </c>
      <c r="O16" s="4">
        <v>2.9999999999999997E-4</v>
      </c>
      <c r="P16" s="4">
        <v>133.31</v>
      </c>
      <c r="Q16" s="4">
        <v>0.09</v>
      </c>
      <c r="R16" s="4">
        <f t="shared" ref="R16:R23" si="2">P16*E16/G16^3</f>
        <v>0.27430041152263374</v>
      </c>
      <c r="S16" s="22">
        <f t="shared" ref="S16:S23" si="3">Q16*E16/G16^3</f>
        <v>1.851851851851852E-4</v>
      </c>
    </row>
    <row r="17" spans="1:19" ht="16">
      <c r="A17" s="28" t="s">
        <v>161</v>
      </c>
      <c r="B17" s="84">
        <v>111111121111</v>
      </c>
      <c r="C17" s="84"/>
      <c r="D17" s="94">
        <v>0.75</v>
      </c>
      <c r="E17" s="82">
        <v>12</v>
      </c>
      <c r="F17" s="82">
        <v>1</v>
      </c>
      <c r="G17" s="82">
        <v>18</v>
      </c>
      <c r="H17" s="30">
        <v>1.6951000000000001</v>
      </c>
      <c r="I17" s="4">
        <v>2.9999999999999997E-4</v>
      </c>
      <c r="J17" s="29">
        <v>-9.5370000000000008</v>
      </c>
      <c r="K17" s="4">
        <v>4.0000000000000002E-4</v>
      </c>
      <c r="L17" s="4">
        <v>3.1E-2</v>
      </c>
      <c r="M17" s="4">
        <v>7.0000000000000001E-3</v>
      </c>
      <c r="N17" s="4">
        <v>-2.18E-2</v>
      </c>
      <c r="O17" s="4">
        <v>1.1000000000000001E-3</v>
      </c>
      <c r="P17" s="4">
        <v>132.58000000000001</v>
      </c>
      <c r="Q17" s="4">
        <v>0.21</v>
      </c>
      <c r="R17" s="29">
        <f t="shared" si="2"/>
        <v>0.27279835390946505</v>
      </c>
      <c r="S17" s="22">
        <f t="shared" si="3"/>
        <v>4.3209876543209879E-4</v>
      </c>
    </row>
    <row r="18" spans="1:19" ht="16">
      <c r="A18" s="19" t="s">
        <v>162</v>
      </c>
      <c r="B18" s="80">
        <v>111111111211</v>
      </c>
      <c r="C18" s="87"/>
      <c r="D18" s="88">
        <v>0.25</v>
      </c>
      <c r="E18" s="82">
        <v>12</v>
      </c>
      <c r="F18" s="82">
        <v>1</v>
      </c>
      <c r="G18" s="82">
        <v>18</v>
      </c>
      <c r="H18" s="21">
        <v>4.8968999999999996</v>
      </c>
      <c r="I18" s="4">
        <v>4.0000000000000002E-4</v>
      </c>
      <c r="J18" s="20">
        <v>-27.590699999999998</v>
      </c>
      <c r="K18" s="4">
        <v>8.0000000000000004E-4</v>
      </c>
      <c r="L18" s="4">
        <v>2.5999999999999999E-2</v>
      </c>
      <c r="M18" s="4">
        <v>3.0000000000000001E-3</v>
      </c>
      <c r="N18" s="4">
        <v>-7.6E-3</v>
      </c>
      <c r="O18" s="4">
        <v>2.0000000000000001E-4</v>
      </c>
      <c r="P18" s="4">
        <v>133.08000000000001</v>
      </c>
      <c r="Q18" s="4">
        <v>0.12</v>
      </c>
      <c r="R18" s="20">
        <f>P18*E18/G18^3</f>
        <v>0.27382716049382716</v>
      </c>
      <c r="S18" s="22">
        <f>Q18*E18/G18^3</f>
        <v>2.4691358024691359E-4</v>
      </c>
    </row>
    <row r="19" spans="1:19" ht="16">
      <c r="A19" s="23" t="s">
        <v>162</v>
      </c>
      <c r="B19" s="82">
        <v>111111111211</v>
      </c>
      <c r="C19" s="90"/>
      <c r="D19" s="91">
        <v>0.5</v>
      </c>
      <c r="E19" s="82">
        <v>12</v>
      </c>
      <c r="F19" s="82">
        <v>1</v>
      </c>
      <c r="G19" s="82">
        <v>18</v>
      </c>
      <c r="H19" s="24">
        <v>3.2963</v>
      </c>
      <c r="I19" s="4">
        <v>5.0000000000000001E-4</v>
      </c>
      <c r="J19" s="4">
        <v>-18.5502</v>
      </c>
      <c r="K19" s="4">
        <v>6.9999999999999999E-4</v>
      </c>
      <c r="L19" s="4">
        <v>2.5999999999999999E-2</v>
      </c>
      <c r="M19" s="4">
        <v>1E-3</v>
      </c>
      <c r="N19" s="4">
        <v>-1.12E-2</v>
      </c>
      <c r="O19" s="4">
        <v>4.0000000000000002E-4</v>
      </c>
      <c r="P19" s="4">
        <v>133.07</v>
      </c>
      <c r="Q19" s="4">
        <v>0.12</v>
      </c>
      <c r="R19" s="4">
        <f t="shared" si="2"/>
        <v>0.27380658436213989</v>
      </c>
      <c r="S19" s="22">
        <f t="shared" si="3"/>
        <v>2.4691358024691359E-4</v>
      </c>
    </row>
    <row r="20" spans="1:19" ht="16">
      <c r="A20" s="28" t="s">
        <v>162</v>
      </c>
      <c r="B20" s="84">
        <v>111111111211</v>
      </c>
      <c r="C20" s="93"/>
      <c r="D20" s="94">
        <v>0.75</v>
      </c>
      <c r="E20" s="82">
        <v>12</v>
      </c>
      <c r="F20" s="82">
        <v>1</v>
      </c>
      <c r="G20" s="82">
        <v>18</v>
      </c>
      <c r="H20" s="30">
        <v>1.7019</v>
      </c>
      <c r="I20" s="4">
        <v>4.0000000000000002E-4</v>
      </c>
      <c r="J20" s="29">
        <v>-9.5513999999999992</v>
      </c>
      <c r="K20" s="4">
        <v>2.0000000000000001E-4</v>
      </c>
      <c r="L20" s="4">
        <v>3.3000000000000002E-2</v>
      </c>
      <c r="M20" s="4">
        <v>1.0999999999999999E-2</v>
      </c>
      <c r="N20" s="4">
        <v>-2.18E-2</v>
      </c>
      <c r="O20" s="4">
        <v>8.9999999999999998E-4</v>
      </c>
      <c r="P20" s="4">
        <v>132.30000000000001</v>
      </c>
      <c r="Q20" s="4">
        <v>0.06</v>
      </c>
      <c r="R20" s="29">
        <f t="shared" si="2"/>
        <v>0.27222222222222225</v>
      </c>
      <c r="S20" s="22">
        <f t="shared" si="3"/>
        <v>1.2345679012345679E-4</v>
      </c>
    </row>
    <row r="21" spans="1:19" ht="16">
      <c r="A21" s="19" t="s">
        <v>163</v>
      </c>
      <c r="B21" s="80">
        <v>111111111121</v>
      </c>
      <c r="C21" s="87"/>
      <c r="D21" s="88">
        <v>0.25</v>
      </c>
      <c r="E21" s="82">
        <v>12</v>
      </c>
      <c r="F21" s="82">
        <v>1</v>
      </c>
      <c r="G21" s="82">
        <v>18</v>
      </c>
      <c r="H21" s="21">
        <v>4.8981000000000003</v>
      </c>
      <c r="I21" s="4">
        <v>4.0000000000000002E-4</v>
      </c>
      <c r="J21" s="20">
        <v>-27.594200000000001</v>
      </c>
      <c r="K21" s="4">
        <v>1.1999999999999999E-3</v>
      </c>
      <c r="L21" s="4">
        <v>3.1E-2</v>
      </c>
      <c r="M21" s="4">
        <v>7.0000000000000001E-3</v>
      </c>
      <c r="N21" s="4">
        <v>-7.4999999999999997E-3</v>
      </c>
      <c r="O21" s="4">
        <v>2.9999999999999997E-4</v>
      </c>
      <c r="P21" s="4">
        <v>133.16999999999999</v>
      </c>
      <c r="Q21" s="4">
        <v>0.15</v>
      </c>
      <c r="R21" s="20">
        <f>P21*E21/G21^3</f>
        <v>0.27401234567901234</v>
      </c>
      <c r="S21" s="22">
        <f>Q21*E21/G21^3</f>
        <v>3.0864197530864197E-4</v>
      </c>
    </row>
    <row r="22" spans="1:19" ht="16">
      <c r="A22" s="23" t="s">
        <v>163</v>
      </c>
      <c r="B22" s="82">
        <v>111111111121</v>
      </c>
      <c r="C22" s="90"/>
      <c r="D22" s="91">
        <v>0.5</v>
      </c>
      <c r="E22" s="82">
        <v>12</v>
      </c>
      <c r="F22" s="82">
        <v>1</v>
      </c>
      <c r="G22" s="82">
        <v>18</v>
      </c>
      <c r="H22" s="24">
        <v>3.2997999999999998</v>
      </c>
      <c r="I22" s="4">
        <v>5.0000000000000001E-4</v>
      </c>
      <c r="J22" s="4">
        <v>-18.5579</v>
      </c>
      <c r="K22" s="4">
        <v>2.0000000000000001E-4</v>
      </c>
      <c r="L22" s="4">
        <v>3.2000000000000001E-2</v>
      </c>
      <c r="M22" s="4">
        <v>4.0000000000000001E-3</v>
      </c>
      <c r="N22" s="4">
        <v>-1.09E-2</v>
      </c>
      <c r="O22" s="4">
        <v>6.9999999999999999E-4</v>
      </c>
      <c r="P22" s="4">
        <v>133.15</v>
      </c>
      <c r="Q22" s="4">
        <v>0.19</v>
      </c>
      <c r="R22" s="4">
        <f t="shared" si="2"/>
        <v>0.27397119341563791</v>
      </c>
      <c r="S22" s="22">
        <f t="shared" si="3"/>
        <v>3.9094650205761324E-4</v>
      </c>
    </row>
    <row r="23" spans="1:19" ht="17" thickBot="1">
      <c r="A23" s="25" t="s">
        <v>163</v>
      </c>
      <c r="B23" s="70">
        <v>111111111121</v>
      </c>
      <c r="C23" s="60"/>
      <c r="D23" s="61">
        <v>0.75</v>
      </c>
      <c r="E23" s="72">
        <v>12</v>
      </c>
      <c r="F23" s="72">
        <v>1</v>
      </c>
      <c r="G23" s="72">
        <v>18</v>
      </c>
      <c r="H23" s="11">
        <v>1.7088000000000001</v>
      </c>
      <c r="I23" s="10">
        <v>1E-4</v>
      </c>
      <c r="J23" s="9">
        <v>-9.5676000000000005</v>
      </c>
      <c r="K23" s="10">
        <v>2.9999999999999997E-4</v>
      </c>
      <c r="L23" s="10">
        <v>3.5999999999999997E-2</v>
      </c>
      <c r="M23" s="10">
        <v>8.9999999999999993E-3</v>
      </c>
      <c r="N23" s="10">
        <v>-2.2200000000000001E-2</v>
      </c>
      <c r="O23" s="10">
        <v>6.9999999999999999E-4</v>
      </c>
      <c r="P23" s="10">
        <v>132.07</v>
      </c>
      <c r="Q23" s="10">
        <v>0.18</v>
      </c>
      <c r="R23" s="9">
        <f t="shared" si="2"/>
        <v>0.27174897119341562</v>
      </c>
      <c r="S23" s="26">
        <f t="shared" si="3"/>
        <v>3.7037037037037041E-4</v>
      </c>
    </row>
    <row r="24" spans="1:19" ht="17" thickTop="1">
      <c r="A24" s="27" t="s">
        <v>164</v>
      </c>
      <c r="B24" s="73">
        <v>111121112111</v>
      </c>
      <c r="C24" s="73"/>
      <c r="D24" s="74">
        <v>0.25</v>
      </c>
      <c r="E24" s="69">
        <v>12</v>
      </c>
      <c r="F24" s="69">
        <v>2</v>
      </c>
      <c r="G24" s="69">
        <v>18</v>
      </c>
      <c r="H24" s="12">
        <v>4.9581</v>
      </c>
      <c r="I24" s="7">
        <v>2.9999999999999997E-4</v>
      </c>
      <c r="J24" s="5">
        <v>-27.952100000000002</v>
      </c>
      <c r="K24" s="7">
        <v>5.0000000000000001E-4</v>
      </c>
      <c r="L24" s="7">
        <v>2.5000000000000001E-2</v>
      </c>
      <c r="M24" s="7">
        <v>8.0000000000000002E-3</v>
      </c>
      <c r="N24" s="7">
        <v>-7.3000000000000001E-3</v>
      </c>
      <c r="O24" s="7">
        <v>1E-4</v>
      </c>
      <c r="P24" s="7">
        <v>133.26</v>
      </c>
      <c r="Q24" s="7">
        <v>0.09</v>
      </c>
      <c r="R24" s="5">
        <f>P24*E24/G24^3</f>
        <v>0.27419753086419751</v>
      </c>
      <c r="S24" s="18">
        <f>Q24*E24/G24^3</f>
        <v>1.851851851851852E-4</v>
      </c>
    </row>
    <row r="25" spans="1:19" ht="16">
      <c r="A25" s="23" t="s">
        <v>164</v>
      </c>
      <c r="B25" s="82">
        <v>111121112111</v>
      </c>
      <c r="C25" s="82"/>
      <c r="D25" s="83">
        <v>0.5</v>
      </c>
      <c r="E25" s="82">
        <v>12</v>
      </c>
      <c r="F25" s="82">
        <v>2</v>
      </c>
      <c r="G25" s="82">
        <v>18</v>
      </c>
      <c r="H25" s="24">
        <v>3.4197000000000002</v>
      </c>
      <c r="I25" s="4">
        <v>5.0000000000000001E-4</v>
      </c>
      <c r="J25" s="4">
        <v>-19.295400000000001</v>
      </c>
      <c r="K25" s="4">
        <v>2.9999999999999997E-4</v>
      </c>
      <c r="L25" s="4">
        <v>3.1E-2</v>
      </c>
      <c r="M25" s="4">
        <v>6.0000000000000001E-3</v>
      </c>
      <c r="N25" s="4">
        <v>-1.06E-2</v>
      </c>
      <c r="O25" s="4">
        <v>2.9999999999999997E-4</v>
      </c>
      <c r="P25" s="4">
        <v>133.05000000000001</v>
      </c>
      <c r="Q25" s="4">
        <v>0.16</v>
      </c>
      <c r="R25" s="4">
        <f t="shared" si="0"/>
        <v>0.27376543209876547</v>
      </c>
      <c r="S25" s="22">
        <f t="shared" si="1"/>
        <v>3.2921810699588475E-4</v>
      </c>
    </row>
    <row r="26" spans="1:19" ht="16">
      <c r="A26" s="28" t="s">
        <v>164</v>
      </c>
      <c r="B26" s="84">
        <v>111121112111</v>
      </c>
      <c r="C26" s="84"/>
      <c r="D26" s="85">
        <v>0.75</v>
      </c>
      <c r="E26" s="82">
        <v>12</v>
      </c>
      <c r="F26" s="82">
        <v>2</v>
      </c>
      <c r="G26" s="82">
        <v>18</v>
      </c>
      <c r="H26" s="30">
        <v>1.8895999999999999</v>
      </c>
      <c r="I26" s="4">
        <v>1E-4</v>
      </c>
      <c r="J26" s="29">
        <v>-10.761699999999999</v>
      </c>
      <c r="K26" s="4">
        <v>4.0000000000000002E-4</v>
      </c>
      <c r="L26" s="4">
        <v>5.5E-2</v>
      </c>
      <c r="M26" s="4">
        <v>0.01</v>
      </c>
      <c r="N26" s="4">
        <v>-2.2100000000000002E-2</v>
      </c>
      <c r="O26" s="4">
        <v>1E-4</v>
      </c>
      <c r="P26" s="4">
        <v>130.22</v>
      </c>
      <c r="Q26" s="4">
        <v>0.12</v>
      </c>
      <c r="R26" s="29">
        <f t="shared" si="0"/>
        <v>0.26794238683127569</v>
      </c>
      <c r="S26" s="22">
        <f t="shared" si="1"/>
        <v>2.4691358024691359E-4</v>
      </c>
    </row>
    <row r="27" spans="1:19" ht="16">
      <c r="A27" s="19" t="s">
        <v>165</v>
      </c>
      <c r="B27" s="80">
        <v>112111111211</v>
      </c>
      <c r="C27" s="80"/>
      <c r="D27" s="81">
        <v>0.25</v>
      </c>
      <c r="E27" s="82">
        <v>12</v>
      </c>
      <c r="F27" s="82">
        <v>2</v>
      </c>
      <c r="G27" s="82">
        <v>18</v>
      </c>
      <c r="H27" s="21">
        <v>4.9638</v>
      </c>
      <c r="I27" s="4">
        <v>2.9999999999999997E-4</v>
      </c>
      <c r="J27" s="20">
        <v>-27.9389</v>
      </c>
      <c r="K27" s="4">
        <v>8.0000000000000004E-4</v>
      </c>
      <c r="L27" s="4">
        <v>2.7E-2</v>
      </c>
      <c r="M27" s="4">
        <v>4.0000000000000001E-3</v>
      </c>
      <c r="N27" s="4">
        <v>-7.4000000000000003E-3</v>
      </c>
      <c r="O27" s="4">
        <v>2.0000000000000001E-4</v>
      </c>
      <c r="P27" s="4">
        <v>133.16</v>
      </c>
      <c r="Q27" s="4">
        <v>0.14000000000000001</v>
      </c>
      <c r="R27" s="20">
        <f>P27*E27/G27^3</f>
        <v>0.27399176954732513</v>
      </c>
      <c r="S27" s="22">
        <f>Q27*E27/G27^3</f>
        <v>2.8806584362139919E-4</v>
      </c>
    </row>
    <row r="28" spans="1:19" ht="16">
      <c r="A28" s="23" t="s">
        <v>165</v>
      </c>
      <c r="B28" s="82">
        <v>112111111211</v>
      </c>
      <c r="C28" s="82"/>
      <c r="D28" s="83">
        <v>0.5</v>
      </c>
      <c r="E28" s="82">
        <v>12</v>
      </c>
      <c r="F28" s="82">
        <v>2</v>
      </c>
      <c r="G28" s="82">
        <v>18</v>
      </c>
      <c r="H28" s="24">
        <v>3.4323000000000001</v>
      </c>
      <c r="I28" s="4">
        <v>8.9999999999999998E-4</v>
      </c>
      <c r="J28" s="4">
        <v>-19.266500000000001</v>
      </c>
      <c r="K28" s="4">
        <v>1.6999999999999999E-3</v>
      </c>
      <c r="L28" s="4">
        <v>3.1E-2</v>
      </c>
      <c r="M28" s="4">
        <v>0.23100000000000001</v>
      </c>
      <c r="N28" s="4">
        <v>-1.09E-2</v>
      </c>
      <c r="O28" s="4">
        <v>8.8000000000000005E-3</v>
      </c>
      <c r="P28" s="4">
        <v>132.72999999999999</v>
      </c>
      <c r="Q28" s="4">
        <v>1.53</v>
      </c>
      <c r="R28" s="4">
        <f t="shared" si="0"/>
        <v>0.27310699588477361</v>
      </c>
      <c r="S28" s="22">
        <f t="shared" si="1"/>
        <v>3.1481481481481482E-3</v>
      </c>
    </row>
    <row r="29" spans="1:19" ht="16">
      <c r="A29" s="28" t="s">
        <v>165</v>
      </c>
      <c r="B29" s="84">
        <v>112111111211</v>
      </c>
      <c r="C29" s="84"/>
      <c r="D29" s="85">
        <v>0.75</v>
      </c>
      <c r="E29" s="82">
        <v>12</v>
      </c>
      <c r="F29" s="82">
        <v>2</v>
      </c>
      <c r="G29" s="82">
        <v>18</v>
      </c>
      <c r="H29" s="30">
        <v>1.9133</v>
      </c>
      <c r="I29" s="4">
        <v>6.9999999999999999E-4</v>
      </c>
      <c r="J29" s="29">
        <v>-10.7005</v>
      </c>
      <c r="K29" s="4">
        <v>1.4E-3</v>
      </c>
      <c r="L29" s="4">
        <v>3.9E-2</v>
      </c>
      <c r="M29" s="4">
        <v>1.7999999999999999E-2</v>
      </c>
      <c r="N29" s="4">
        <v>-2.06E-2</v>
      </c>
      <c r="O29" s="4">
        <v>3.5000000000000001E-3</v>
      </c>
      <c r="P29" s="4">
        <v>130.29</v>
      </c>
      <c r="Q29" s="4">
        <v>0.94</v>
      </c>
      <c r="R29" s="29">
        <f t="shared" si="0"/>
        <v>0.26808641975308645</v>
      </c>
      <c r="S29" s="22">
        <f t="shared" si="1"/>
        <v>1.934156378600823E-3</v>
      </c>
    </row>
    <row r="30" spans="1:19" ht="16">
      <c r="A30" s="86" t="s">
        <v>166</v>
      </c>
      <c r="B30" s="87">
        <v>111111111122</v>
      </c>
      <c r="C30" s="87" t="s">
        <v>17</v>
      </c>
      <c r="D30" s="88">
        <v>0.25</v>
      </c>
      <c r="E30" s="82">
        <v>12</v>
      </c>
      <c r="F30" s="82">
        <v>2</v>
      </c>
      <c r="G30" s="82">
        <v>18</v>
      </c>
      <c r="H30" s="21">
        <v>4.9790999999999999</v>
      </c>
      <c r="I30" s="4">
        <v>5.0000000000000001E-4</v>
      </c>
      <c r="J30" s="20">
        <v>-27.961600000000001</v>
      </c>
      <c r="K30" s="4">
        <v>1E-3</v>
      </c>
      <c r="L30" s="4">
        <v>2.7E-2</v>
      </c>
      <c r="M30" s="4">
        <v>3.0000000000000001E-3</v>
      </c>
      <c r="N30" s="4">
        <v>-7.3000000000000001E-3</v>
      </c>
      <c r="O30" s="4">
        <v>2.9999999999999997E-4</v>
      </c>
      <c r="P30" s="4">
        <v>132.97</v>
      </c>
      <c r="Q30" s="4">
        <v>0.19</v>
      </c>
      <c r="R30" s="20">
        <f>P30*E30/G30^3</f>
        <v>0.27360082304526745</v>
      </c>
      <c r="S30" s="22">
        <f>Q30*E30/G30^3</f>
        <v>3.9094650205761324E-4</v>
      </c>
    </row>
    <row r="31" spans="1:19" ht="16">
      <c r="A31" s="89" t="s">
        <v>166</v>
      </c>
      <c r="B31" s="90">
        <v>111111111122</v>
      </c>
      <c r="C31" s="90" t="s">
        <v>17</v>
      </c>
      <c r="D31" s="91">
        <v>0.5</v>
      </c>
      <c r="E31" s="82">
        <v>12</v>
      </c>
      <c r="F31" s="82">
        <v>2</v>
      </c>
      <c r="G31" s="82">
        <v>18</v>
      </c>
      <c r="H31" s="36">
        <v>3.4712999999999998</v>
      </c>
      <c r="I31" s="39">
        <v>5.0000000000000001E-4</v>
      </c>
      <c r="J31" s="39">
        <v>-19.373200000000001</v>
      </c>
      <c r="K31" s="39">
        <v>1.5E-3</v>
      </c>
      <c r="L31" s="39">
        <v>3.6999999999999998E-2</v>
      </c>
      <c r="M31" s="39">
        <v>6.0000000000000001E-3</v>
      </c>
      <c r="N31" s="39">
        <v>-1.0800000000000001E-2</v>
      </c>
      <c r="O31" s="39">
        <v>6.9999999999999999E-4</v>
      </c>
      <c r="P31" s="39">
        <v>131.80000000000001</v>
      </c>
      <c r="Q31" s="39">
        <v>0.39</v>
      </c>
      <c r="R31" s="4">
        <f t="shared" si="0"/>
        <v>0.27119341563786009</v>
      </c>
      <c r="S31" s="22">
        <f>Q31*E31/G31^3</f>
        <v>8.0246913580246909E-4</v>
      </c>
    </row>
    <row r="32" spans="1:19" ht="16">
      <c r="A32" s="86" t="s">
        <v>167</v>
      </c>
      <c r="B32" s="87">
        <v>111112111112</v>
      </c>
      <c r="C32" s="87"/>
      <c r="D32" s="88">
        <v>0.25</v>
      </c>
      <c r="E32" s="82">
        <v>12</v>
      </c>
      <c r="F32" s="82">
        <v>2</v>
      </c>
      <c r="G32" s="82">
        <v>18</v>
      </c>
      <c r="H32" s="31">
        <v>4.9703999999999997</v>
      </c>
      <c r="I32" s="4">
        <v>2.0000000000000001E-4</v>
      </c>
      <c r="J32" s="20">
        <v>-27.964500000000001</v>
      </c>
      <c r="K32" s="4">
        <v>1.2999999999999999E-3</v>
      </c>
      <c r="L32" s="4">
        <v>2.5000000000000001E-2</v>
      </c>
      <c r="M32" s="4">
        <v>2E-3</v>
      </c>
      <c r="N32" s="4">
        <v>-7.4000000000000003E-3</v>
      </c>
      <c r="O32" s="4">
        <v>2.0000000000000001E-4</v>
      </c>
      <c r="P32" s="4">
        <v>133.13</v>
      </c>
      <c r="Q32" s="4">
        <v>0.08</v>
      </c>
      <c r="R32" s="20">
        <f>P32*E32/G32^3</f>
        <v>0.27393004115226338</v>
      </c>
      <c r="S32" s="22">
        <f>Q32*E32/G32^3</f>
        <v>1.6460905349794237E-4</v>
      </c>
    </row>
    <row r="33" spans="1:19" ht="16">
      <c r="A33" s="89" t="s">
        <v>167</v>
      </c>
      <c r="B33" s="90">
        <v>111112111112</v>
      </c>
      <c r="C33" s="90"/>
      <c r="D33" s="91">
        <v>0.5</v>
      </c>
      <c r="E33" s="82">
        <v>12</v>
      </c>
      <c r="F33" s="82">
        <v>2</v>
      </c>
      <c r="G33" s="82">
        <v>18</v>
      </c>
      <c r="H33" s="36">
        <v>3.4451000000000001</v>
      </c>
      <c r="I33" s="39">
        <v>6.9999999999999999E-4</v>
      </c>
      <c r="J33" s="39">
        <v>-19.323399999999999</v>
      </c>
      <c r="K33" s="39">
        <v>8.0000000000000004E-4</v>
      </c>
      <c r="L33" s="39">
        <v>0.03</v>
      </c>
      <c r="M33" s="39">
        <v>3.0000000000000001E-3</v>
      </c>
      <c r="N33" s="39">
        <v>-1.03E-2</v>
      </c>
      <c r="O33" s="39">
        <v>1E-4</v>
      </c>
      <c r="P33" s="39">
        <v>132.77000000000001</v>
      </c>
      <c r="Q33" s="39">
        <v>0.1</v>
      </c>
      <c r="R33" s="4">
        <f t="shared" si="0"/>
        <v>0.27318930041152267</v>
      </c>
      <c r="S33" s="22">
        <f>Q33*E33/G33^3</f>
        <v>2.0576131687242801E-4</v>
      </c>
    </row>
    <row r="34" spans="1:19" ht="16">
      <c r="A34" s="92" t="s">
        <v>167</v>
      </c>
      <c r="B34" s="93">
        <v>111112111112</v>
      </c>
      <c r="C34" s="93"/>
      <c r="D34" s="94">
        <v>0.75</v>
      </c>
      <c r="E34" s="82">
        <v>12</v>
      </c>
      <c r="F34" s="82">
        <v>2</v>
      </c>
      <c r="G34" s="82">
        <v>18</v>
      </c>
      <c r="H34" s="30">
        <v>1.9349000000000001</v>
      </c>
      <c r="I34" s="4">
        <v>4.0000000000000002E-4</v>
      </c>
      <c r="J34" s="29">
        <v>-10.8224</v>
      </c>
      <c r="K34" s="4">
        <v>5.9999999999999995E-4</v>
      </c>
      <c r="L34" s="4">
        <v>4.1000000000000002E-2</v>
      </c>
      <c r="M34" s="4">
        <v>1.0999999999999999E-2</v>
      </c>
      <c r="N34" s="4">
        <v>-2.01E-2</v>
      </c>
      <c r="O34" s="4">
        <v>1.1000000000000001E-3</v>
      </c>
      <c r="P34" s="4">
        <v>129.66999999999999</v>
      </c>
      <c r="Q34" s="4">
        <v>0.35</v>
      </c>
      <c r="R34" s="29">
        <f t="shared" si="0"/>
        <v>0.26681069958847736</v>
      </c>
      <c r="S34" s="22">
        <f t="shared" ref="S34" si="4">Q34*E34/G34^3</f>
        <v>7.2016460905349787E-4</v>
      </c>
    </row>
    <row r="35" spans="1:19" ht="16">
      <c r="A35" s="86" t="s">
        <v>168</v>
      </c>
      <c r="B35" s="87">
        <v>111111112121</v>
      </c>
      <c r="C35" s="87"/>
      <c r="D35" s="88">
        <v>0.25</v>
      </c>
      <c r="E35" s="82">
        <v>12</v>
      </c>
      <c r="F35" s="82">
        <v>2</v>
      </c>
      <c r="G35" s="82">
        <v>18</v>
      </c>
      <c r="H35" s="21">
        <v>4.9656000000000002</v>
      </c>
      <c r="I35" s="4">
        <v>1E-3</v>
      </c>
      <c r="J35" s="20">
        <v>-28.028099999999998</v>
      </c>
      <c r="K35" s="4">
        <v>1.5E-3</v>
      </c>
      <c r="L35" s="4">
        <v>2.4E-2</v>
      </c>
      <c r="M35" s="4">
        <v>4.0000000000000001E-3</v>
      </c>
      <c r="N35" s="4">
        <v>-7.4000000000000003E-3</v>
      </c>
      <c r="O35" s="4">
        <v>2.0000000000000001E-4</v>
      </c>
      <c r="P35" s="4">
        <v>133.1</v>
      </c>
      <c r="Q35" s="4">
        <v>0.18</v>
      </c>
      <c r="R35" s="20">
        <f>P35*E35/G35^3</f>
        <v>0.27386831275720164</v>
      </c>
      <c r="S35" s="22">
        <f>Q35*E35/G35^3</f>
        <v>3.7037037037037041E-4</v>
      </c>
    </row>
    <row r="36" spans="1:19" ht="16">
      <c r="A36" s="89" t="s">
        <v>168</v>
      </c>
      <c r="B36" s="90">
        <v>111111112121</v>
      </c>
      <c r="C36" s="90"/>
      <c r="D36" s="91">
        <v>0.5</v>
      </c>
      <c r="E36" s="82">
        <v>12</v>
      </c>
      <c r="F36" s="82">
        <v>2</v>
      </c>
      <c r="G36" s="82">
        <v>18</v>
      </c>
      <c r="H36" s="36">
        <v>3.4356</v>
      </c>
      <c r="I36" s="39">
        <v>8.9999999999999998E-4</v>
      </c>
      <c r="J36" s="39">
        <v>-19.471900000000002</v>
      </c>
      <c r="K36" s="39">
        <v>8.0000000000000004E-4</v>
      </c>
      <c r="L36" s="39">
        <v>4.2000000000000003E-2</v>
      </c>
      <c r="M36" s="39">
        <v>5.0000000000000001E-3</v>
      </c>
      <c r="N36" s="39">
        <v>-1.14E-2</v>
      </c>
      <c r="O36" s="39">
        <v>1.4E-3</v>
      </c>
      <c r="P36" s="39">
        <v>132.02000000000001</v>
      </c>
      <c r="Q36" s="39">
        <v>0.73</v>
      </c>
      <c r="R36" s="4">
        <f>P36*E36/G36^3</f>
        <v>0.27164609053497946</v>
      </c>
      <c r="S36" s="22">
        <f>Q36*E36/G36^3</f>
        <v>1.5020576131687243E-3</v>
      </c>
    </row>
    <row r="37" spans="1:19" ht="16">
      <c r="A37" s="92" t="s">
        <v>168</v>
      </c>
      <c r="B37" s="93">
        <v>111111112121</v>
      </c>
      <c r="C37" s="93"/>
      <c r="D37" s="94">
        <v>0.75</v>
      </c>
      <c r="E37" s="82">
        <v>12</v>
      </c>
      <c r="F37" s="82">
        <v>2</v>
      </c>
      <c r="G37" s="82">
        <v>18</v>
      </c>
      <c r="H37" s="30">
        <v>1.927</v>
      </c>
      <c r="I37" s="4">
        <v>5.0000000000000001E-4</v>
      </c>
      <c r="J37" s="29">
        <v>-11.176299999999999</v>
      </c>
      <c r="K37" s="4">
        <v>5.9999999999999995E-4</v>
      </c>
      <c r="L37" s="4">
        <v>0.09</v>
      </c>
      <c r="M37" s="4">
        <v>1.4E-2</v>
      </c>
      <c r="N37" s="4">
        <v>-2.5600000000000001E-2</v>
      </c>
      <c r="O37" s="4">
        <v>8.9999999999999998E-4</v>
      </c>
      <c r="P37" s="4">
        <v>124.78</v>
      </c>
      <c r="Q37" s="4">
        <v>0.45</v>
      </c>
      <c r="R37" s="29">
        <f t="shared" ref="R37" si="5">P37*E37/G37^3</f>
        <v>0.25674897119341566</v>
      </c>
      <c r="S37" s="22">
        <f t="shared" ref="S37" si="6">Q37*E37/G37^3</f>
        <v>9.2592592592592596E-4</v>
      </c>
    </row>
    <row r="38" spans="1:19" ht="16">
      <c r="A38" s="86" t="s">
        <v>169</v>
      </c>
      <c r="B38" s="87">
        <v>211111111112</v>
      </c>
      <c r="C38" s="87" t="s">
        <v>30</v>
      </c>
      <c r="D38" s="88">
        <v>0.25</v>
      </c>
      <c r="E38" s="82">
        <v>12</v>
      </c>
      <c r="F38" s="82">
        <v>2</v>
      </c>
      <c r="G38" s="82">
        <v>18</v>
      </c>
      <c r="H38" s="21">
        <v>4.9839000000000002</v>
      </c>
      <c r="I38" s="4">
        <v>6.9999999999999999E-4</v>
      </c>
      <c r="J38" s="20">
        <v>-27.979800000000001</v>
      </c>
      <c r="K38" s="4">
        <v>5.9999999999999995E-4</v>
      </c>
      <c r="L38" s="4">
        <v>2.8000000000000001E-2</v>
      </c>
      <c r="M38" s="4">
        <v>5.0000000000000001E-3</v>
      </c>
      <c r="N38" s="4">
        <v>-7.4999999999999997E-3</v>
      </c>
      <c r="O38" s="4">
        <v>2.0000000000000001E-4</v>
      </c>
      <c r="P38" s="4">
        <v>132.94999999999999</v>
      </c>
      <c r="Q38" s="4">
        <v>0.19</v>
      </c>
      <c r="R38" s="20">
        <f>P38*E38/G38^3</f>
        <v>0.27355967078189297</v>
      </c>
      <c r="S38" s="22">
        <f>Q38*E38/G38^3</f>
        <v>3.9094650205761324E-4</v>
      </c>
    </row>
    <row r="39" spans="1:19" ht="16">
      <c r="A39" s="89" t="s">
        <v>169</v>
      </c>
      <c r="B39" s="90">
        <v>211111111112</v>
      </c>
      <c r="C39" s="90" t="s">
        <v>30</v>
      </c>
      <c r="D39" s="91">
        <v>0.5</v>
      </c>
      <c r="E39" s="82">
        <v>12</v>
      </c>
      <c r="F39" s="82">
        <v>2</v>
      </c>
      <c r="G39" s="82">
        <v>18</v>
      </c>
      <c r="H39" s="24">
        <v>3.4744000000000002</v>
      </c>
      <c r="I39" s="4">
        <v>6.9999999999999999E-4</v>
      </c>
      <c r="J39" s="4">
        <v>-19.357099999999999</v>
      </c>
      <c r="K39" s="4">
        <v>8.0000000000000004E-4</v>
      </c>
      <c r="L39" s="4">
        <v>2.8000000000000001E-2</v>
      </c>
      <c r="M39" s="4">
        <v>5.0000000000000001E-3</v>
      </c>
      <c r="N39" s="4">
        <v>-1.04E-2</v>
      </c>
      <c r="O39" s="4">
        <v>4.0000000000000002E-4</v>
      </c>
      <c r="P39" s="4">
        <v>132.56</v>
      </c>
      <c r="Q39" s="4">
        <v>0.18</v>
      </c>
      <c r="R39" s="4">
        <f t="shared" ref="R39:R41" si="7">P39*E39/G39^3</f>
        <v>0.27275720164609052</v>
      </c>
      <c r="S39" s="22">
        <f t="shared" ref="S39:S41" si="8">Q39*E39/G39^3</f>
        <v>3.7037037037037041E-4</v>
      </c>
    </row>
    <row r="40" spans="1:19" ht="16">
      <c r="A40" s="86" t="s">
        <v>170</v>
      </c>
      <c r="B40" s="87">
        <v>111112211111</v>
      </c>
      <c r="C40" s="87" t="s">
        <v>19</v>
      </c>
      <c r="D40" s="88">
        <v>0.25</v>
      </c>
      <c r="E40" s="82">
        <v>12</v>
      </c>
      <c r="F40" s="82">
        <v>2</v>
      </c>
      <c r="G40" s="82">
        <v>18</v>
      </c>
      <c r="H40" s="21">
        <v>4.9562999999999997</v>
      </c>
      <c r="I40" s="4">
        <v>5.9999999999999995E-4</v>
      </c>
      <c r="J40" s="20">
        <v>-27.9115</v>
      </c>
      <c r="K40" s="4">
        <v>2.9999999999999997E-4</v>
      </c>
      <c r="L40" s="4">
        <v>0.03</v>
      </c>
      <c r="M40" s="4">
        <v>3.0000000000000001E-3</v>
      </c>
      <c r="N40" s="4">
        <v>-7.4999999999999997E-3</v>
      </c>
      <c r="O40" s="4">
        <v>2.9999999999999997E-4</v>
      </c>
      <c r="P40" s="4">
        <v>133.02000000000001</v>
      </c>
      <c r="Q40" s="4">
        <v>0.23</v>
      </c>
      <c r="R40" s="20">
        <f>P40*E40/G40^3</f>
        <v>0.27370370370370373</v>
      </c>
      <c r="S40" s="22">
        <f>Q40*E40/G40^3</f>
        <v>4.732510288065844E-4</v>
      </c>
    </row>
    <row r="41" spans="1:19" ht="17" thickBot="1">
      <c r="A41" s="89" t="s">
        <v>170</v>
      </c>
      <c r="B41" s="90">
        <v>111112211111</v>
      </c>
      <c r="C41" s="90" t="s">
        <v>19</v>
      </c>
      <c r="D41" s="91">
        <v>0.5</v>
      </c>
      <c r="E41" s="82">
        <v>12</v>
      </c>
      <c r="F41" s="82">
        <v>2</v>
      </c>
      <c r="G41" s="82">
        <v>18</v>
      </c>
      <c r="H41" s="24">
        <v>3.4184999999999999</v>
      </c>
      <c r="I41" s="4">
        <v>6.9999999999999999E-4</v>
      </c>
      <c r="J41" s="4">
        <v>-19.243500000000001</v>
      </c>
      <c r="K41" s="4">
        <v>1.8E-3</v>
      </c>
      <c r="L41" s="4">
        <v>5.6000000000000001E-2</v>
      </c>
      <c r="M41" s="4">
        <v>1.4999999999999999E-2</v>
      </c>
      <c r="N41" s="4">
        <v>-1.2500000000000001E-2</v>
      </c>
      <c r="O41" s="4">
        <v>5.9999999999999995E-4</v>
      </c>
      <c r="P41" s="4">
        <v>131.81</v>
      </c>
      <c r="Q41" s="4">
        <v>0.8</v>
      </c>
      <c r="R41" s="4">
        <f t="shared" si="7"/>
        <v>0.2712139917695473</v>
      </c>
      <c r="S41" s="22">
        <f t="shared" si="8"/>
        <v>1.6460905349794241E-3</v>
      </c>
    </row>
    <row r="42" spans="1:19" ht="17" thickTop="1">
      <c r="A42" s="27" t="s">
        <v>171</v>
      </c>
      <c r="B42" s="73">
        <v>112111211121</v>
      </c>
      <c r="C42" s="62"/>
      <c r="D42" s="63">
        <v>0.25</v>
      </c>
      <c r="E42" s="69">
        <v>12</v>
      </c>
      <c r="F42" s="69">
        <v>3</v>
      </c>
      <c r="G42" s="69">
        <v>18</v>
      </c>
      <c r="H42" s="12">
        <v>5.0743999999999998</v>
      </c>
      <c r="I42" s="7">
        <v>5.0000000000000001E-4</v>
      </c>
      <c r="J42" s="5">
        <v>-28.570599999999999</v>
      </c>
      <c r="K42" s="7">
        <v>1.5E-3</v>
      </c>
      <c r="L42" s="7">
        <v>2.1000000000000001E-2</v>
      </c>
      <c r="M42" s="7">
        <v>4.0000000000000001E-3</v>
      </c>
      <c r="N42" s="7">
        <v>-7.1999999999999998E-3</v>
      </c>
      <c r="O42" s="7">
        <v>2.9999999999999997E-4</v>
      </c>
      <c r="P42" s="7">
        <v>133.16999999999999</v>
      </c>
      <c r="Q42" s="7">
        <v>0.1</v>
      </c>
      <c r="R42" s="5">
        <f>P42*E42/G42^3</f>
        <v>0.27401234567901234</v>
      </c>
      <c r="S42" s="18">
        <f>Q42*E42/G42^3</f>
        <v>2.0576131687242801E-4</v>
      </c>
    </row>
    <row r="43" spans="1:19" ht="16">
      <c r="A43" s="23" t="s">
        <v>171</v>
      </c>
      <c r="B43" s="82">
        <v>112111211121</v>
      </c>
      <c r="C43" s="82"/>
      <c r="D43" s="83">
        <v>0.5</v>
      </c>
      <c r="E43" s="82">
        <v>12</v>
      </c>
      <c r="F43" s="82">
        <v>3</v>
      </c>
      <c r="G43" s="82">
        <v>18</v>
      </c>
      <c r="H43" s="24">
        <v>3.6534</v>
      </c>
      <c r="I43" s="4">
        <v>5.0000000000000001E-4</v>
      </c>
      <c r="J43" s="4">
        <v>-20.550699999999999</v>
      </c>
      <c r="K43" s="4">
        <v>1E-3</v>
      </c>
      <c r="L43" s="4">
        <v>3.1E-2</v>
      </c>
      <c r="M43" s="4">
        <v>6.0000000000000001E-3</v>
      </c>
      <c r="N43" s="4">
        <v>-1.0200000000000001E-2</v>
      </c>
      <c r="O43" s="4">
        <v>2.9999999999999997E-4</v>
      </c>
      <c r="P43" s="4">
        <v>132.49</v>
      </c>
      <c r="Q43" s="4">
        <v>0.24</v>
      </c>
      <c r="R43" s="4">
        <f t="shared" si="0"/>
        <v>0.27261316872427988</v>
      </c>
      <c r="S43" s="22">
        <f t="shared" si="1"/>
        <v>4.9382716049382717E-4</v>
      </c>
    </row>
    <row r="44" spans="1:19" ht="16">
      <c r="A44" s="28" t="s">
        <v>171</v>
      </c>
      <c r="B44" s="84">
        <v>112111211121</v>
      </c>
      <c r="C44" s="84"/>
      <c r="D44" s="85">
        <v>0.75</v>
      </c>
      <c r="E44" s="82">
        <v>12</v>
      </c>
      <c r="F44" s="82">
        <v>3</v>
      </c>
      <c r="G44" s="82">
        <v>18</v>
      </c>
      <c r="H44" s="30">
        <v>2.2433000000000001</v>
      </c>
      <c r="I44" s="4">
        <v>5.9999999999999995E-4</v>
      </c>
      <c r="J44" s="29">
        <v>-12.6937</v>
      </c>
      <c r="K44" s="4">
        <v>8.9999999999999998E-4</v>
      </c>
      <c r="L44" s="4">
        <v>4.1000000000000002E-2</v>
      </c>
      <c r="M44" s="4">
        <v>1.0999999999999999E-2</v>
      </c>
      <c r="N44" s="4">
        <v>-1.9599999999999999E-2</v>
      </c>
      <c r="O44" s="4">
        <v>6.9999999999999999E-4</v>
      </c>
      <c r="P44" s="4">
        <v>128.53</v>
      </c>
      <c r="Q44" s="4">
        <v>0.2</v>
      </c>
      <c r="R44" s="29">
        <f t="shared" si="0"/>
        <v>0.26446502057613169</v>
      </c>
      <c r="S44" s="22">
        <f t="shared" si="1"/>
        <v>4.1152263374485601E-4</v>
      </c>
    </row>
    <row r="45" spans="1:19" ht="16">
      <c r="A45" s="19" t="s">
        <v>172</v>
      </c>
      <c r="B45" s="80">
        <v>111212111121</v>
      </c>
      <c r="C45" s="80"/>
      <c r="D45" s="88">
        <v>0.25</v>
      </c>
      <c r="E45" s="82">
        <v>12</v>
      </c>
      <c r="F45" s="82">
        <v>3</v>
      </c>
      <c r="G45" s="82">
        <v>18</v>
      </c>
      <c r="H45" s="21">
        <v>5.0704000000000002</v>
      </c>
      <c r="I45" s="4">
        <v>4.0000000000000002E-4</v>
      </c>
      <c r="J45" s="20">
        <v>-28.615200000000002</v>
      </c>
      <c r="K45" s="4">
        <v>8.0000000000000004E-4</v>
      </c>
      <c r="L45" s="4">
        <v>2.8000000000000001E-2</v>
      </c>
      <c r="M45" s="4">
        <v>4.0000000000000001E-3</v>
      </c>
      <c r="N45" s="4">
        <v>-7.1000000000000004E-3</v>
      </c>
      <c r="O45" s="4">
        <v>1E-4</v>
      </c>
      <c r="P45" s="4">
        <v>133.19</v>
      </c>
      <c r="Q45" s="4">
        <v>0.13</v>
      </c>
      <c r="R45" s="20">
        <f>P45*E45/G45^3</f>
        <v>0.27405349794238681</v>
      </c>
      <c r="S45" s="22">
        <f>Q45*E45/G45^3</f>
        <v>2.6748971193415636E-4</v>
      </c>
    </row>
    <row r="46" spans="1:19" ht="16">
      <c r="A46" s="23" t="s">
        <v>172</v>
      </c>
      <c r="B46" s="82">
        <v>111212111121</v>
      </c>
      <c r="C46" s="82"/>
      <c r="D46" s="83">
        <v>0.5</v>
      </c>
      <c r="E46" s="82">
        <v>12</v>
      </c>
      <c r="F46" s="82">
        <v>3</v>
      </c>
      <c r="G46" s="82">
        <v>18</v>
      </c>
      <c r="H46" s="24">
        <v>3.6463000000000001</v>
      </c>
      <c r="I46" s="4">
        <v>6.9999999999999999E-4</v>
      </c>
      <c r="J46" s="4">
        <v>-20.651800000000001</v>
      </c>
      <c r="K46" s="4">
        <v>2.0999999999999999E-3</v>
      </c>
      <c r="L46" s="4">
        <v>6.4000000000000001E-2</v>
      </c>
      <c r="M46" s="4">
        <v>0.01</v>
      </c>
      <c r="N46" s="4">
        <v>-9.5999999999999992E-3</v>
      </c>
      <c r="O46" s="4">
        <v>1.6000000000000001E-3</v>
      </c>
      <c r="P46" s="4">
        <v>132.72999999999999</v>
      </c>
      <c r="Q46" s="4">
        <v>0.53</v>
      </c>
      <c r="R46" s="4">
        <f t="shared" si="0"/>
        <v>0.27310699588477361</v>
      </c>
      <c r="S46" s="22">
        <f t="shared" si="1"/>
        <v>1.0905349794238684E-3</v>
      </c>
    </row>
    <row r="47" spans="1:19" ht="16">
      <c r="A47" s="28" t="s">
        <v>172</v>
      </c>
      <c r="B47" s="84">
        <v>111212111121</v>
      </c>
      <c r="C47" s="84"/>
      <c r="D47" s="85">
        <v>0.75</v>
      </c>
      <c r="E47" s="82">
        <v>12</v>
      </c>
      <c r="F47" s="82">
        <v>3</v>
      </c>
      <c r="G47" s="82">
        <v>18</v>
      </c>
      <c r="H47" s="30">
        <v>2.2326000000000001</v>
      </c>
      <c r="I47" s="4">
        <v>5.9999999999999995E-4</v>
      </c>
      <c r="J47" s="29">
        <v>-12.9072</v>
      </c>
      <c r="K47" s="4">
        <v>1.6000000000000001E-3</v>
      </c>
      <c r="L47" s="4">
        <v>6.7000000000000004E-2</v>
      </c>
      <c r="M47" s="4">
        <v>0.16</v>
      </c>
      <c r="N47" s="4">
        <v>-2.01E-2</v>
      </c>
      <c r="O47" s="4">
        <v>1.04E-2</v>
      </c>
      <c r="P47" s="4">
        <v>127.15</v>
      </c>
      <c r="Q47" s="4">
        <v>1.59</v>
      </c>
      <c r="R47" s="29">
        <f t="shared" si="0"/>
        <v>0.26162551440329224</v>
      </c>
      <c r="S47" s="22">
        <f t="shared" si="1"/>
        <v>3.2716049382716054E-3</v>
      </c>
    </row>
    <row r="48" spans="1:19" ht="16">
      <c r="A48" s="19" t="s">
        <v>173</v>
      </c>
      <c r="B48" s="80">
        <v>111121212111</v>
      </c>
      <c r="C48" s="80"/>
      <c r="D48" s="88">
        <v>0.25</v>
      </c>
      <c r="E48" s="82">
        <v>12</v>
      </c>
      <c r="F48" s="82">
        <v>3</v>
      </c>
      <c r="G48" s="82">
        <v>18</v>
      </c>
      <c r="H48" s="21">
        <v>5.0593000000000004</v>
      </c>
      <c r="I48" s="4">
        <v>2.9999999999999997E-4</v>
      </c>
      <c r="J48" s="20">
        <v>-28.6904</v>
      </c>
      <c r="K48" s="4">
        <v>8.9999999999999998E-4</v>
      </c>
      <c r="L48" s="4">
        <v>2.5000000000000001E-2</v>
      </c>
      <c r="M48" s="4">
        <v>2E-3</v>
      </c>
      <c r="N48" s="4">
        <v>-7.3000000000000001E-3</v>
      </c>
      <c r="O48" s="4">
        <v>2.0000000000000001E-4</v>
      </c>
      <c r="P48" s="4">
        <v>133.16999999999999</v>
      </c>
      <c r="Q48" s="4">
        <v>0.14000000000000001</v>
      </c>
      <c r="R48" s="20">
        <f>P48*E48/G48^3</f>
        <v>0.27401234567901234</v>
      </c>
      <c r="S48" s="22">
        <f>Q48*E48/G48^3</f>
        <v>2.8806584362139919E-4</v>
      </c>
    </row>
    <row r="49" spans="1:19" ht="16">
      <c r="A49" s="23" t="s">
        <v>173</v>
      </c>
      <c r="B49" s="82">
        <v>111121212111</v>
      </c>
      <c r="C49" s="82"/>
      <c r="D49" s="83">
        <v>0.5</v>
      </c>
      <c r="E49" s="82">
        <v>12</v>
      </c>
      <c r="F49" s="82">
        <v>3</v>
      </c>
      <c r="G49" s="82">
        <v>18</v>
      </c>
      <c r="H49" s="24">
        <v>3.6208999999999998</v>
      </c>
      <c r="I49" s="4">
        <v>8.9999999999999998E-4</v>
      </c>
      <c r="J49" s="4">
        <v>-20.83</v>
      </c>
      <c r="K49" s="4">
        <v>5.9999999999999995E-4</v>
      </c>
      <c r="L49" s="4">
        <v>0.05</v>
      </c>
      <c r="M49" s="4">
        <v>2E-3</v>
      </c>
      <c r="N49" s="4">
        <v>-1.0699999999999999E-2</v>
      </c>
      <c r="O49" s="4">
        <v>2.0000000000000001E-4</v>
      </c>
      <c r="P49" s="4">
        <v>132.01</v>
      </c>
      <c r="Q49" s="4">
        <v>0.28999999999999998</v>
      </c>
      <c r="R49" s="4">
        <f t="shared" si="0"/>
        <v>0.27162551440329219</v>
      </c>
      <c r="S49" s="22">
        <f t="shared" si="1"/>
        <v>5.9670781893004111E-4</v>
      </c>
    </row>
    <row r="50" spans="1:19" ht="16">
      <c r="A50" s="28" t="s">
        <v>173</v>
      </c>
      <c r="B50" s="84">
        <v>111121212111</v>
      </c>
      <c r="C50" s="84"/>
      <c r="D50" s="85">
        <v>0.75</v>
      </c>
      <c r="E50" s="82">
        <v>12</v>
      </c>
      <c r="F50" s="82">
        <v>3</v>
      </c>
      <c r="G50" s="82">
        <v>18</v>
      </c>
      <c r="H50" s="30">
        <v>2.1806999999999999</v>
      </c>
      <c r="I50" s="4">
        <v>2.9999999999999997E-4</v>
      </c>
      <c r="J50" s="29">
        <v>-13.3437</v>
      </c>
      <c r="K50" s="4">
        <v>6.9999999999999999E-4</v>
      </c>
      <c r="L50" s="4">
        <v>0.14599999999999999</v>
      </c>
      <c r="M50" s="4">
        <v>1.6E-2</v>
      </c>
      <c r="N50" s="4">
        <v>-2.5100000000000001E-2</v>
      </c>
      <c r="O50" s="4">
        <v>1.5E-3</v>
      </c>
      <c r="P50" s="4">
        <v>122.18</v>
      </c>
      <c r="Q50" s="4">
        <v>0.55000000000000004</v>
      </c>
      <c r="R50" s="29">
        <f t="shared" si="0"/>
        <v>0.25139917695473252</v>
      </c>
      <c r="S50" s="22">
        <f t="shared" si="1"/>
        <v>1.131687242798354E-3</v>
      </c>
    </row>
    <row r="51" spans="1:19" ht="16">
      <c r="A51" s="19" t="s">
        <v>174</v>
      </c>
      <c r="B51" s="80">
        <v>111211112112</v>
      </c>
      <c r="C51" s="80"/>
      <c r="D51" s="88">
        <v>0.25</v>
      </c>
      <c r="E51" s="82">
        <v>12</v>
      </c>
      <c r="F51" s="82">
        <v>3</v>
      </c>
      <c r="G51" s="82">
        <v>18</v>
      </c>
      <c r="H51" s="21">
        <v>5.0869</v>
      </c>
      <c r="I51" s="4">
        <v>8.9999999999999998E-4</v>
      </c>
      <c r="J51" s="20">
        <v>-28.6068</v>
      </c>
      <c r="K51" s="4">
        <v>9.1999999999999998E-3</v>
      </c>
      <c r="L51" s="4">
        <v>0.106</v>
      </c>
      <c r="M51" s="4">
        <v>0.13900000000000001</v>
      </c>
      <c r="N51" s="4">
        <v>-6.4999999999999997E-3</v>
      </c>
      <c r="O51" s="4">
        <v>3.3E-3</v>
      </c>
      <c r="P51" s="4">
        <v>133.43</v>
      </c>
      <c r="Q51" s="4">
        <v>1.2</v>
      </c>
      <c r="R51" s="20">
        <f>P51*E51/G51^3</f>
        <v>0.27454732510288066</v>
      </c>
      <c r="S51" s="22">
        <f>Q51*E51/G51^3</f>
        <v>2.4691358024691358E-3</v>
      </c>
    </row>
    <row r="52" spans="1:19" ht="16">
      <c r="A52" s="23" t="s">
        <v>174</v>
      </c>
      <c r="B52" s="82">
        <v>111211112112</v>
      </c>
      <c r="C52" s="82"/>
      <c r="D52" s="83">
        <v>0.5</v>
      </c>
      <c r="E52" s="82">
        <v>12</v>
      </c>
      <c r="F52" s="82">
        <v>3</v>
      </c>
      <c r="G52" s="82">
        <v>18</v>
      </c>
      <c r="H52" s="24">
        <v>3.6716000000000002</v>
      </c>
      <c r="I52" s="4">
        <v>5.9999999999999995E-4</v>
      </c>
      <c r="J52" s="4">
        <v>-20.652000000000001</v>
      </c>
      <c r="K52" s="4">
        <v>2.2000000000000001E-3</v>
      </c>
      <c r="L52" s="4">
        <v>6.9000000000000006E-2</v>
      </c>
      <c r="M52" s="4">
        <v>1.2E-2</v>
      </c>
      <c r="N52" s="4">
        <v>-1.15E-2</v>
      </c>
      <c r="O52" s="4">
        <v>8.9999999999999998E-4</v>
      </c>
      <c r="P52" s="4">
        <v>131.55000000000001</v>
      </c>
      <c r="Q52" s="4">
        <v>0.52</v>
      </c>
      <c r="R52" s="4">
        <f t="shared" si="0"/>
        <v>0.27067901234567904</v>
      </c>
      <c r="S52" s="22">
        <f t="shared" si="1"/>
        <v>1.0699588477366254E-3</v>
      </c>
    </row>
    <row r="53" spans="1:19" ht="16">
      <c r="A53" s="28" t="s">
        <v>174</v>
      </c>
      <c r="B53" s="84">
        <v>111211112112</v>
      </c>
      <c r="C53" s="84"/>
      <c r="D53" s="85">
        <v>0.75</v>
      </c>
      <c r="E53" s="82">
        <v>12</v>
      </c>
      <c r="F53" s="82">
        <v>3</v>
      </c>
      <c r="G53" s="82">
        <v>18</v>
      </c>
      <c r="H53" s="30">
        <v>2.2732000000000001</v>
      </c>
      <c r="I53" s="4">
        <v>4.0000000000000002E-4</v>
      </c>
      <c r="J53" s="29">
        <v>-12.9057</v>
      </c>
      <c r="K53" s="4">
        <v>4.0000000000000002E-4</v>
      </c>
      <c r="L53" s="4">
        <v>5.0999999999999997E-2</v>
      </c>
      <c r="M53" s="4">
        <v>6.0000000000000001E-3</v>
      </c>
      <c r="N53" s="4">
        <v>-2.0500000000000001E-2</v>
      </c>
      <c r="O53" s="4">
        <v>8.0000000000000004E-4</v>
      </c>
      <c r="P53" s="4">
        <v>125.75</v>
      </c>
      <c r="Q53" s="4">
        <v>0.36</v>
      </c>
      <c r="R53" s="29">
        <f t="shared" si="0"/>
        <v>0.25874485596707819</v>
      </c>
      <c r="S53" s="22">
        <f t="shared" si="1"/>
        <v>7.4074074074074081E-4</v>
      </c>
    </row>
    <row r="54" spans="1:19" ht="16">
      <c r="A54" s="19" t="s">
        <v>175</v>
      </c>
      <c r="B54" s="80">
        <v>112121111121</v>
      </c>
      <c r="C54" s="80"/>
      <c r="D54" s="88">
        <v>0.25</v>
      </c>
      <c r="E54" s="82">
        <v>12</v>
      </c>
      <c r="F54" s="82">
        <v>3</v>
      </c>
      <c r="G54" s="82">
        <v>18</v>
      </c>
      <c r="H54" s="21">
        <v>5.0751999999999997</v>
      </c>
      <c r="I54" s="4">
        <v>2.0000000000000001E-4</v>
      </c>
      <c r="J54" s="20">
        <v>-28.610900000000001</v>
      </c>
      <c r="K54" s="4">
        <v>6.9999999999999999E-4</v>
      </c>
      <c r="L54" s="4">
        <v>2.5999999999999999E-2</v>
      </c>
      <c r="M54" s="4">
        <v>3.0000000000000001E-3</v>
      </c>
      <c r="N54" s="4">
        <v>-7.1999999999999998E-3</v>
      </c>
      <c r="O54" s="4">
        <v>2.9999999999999997E-4</v>
      </c>
      <c r="P54" s="4">
        <v>133.15</v>
      </c>
      <c r="Q54" s="4">
        <v>0.27</v>
      </c>
      <c r="R54" s="20">
        <f>P54*E54/G54^3</f>
        <v>0.27397119341563791</v>
      </c>
      <c r="S54" s="22">
        <f>Q54*E54/G54^3</f>
        <v>5.5555555555555556E-4</v>
      </c>
    </row>
    <row r="55" spans="1:19" ht="16">
      <c r="A55" s="23" t="s">
        <v>175</v>
      </c>
      <c r="B55" s="82">
        <v>112121111121</v>
      </c>
      <c r="C55" s="82"/>
      <c r="D55" s="83">
        <v>0.5</v>
      </c>
      <c r="E55" s="82">
        <v>12</v>
      </c>
      <c r="F55" s="82">
        <v>3</v>
      </c>
      <c r="G55" s="82">
        <v>18</v>
      </c>
      <c r="H55" s="24">
        <v>3.6558999999999999</v>
      </c>
      <c r="I55" s="4">
        <v>5.0000000000000001E-4</v>
      </c>
      <c r="J55" s="4">
        <v>-20.6448</v>
      </c>
      <c r="K55" s="4">
        <v>2.9999999999999997E-4</v>
      </c>
      <c r="L55" s="4">
        <v>3.4000000000000002E-2</v>
      </c>
      <c r="M55" s="4">
        <v>7.0000000000000001E-3</v>
      </c>
      <c r="N55" s="4">
        <v>-1.0500000000000001E-2</v>
      </c>
      <c r="O55" s="4">
        <v>4.0000000000000002E-4</v>
      </c>
      <c r="P55" s="4">
        <v>132.25</v>
      </c>
      <c r="Q55" s="4">
        <v>0.35</v>
      </c>
      <c r="R55" s="4">
        <f t="shared" si="0"/>
        <v>0.27211934156378603</v>
      </c>
      <c r="S55" s="22">
        <f t="shared" si="1"/>
        <v>7.2016460905349787E-4</v>
      </c>
    </row>
    <row r="56" spans="1:19" ht="16">
      <c r="A56" s="28" t="s">
        <v>175</v>
      </c>
      <c r="B56" s="84">
        <v>112121111121</v>
      </c>
      <c r="C56" s="84"/>
      <c r="D56" s="85">
        <v>0.75</v>
      </c>
      <c r="E56" s="82">
        <v>12</v>
      </c>
      <c r="F56" s="82">
        <v>3</v>
      </c>
      <c r="G56" s="82">
        <v>18</v>
      </c>
      <c r="H56" s="30">
        <v>2.2519</v>
      </c>
      <c r="I56" s="4">
        <v>4.0000000000000002E-4</v>
      </c>
      <c r="J56" s="29">
        <v>-12.8919</v>
      </c>
      <c r="K56" s="4">
        <v>4.0000000000000002E-4</v>
      </c>
      <c r="L56" s="4">
        <v>4.9000000000000002E-2</v>
      </c>
      <c r="M56" s="4">
        <v>1.2E-2</v>
      </c>
      <c r="N56" s="4">
        <v>-2.0299999999999999E-2</v>
      </c>
      <c r="O56" s="4">
        <v>1.6999999999999999E-3</v>
      </c>
      <c r="P56" s="4">
        <v>126.71</v>
      </c>
      <c r="Q56" s="4">
        <v>0.6</v>
      </c>
      <c r="R56" s="29">
        <f t="shared" si="0"/>
        <v>0.26072016460905351</v>
      </c>
      <c r="S56" s="22">
        <f t="shared" si="1"/>
        <v>1.2345679012345679E-3</v>
      </c>
    </row>
    <row r="57" spans="1:19" ht="16">
      <c r="A57" s="19" t="s">
        <v>176</v>
      </c>
      <c r="B57" s="80">
        <v>111112112121</v>
      </c>
      <c r="C57" s="80"/>
      <c r="D57" s="88">
        <v>0.25</v>
      </c>
      <c r="E57" s="82">
        <v>12</v>
      </c>
      <c r="F57" s="82">
        <v>3</v>
      </c>
      <c r="G57" s="82">
        <v>18</v>
      </c>
      <c r="H57" s="21">
        <v>5.0697000000000001</v>
      </c>
      <c r="I57" s="4">
        <v>2.9999999999999997E-4</v>
      </c>
      <c r="J57" s="20">
        <v>-28.667200000000001</v>
      </c>
      <c r="K57" s="4">
        <v>8.9999999999999998E-4</v>
      </c>
      <c r="L57" s="4">
        <v>3.1E-2</v>
      </c>
      <c r="M57" s="4">
        <v>3.0000000000000001E-3</v>
      </c>
      <c r="N57" s="4">
        <v>-7.3000000000000001E-3</v>
      </c>
      <c r="O57" s="4">
        <v>2.0000000000000001E-4</v>
      </c>
      <c r="P57" s="4">
        <v>132.97999999999999</v>
      </c>
      <c r="Q57" s="4">
        <v>0.08</v>
      </c>
      <c r="R57" s="20">
        <f>P57*E57/G57^3</f>
        <v>0.27362139917695472</v>
      </c>
      <c r="S57" s="22">
        <f>Q57*E57/G57^3</f>
        <v>1.6460905349794237E-4</v>
      </c>
    </row>
    <row r="58" spans="1:19" ht="16">
      <c r="A58" s="23" t="s">
        <v>176</v>
      </c>
      <c r="B58" s="82">
        <v>111112112121</v>
      </c>
      <c r="C58" s="82"/>
      <c r="D58" s="83">
        <v>0.5</v>
      </c>
      <c r="E58" s="82">
        <v>12</v>
      </c>
      <c r="F58" s="82">
        <v>3</v>
      </c>
      <c r="G58" s="82">
        <v>18</v>
      </c>
      <c r="H58" s="24">
        <v>3.6431</v>
      </c>
      <c r="I58" s="4">
        <v>4.0000000000000002E-4</v>
      </c>
      <c r="J58" s="4">
        <v>-20.776800000000001</v>
      </c>
      <c r="K58" s="4">
        <v>4.0000000000000002E-4</v>
      </c>
      <c r="L58" s="4">
        <v>4.7E-2</v>
      </c>
      <c r="M58" s="4">
        <v>8.9999999999999993E-3</v>
      </c>
      <c r="N58" s="4">
        <v>-1.03E-2</v>
      </c>
      <c r="O58" s="4">
        <v>5.9999999999999995E-4</v>
      </c>
      <c r="P58" s="4">
        <v>131.94</v>
      </c>
      <c r="Q58" s="4">
        <v>0.19</v>
      </c>
      <c r="R58" s="4">
        <f t="shared" si="0"/>
        <v>0.27148148148148149</v>
      </c>
      <c r="S58" s="22">
        <f t="shared" si="1"/>
        <v>3.9094650205761324E-4</v>
      </c>
    </row>
    <row r="59" spans="1:19" ht="16">
      <c r="A59" s="28" t="s">
        <v>176</v>
      </c>
      <c r="B59" s="84">
        <v>111112112121</v>
      </c>
      <c r="C59" s="84"/>
      <c r="D59" s="85">
        <v>0.75</v>
      </c>
      <c r="E59" s="82">
        <v>12</v>
      </c>
      <c r="F59" s="82">
        <v>3</v>
      </c>
      <c r="G59" s="82">
        <v>18</v>
      </c>
      <c r="H59" s="30">
        <v>2.2187999999999999</v>
      </c>
      <c r="I59" s="4">
        <v>8.0000000000000004E-4</v>
      </c>
      <c r="J59" s="29">
        <v>-13.2127</v>
      </c>
      <c r="K59" s="4">
        <v>2.0999999999999999E-3</v>
      </c>
      <c r="L59" s="4">
        <v>0.115</v>
      </c>
      <c r="M59" s="4">
        <v>2.5000000000000001E-2</v>
      </c>
      <c r="N59" s="4">
        <v>-2.46E-2</v>
      </c>
      <c r="O59" s="4">
        <v>1.9E-3</v>
      </c>
      <c r="P59" s="4">
        <v>121.58</v>
      </c>
      <c r="Q59" s="4">
        <v>0.9</v>
      </c>
      <c r="R59" s="29">
        <f t="shared" si="0"/>
        <v>0.25016460905349797</v>
      </c>
      <c r="S59" s="22">
        <f t="shared" si="1"/>
        <v>1.8518518518518519E-3</v>
      </c>
    </row>
    <row r="60" spans="1:19" ht="16">
      <c r="A60" s="19" t="s">
        <v>177</v>
      </c>
      <c r="B60" s="80">
        <v>211111121112</v>
      </c>
      <c r="C60" s="80"/>
      <c r="D60" s="88">
        <v>0.25</v>
      </c>
      <c r="E60" s="82">
        <v>12</v>
      </c>
      <c r="F60" s="82">
        <v>3</v>
      </c>
      <c r="G60" s="82">
        <v>18</v>
      </c>
      <c r="H60" s="21">
        <v>5.1013999999999999</v>
      </c>
      <c r="I60" s="4">
        <v>2.0000000000000001E-4</v>
      </c>
      <c r="J60" s="20">
        <v>-28.6112</v>
      </c>
      <c r="K60" s="4">
        <v>1.1000000000000001E-3</v>
      </c>
      <c r="L60" s="4">
        <v>2.4E-2</v>
      </c>
      <c r="M60" s="4">
        <v>3.0000000000000001E-3</v>
      </c>
      <c r="N60" s="4">
        <v>-7.1000000000000004E-3</v>
      </c>
      <c r="O60" s="4">
        <v>1E-4</v>
      </c>
      <c r="P60" s="4">
        <v>133.09</v>
      </c>
      <c r="Q60" s="4">
        <v>0.03</v>
      </c>
      <c r="R60" s="20">
        <f>P60*E60/G60^3</f>
        <v>0.27384773662551437</v>
      </c>
      <c r="S60" s="22">
        <f>Q60*E60/G60^3</f>
        <v>6.1728395061728397E-5</v>
      </c>
    </row>
    <row r="61" spans="1:19" ht="16">
      <c r="A61" s="23" t="s">
        <v>177</v>
      </c>
      <c r="B61" s="82">
        <v>211111121112</v>
      </c>
      <c r="C61" s="82"/>
      <c r="D61" s="83">
        <v>0.5</v>
      </c>
      <c r="E61" s="82">
        <v>12</v>
      </c>
      <c r="F61" s="82">
        <v>3</v>
      </c>
      <c r="G61" s="82">
        <v>18</v>
      </c>
      <c r="H61" s="24">
        <v>3.7075</v>
      </c>
      <c r="I61" s="4">
        <v>6.9999999999999999E-4</v>
      </c>
      <c r="J61" s="4">
        <v>-20.648800000000001</v>
      </c>
      <c r="K61" s="4">
        <v>1.4E-3</v>
      </c>
      <c r="L61" s="4">
        <v>2.5999999999999999E-2</v>
      </c>
      <c r="M61" s="4">
        <v>1.2999999999999999E-2</v>
      </c>
      <c r="N61" s="4">
        <v>-0.01</v>
      </c>
      <c r="O61" s="4">
        <v>5.9999999999999995E-4</v>
      </c>
      <c r="P61" s="4">
        <v>132.05000000000001</v>
      </c>
      <c r="Q61" s="4">
        <v>0.31</v>
      </c>
      <c r="R61" s="4">
        <f t="shared" si="0"/>
        <v>0.2717078189300412</v>
      </c>
      <c r="S61" s="22">
        <f t="shared" si="1"/>
        <v>6.3786008230452666E-4</v>
      </c>
    </row>
    <row r="62" spans="1:19" ht="16">
      <c r="A62" s="19" t="s">
        <v>178</v>
      </c>
      <c r="B62" s="80">
        <v>111111122112</v>
      </c>
      <c r="C62" s="80"/>
      <c r="D62" s="88">
        <v>0.25</v>
      </c>
      <c r="E62" s="82">
        <v>12</v>
      </c>
      <c r="F62" s="82">
        <v>3</v>
      </c>
      <c r="G62" s="82">
        <v>18</v>
      </c>
      <c r="H62" s="21">
        <v>5.0831</v>
      </c>
      <c r="I62" s="4">
        <v>2.9999999999999997E-4</v>
      </c>
      <c r="J62" s="20">
        <v>-28.622299999999999</v>
      </c>
      <c r="K62" s="4">
        <v>1E-3</v>
      </c>
      <c r="L62" s="4">
        <v>2.7E-2</v>
      </c>
      <c r="M62" s="4">
        <v>4.0000000000000001E-3</v>
      </c>
      <c r="N62" s="4">
        <v>-7.1999999999999998E-3</v>
      </c>
      <c r="O62" s="4">
        <v>1E-4</v>
      </c>
      <c r="P62" s="4">
        <v>132.94999999999999</v>
      </c>
      <c r="Q62" s="4">
        <v>0.06</v>
      </c>
      <c r="R62" s="20">
        <f>P62*E62/G62^3</f>
        <v>0.27355967078189297</v>
      </c>
      <c r="S62" s="22">
        <f>Q62*E62/G62^3</f>
        <v>1.2345679012345679E-4</v>
      </c>
    </row>
    <row r="63" spans="1:19" ht="16">
      <c r="A63" s="23" t="s">
        <v>178</v>
      </c>
      <c r="B63" s="82">
        <v>111111122112</v>
      </c>
      <c r="C63" s="82"/>
      <c r="D63" s="83">
        <v>0.5</v>
      </c>
      <c r="E63" s="82">
        <v>12</v>
      </c>
      <c r="F63" s="82">
        <v>3</v>
      </c>
      <c r="G63" s="82">
        <v>18</v>
      </c>
      <c r="H63" s="24">
        <v>3.6720999999999999</v>
      </c>
      <c r="I63" s="4">
        <v>8.0000000000000004E-4</v>
      </c>
      <c r="J63" s="4">
        <v>-20.742799999999999</v>
      </c>
      <c r="K63" s="4">
        <v>8.9999999999999998E-4</v>
      </c>
      <c r="L63" s="4">
        <v>4.4999999999999998E-2</v>
      </c>
      <c r="M63" s="4">
        <v>0.01</v>
      </c>
      <c r="N63" s="4">
        <v>-1.09E-2</v>
      </c>
      <c r="O63" s="4">
        <v>5.0000000000000001E-4</v>
      </c>
      <c r="P63" s="4">
        <v>130.4</v>
      </c>
      <c r="Q63" s="4">
        <v>0.38</v>
      </c>
      <c r="R63" s="4">
        <f t="shared" si="0"/>
        <v>0.2683127572016461</v>
      </c>
      <c r="S63" s="22">
        <f t="shared" si="1"/>
        <v>7.8189300411522647E-4</v>
      </c>
    </row>
    <row r="64" spans="1:19" ht="16">
      <c r="A64" s="86" t="s">
        <v>179</v>
      </c>
      <c r="B64" s="87">
        <v>111111111222</v>
      </c>
      <c r="C64" s="87" t="s">
        <v>17</v>
      </c>
      <c r="D64" s="88">
        <v>0.25</v>
      </c>
      <c r="E64" s="82">
        <v>12</v>
      </c>
      <c r="F64" s="82">
        <v>3</v>
      </c>
      <c r="G64" s="82">
        <v>18</v>
      </c>
      <c r="H64" s="21">
        <v>5.1002999999999998</v>
      </c>
      <c r="I64" s="4">
        <v>4.0000000000000002E-4</v>
      </c>
      <c r="J64" s="20">
        <v>-28.662199999999999</v>
      </c>
      <c r="K64" s="4">
        <v>5.0000000000000001E-4</v>
      </c>
      <c r="L64" s="4">
        <v>3.1E-2</v>
      </c>
      <c r="M64" s="4">
        <v>4.0000000000000001E-3</v>
      </c>
      <c r="N64" s="4">
        <v>-7.4999999999999997E-3</v>
      </c>
      <c r="O64" s="4">
        <v>2.0000000000000001E-4</v>
      </c>
      <c r="P64" s="4">
        <v>132.4</v>
      </c>
      <c r="Q64" s="4">
        <v>0.13</v>
      </c>
      <c r="R64" s="20">
        <f>P64*E64/G64^3</f>
        <v>0.2724279835390947</v>
      </c>
      <c r="S64" s="22">
        <f>Q64*E64/G64^3</f>
        <v>2.6748971193415636E-4</v>
      </c>
    </row>
    <row r="65" spans="1:19" ht="16">
      <c r="A65" s="89" t="s">
        <v>179</v>
      </c>
      <c r="B65" s="90">
        <v>111111111222</v>
      </c>
      <c r="C65" s="90" t="s">
        <v>17</v>
      </c>
      <c r="D65" s="83">
        <v>0.5</v>
      </c>
      <c r="E65" s="82">
        <v>12</v>
      </c>
      <c r="F65" s="82">
        <v>3</v>
      </c>
      <c r="G65" s="82">
        <v>18</v>
      </c>
      <c r="H65" s="36">
        <v>3.7309999999999999</v>
      </c>
      <c r="I65" s="39">
        <v>5.9999999999999995E-4</v>
      </c>
      <c r="J65" s="39">
        <v>-20.9864</v>
      </c>
      <c r="K65" s="39">
        <v>5.9999999999999995E-4</v>
      </c>
      <c r="L65" s="39">
        <v>0.108</v>
      </c>
      <c r="M65" s="39">
        <v>0.01</v>
      </c>
      <c r="N65" s="39">
        <v>-1.3899999999999999E-2</v>
      </c>
      <c r="O65" s="39">
        <v>2.0000000000000001E-4</v>
      </c>
      <c r="P65" s="39">
        <v>127.02</v>
      </c>
      <c r="Q65" s="39">
        <v>0.11</v>
      </c>
      <c r="R65" s="4">
        <f t="shared" si="0"/>
        <v>0.26135802469135805</v>
      </c>
      <c r="S65" s="22">
        <f t="shared" si="1"/>
        <v>2.2633744855967078E-4</v>
      </c>
    </row>
    <row r="66" spans="1:19" ht="16">
      <c r="A66" s="19" t="s">
        <v>180</v>
      </c>
      <c r="B66" s="80">
        <v>112111111221</v>
      </c>
      <c r="C66" s="87"/>
      <c r="D66" s="88">
        <v>0.25</v>
      </c>
      <c r="E66" s="82">
        <v>12</v>
      </c>
      <c r="F66" s="82">
        <v>3</v>
      </c>
      <c r="G66" s="82">
        <v>18</v>
      </c>
      <c r="H66" s="21">
        <v>5.0815000000000001</v>
      </c>
      <c r="I66" s="4">
        <v>5.0000000000000001E-4</v>
      </c>
      <c r="J66" s="20">
        <v>-28.522200000000002</v>
      </c>
      <c r="K66" s="4">
        <v>5.9999999999999995E-4</v>
      </c>
      <c r="L66" s="4">
        <v>2.5999999999999999E-2</v>
      </c>
      <c r="M66" s="4">
        <v>4.0000000000000001E-3</v>
      </c>
      <c r="N66" s="4">
        <v>-7.4000000000000003E-3</v>
      </c>
      <c r="O66" s="4">
        <v>5.0000000000000001E-4</v>
      </c>
      <c r="P66" s="4">
        <v>132.91999999999999</v>
      </c>
      <c r="Q66" s="4">
        <v>0.28999999999999998</v>
      </c>
      <c r="R66" s="20">
        <f>P66*E66/G66^3</f>
        <v>0.27349794238683128</v>
      </c>
      <c r="S66" s="22">
        <f>Q66*E66/G66^3</f>
        <v>5.9670781893004111E-4</v>
      </c>
    </row>
    <row r="67" spans="1:19" ht="16">
      <c r="A67" s="23" t="s">
        <v>180</v>
      </c>
      <c r="B67" s="82">
        <v>112111111221</v>
      </c>
      <c r="C67" s="82"/>
      <c r="D67" s="83">
        <v>0.5</v>
      </c>
      <c r="E67" s="82">
        <v>12</v>
      </c>
      <c r="F67" s="82">
        <v>3</v>
      </c>
      <c r="G67" s="82">
        <v>18</v>
      </c>
      <c r="H67" s="24">
        <v>3.6711</v>
      </c>
      <c r="I67" s="4">
        <v>6.9999999999999999E-4</v>
      </c>
      <c r="J67" s="4">
        <v>-20.4893</v>
      </c>
      <c r="K67" s="4">
        <v>1.1999999999999999E-3</v>
      </c>
      <c r="L67" s="4">
        <v>0.03</v>
      </c>
      <c r="M67" s="4">
        <v>2E-3</v>
      </c>
      <c r="N67" s="4">
        <v>-1.0699999999999999E-2</v>
      </c>
      <c r="O67" s="4">
        <v>2.9999999999999997E-4</v>
      </c>
      <c r="P67" s="4">
        <v>131.4</v>
      </c>
      <c r="Q67" s="4">
        <v>0.17</v>
      </c>
      <c r="R67" s="4">
        <f t="shared" si="0"/>
        <v>0.27037037037037043</v>
      </c>
      <c r="S67" s="22">
        <f t="shared" si="1"/>
        <v>3.4979423868312758E-4</v>
      </c>
    </row>
    <row r="68" spans="1:19" ht="16">
      <c r="A68" s="28" t="s">
        <v>180</v>
      </c>
      <c r="B68" s="84">
        <v>112111111221</v>
      </c>
      <c r="C68" s="84"/>
      <c r="D68" s="85">
        <v>0.75</v>
      </c>
      <c r="E68" s="82">
        <v>12</v>
      </c>
      <c r="F68" s="82">
        <v>3</v>
      </c>
      <c r="G68" s="82">
        <v>18</v>
      </c>
      <c r="H68" s="30">
        <v>2.2902</v>
      </c>
      <c r="I68" s="4">
        <v>4.0000000000000002E-4</v>
      </c>
      <c r="J68" s="29">
        <v>-12.803699999999999</v>
      </c>
      <c r="K68" s="4">
        <v>5.0000000000000001E-4</v>
      </c>
      <c r="L68" s="4">
        <v>7.0000000000000007E-2</v>
      </c>
      <c r="M68" s="4">
        <v>8.0000000000000002E-3</v>
      </c>
      <c r="N68" s="4">
        <v>-2.1600000000000001E-2</v>
      </c>
      <c r="O68" s="4">
        <v>2.9999999999999997E-4</v>
      </c>
      <c r="P68" s="4">
        <v>122.44</v>
      </c>
      <c r="Q68" s="4">
        <v>0.21</v>
      </c>
      <c r="R68" s="29">
        <f t="shared" si="0"/>
        <v>0.25193415637860084</v>
      </c>
      <c r="S68" s="22">
        <f t="shared" si="1"/>
        <v>4.3209876543209879E-4</v>
      </c>
    </row>
    <row r="69" spans="1:19" ht="16">
      <c r="A69" s="19" t="s">
        <v>181</v>
      </c>
      <c r="B69" s="80">
        <v>111111212121</v>
      </c>
      <c r="C69" s="80"/>
      <c r="D69" s="88">
        <v>0.25</v>
      </c>
      <c r="E69" s="82">
        <v>12</v>
      </c>
      <c r="F69" s="82">
        <v>3</v>
      </c>
      <c r="G69" s="82">
        <v>18</v>
      </c>
      <c r="H69" s="21">
        <v>5.0704000000000002</v>
      </c>
      <c r="I69" s="4">
        <v>5.0000000000000001E-4</v>
      </c>
      <c r="J69" s="20">
        <v>-28.717300000000002</v>
      </c>
      <c r="K69" s="4">
        <v>1.9E-3</v>
      </c>
      <c r="L69" s="4">
        <v>2.8000000000000001E-2</v>
      </c>
      <c r="M69" s="4">
        <v>3.0000000000000001E-3</v>
      </c>
      <c r="N69" s="4">
        <v>-7.4000000000000003E-3</v>
      </c>
      <c r="O69" s="4">
        <v>2.9999999999999997E-4</v>
      </c>
      <c r="P69" s="4">
        <v>132.82</v>
      </c>
      <c r="Q69" s="4">
        <v>0.24</v>
      </c>
      <c r="R69" s="20">
        <f>P69*E69/G69^3</f>
        <v>0.27329218106995884</v>
      </c>
      <c r="S69" s="22">
        <f>Q69*E69/G69^3</f>
        <v>4.9382716049382717E-4</v>
      </c>
    </row>
    <row r="70" spans="1:19" ht="16">
      <c r="A70" s="23" t="s">
        <v>181</v>
      </c>
      <c r="B70" s="82">
        <v>111111212121</v>
      </c>
      <c r="C70" s="82"/>
      <c r="D70" s="83">
        <v>0.5</v>
      </c>
      <c r="E70" s="82">
        <v>12</v>
      </c>
      <c r="F70" s="82">
        <v>3</v>
      </c>
      <c r="G70" s="82">
        <v>18</v>
      </c>
      <c r="H70" s="24">
        <v>3.6431</v>
      </c>
      <c r="I70" s="4">
        <v>2.9999999999999997E-4</v>
      </c>
      <c r="J70" s="4">
        <v>-20.901</v>
      </c>
      <c r="K70" s="4">
        <v>8.9999999999999998E-4</v>
      </c>
      <c r="L70" s="4">
        <v>5.2999999999999999E-2</v>
      </c>
      <c r="M70" s="4">
        <v>8.9999999999999993E-3</v>
      </c>
      <c r="N70" s="4">
        <v>-1.0699999999999999E-2</v>
      </c>
      <c r="O70" s="4">
        <v>4.0000000000000002E-4</v>
      </c>
      <c r="P70" s="4">
        <v>131.41</v>
      </c>
      <c r="Q70" s="4">
        <v>0.15</v>
      </c>
      <c r="R70" s="4">
        <f t="shared" si="0"/>
        <v>0.27039094650205764</v>
      </c>
      <c r="S70" s="22">
        <f t="shared" si="1"/>
        <v>3.0864197530864197E-4</v>
      </c>
    </row>
    <row r="71" spans="1:19" ht="16">
      <c r="A71" s="28" t="s">
        <v>181</v>
      </c>
      <c r="B71" s="84">
        <v>111111212121</v>
      </c>
      <c r="C71" s="84"/>
      <c r="D71" s="85">
        <v>0.75</v>
      </c>
      <c r="E71" s="82">
        <v>12</v>
      </c>
      <c r="F71" s="82">
        <v>3</v>
      </c>
      <c r="G71" s="82">
        <v>18</v>
      </c>
      <c r="H71" s="32">
        <v>2.2183000000000002</v>
      </c>
      <c r="I71" s="4">
        <v>5.0000000000000001E-4</v>
      </c>
      <c r="J71" s="29">
        <v>-13.5588</v>
      </c>
      <c r="K71" s="4">
        <v>5.0000000000000001E-4</v>
      </c>
      <c r="L71" s="4">
        <v>0.19800000000000001</v>
      </c>
      <c r="M71" s="4">
        <v>2.3E-2</v>
      </c>
      <c r="N71" s="4">
        <v>-2.98E-2</v>
      </c>
      <c r="O71" s="4">
        <v>8.9999999999999998E-4</v>
      </c>
      <c r="P71" s="4">
        <v>115.32</v>
      </c>
      <c r="Q71" s="4">
        <v>0.62</v>
      </c>
      <c r="R71" s="29">
        <f t="shared" si="0"/>
        <v>0.23728395061728394</v>
      </c>
      <c r="S71" s="22">
        <f t="shared" si="1"/>
        <v>1.2757201646090533E-3</v>
      </c>
    </row>
    <row r="72" spans="1:19" ht="16">
      <c r="A72" s="19" t="s">
        <v>182</v>
      </c>
      <c r="B72" s="80">
        <v>112111112121</v>
      </c>
      <c r="C72" s="80"/>
      <c r="D72" s="88">
        <v>0.25</v>
      </c>
      <c r="E72" s="82">
        <v>12</v>
      </c>
      <c r="F72" s="82">
        <v>3</v>
      </c>
      <c r="G72" s="82">
        <v>18</v>
      </c>
      <c r="H72" s="31">
        <v>5.0773000000000001</v>
      </c>
      <c r="I72" s="39">
        <v>5.0000000000000001E-4</v>
      </c>
      <c r="J72" s="42">
        <v>-28.615200000000002</v>
      </c>
      <c r="K72" s="39">
        <v>1.4E-3</v>
      </c>
      <c r="L72" s="39">
        <v>2.5000000000000001E-2</v>
      </c>
      <c r="M72" s="39">
        <v>1E-3</v>
      </c>
      <c r="N72" s="39">
        <v>-7.0000000000000001E-3</v>
      </c>
      <c r="O72" s="39">
        <v>2.0000000000000001E-4</v>
      </c>
      <c r="P72" s="39">
        <v>133.24</v>
      </c>
      <c r="Q72" s="39">
        <v>0.13</v>
      </c>
      <c r="R72" s="20">
        <f>P72*E72/G72^3</f>
        <v>0.27415637860082304</v>
      </c>
      <c r="S72" s="22">
        <f>Q72*E72/G72^3</f>
        <v>2.6748971193415636E-4</v>
      </c>
    </row>
    <row r="73" spans="1:19" ht="16">
      <c r="A73" s="23" t="s">
        <v>182</v>
      </c>
      <c r="B73" s="82">
        <v>112111112121</v>
      </c>
      <c r="C73" s="82"/>
      <c r="D73" s="83">
        <v>0.5</v>
      </c>
      <c r="E73" s="82">
        <v>12</v>
      </c>
      <c r="F73" s="82">
        <v>3</v>
      </c>
      <c r="G73" s="82">
        <v>18</v>
      </c>
      <c r="H73" s="24">
        <v>3.6598999999999999</v>
      </c>
      <c r="I73" s="4">
        <v>2.9999999999999997E-4</v>
      </c>
      <c r="J73" s="4">
        <v>-20.655100000000001</v>
      </c>
      <c r="K73" s="4">
        <v>4.0000000000000002E-4</v>
      </c>
      <c r="L73" s="4">
        <v>2.5999999999999999E-2</v>
      </c>
      <c r="M73" s="4">
        <v>4.0000000000000001E-3</v>
      </c>
      <c r="N73" s="4">
        <v>-1.0200000000000001E-2</v>
      </c>
      <c r="O73" s="4">
        <v>1E-4</v>
      </c>
      <c r="P73" s="4">
        <v>132.27000000000001</v>
      </c>
      <c r="Q73" s="4">
        <v>0.13</v>
      </c>
      <c r="R73" s="4">
        <f t="shared" si="0"/>
        <v>0.27216049382716051</v>
      </c>
      <c r="S73" s="22">
        <f t="shared" si="1"/>
        <v>2.6748971193415636E-4</v>
      </c>
    </row>
    <row r="74" spans="1:19" ht="16">
      <c r="A74" s="28" t="s">
        <v>182</v>
      </c>
      <c r="B74" s="84">
        <v>112111112121</v>
      </c>
      <c r="C74" s="84"/>
      <c r="D74" s="85">
        <v>0.75</v>
      </c>
      <c r="E74" s="82">
        <v>12</v>
      </c>
      <c r="F74" s="82">
        <v>3</v>
      </c>
      <c r="G74" s="82">
        <v>18</v>
      </c>
      <c r="H74" s="30">
        <v>2.2555999999999998</v>
      </c>
      <c r="I74" s="4">
        <v>5.0000000000000001E-4</v>
      </c>
      <c r="J74" s="29">
        <v>-12.9223</v>
      </c>
      <c r="K74" s="4">
        <v>8.9999999999999998E-4</v>
      </c>
      <c r="L74" s="4">
        <v>6.0999999999999999E-2</v>
      </c>
      <c r="M74" s="4">
        <v>1.2999999999999999E-2</v>
      </c>
      <c r="N74" s="4">
        <v>-1.9400000000000001E-2</v>
      </c>
      <c r="O74" s="4">
        <v>1.1999999999999999E-3</v>
      </c>
      <c r="P74" s="4">
        <v>126.52</v>
      </c>
      <c r="Q74" s="4">
        <v>0.48</v>
      </c>
      <c r="R74" s="29">
        <f t="shared" si="0"/>
        <v>0.26032921810699589</v>
      </c>
      <c r="S74" s="22">
        <f t="shared" si="1"/>
        <v>9.8765432098765434E-4</v>
      </c>
    </row>
    <row r="75" spans="1:19" ht="16">
      <c r="A75" s="19" t="s">
        <v>183</v>
      </c>
      <c r="B75" s="80">
        <v>111111112122</v>
      </c>
      <c r="C75" s="80"/>
      <c r="D75" s="88">
        <v>0.25</v>
      </c>
      <c r="E75" s="82">
        <v>12</v>
      </c>
      <c r="F75" s="82">
        <v>3</v>
      </c>
      <c r="G75" s="82">
        <v>18</v>
      </c>
      <c r="H75" s="21">
        <v>5.0940000000000003</v>
      </c>
      <c r="I75" s="4">
        <v>6.9999999999999999E-4</v>
      </c>
      <c r="J75" s="20">
        <v>-28.707899999999999</v>
      </c>
      <c r="K75" s="4">
        <v>8.9999999999999998E-4</v>
      </c>
      <c r="L75" s="4">
        <v>2.5999999999999999E-2</v>
      </c>
      <c r="M75" s="4">
        <v>5.0000000000000001E-3</v>
      </c>
      <c r="N75" s="4">
        <v>-7.3000000000000001E-3</v>
      </c>
      <c r="O75" s="4">
        <v>1E-4</v>
      </c>
      <c r="P75" s="4">
        <v>132.63999999999999</v>
      </c>
      <c r="Q75" s="4">
        <v>0.15</v>
      </c>
      <c r="R75" s="20">
        <f>P75*E75/G75^3</f>
        <v>0.27292181069958843</v>
      </c>
      <c r="S75" s="22">
        <f>Q75*E75/G75^3</f>
        <v>3.0864197530864197E-4</v>
      </c>
    </row>
    <row r="76" spans="1:19" ht="16">
      <c r="A76" s="23" t="s">
        <v>183</v>
      </c>
      <c r="B76" s="82">
        <v>111111112122</v>
      </c>
      <c r="C76" s="82"/>
      <c r="D76" s="83">
        <v>0.5</v>
      </c>
      <c r="E76" s="82">
        <v>12</v>
      </c>
      <c r="F76" s="82">
        <v>3</v>
      </c>
      <c r="G76" s="82">
        <v>18</v>
      </c>
      <c r="H76" s="24">
        <v>3.7025000000000001</v>
      </c>
      <c r="I76" s="4">
        <v>5.0000000000000001E-4</v>
      </c>
      <c r="J76" s="4">
        <v>-20.978899999999999</v>
      </c>
      <c r="K76" s="4">
        <v>8.0000000000000004E-4</v>
      </c>
      <c r="L76" s="4">
        <v>3.9E-2</v>
      </c>
      <c r="M76" s="4">
        <v>7.0000000000000001E-3</v>
      </c>
      <c r="N76" s="4">
        <v>-1.15E-2</v>
      </c>
      <c r="O76" s="4">
        <v>5.9999999999999995E-4</v>
      </c>
      <c r="P76" s="4">
        <v>129.09</v>
      </c>
      <c r="Q76" s="4">
        <v>0.23</v>
      </c>
      <c r="R76" s="4">
        <f t="shared" si="0"/>
        <v>0.26561728395061729</v>
      </c>
      <c r="S76" s="22">
        <f t="shared" si="1"/>
        <v>4.732510288065844E-4</v>
      </c>
    </row>
    <row r="77" spans="1:19" ht="16">
      <c r="A77" s="19" t="s">
        <v>184</v>
      </c>
      <c r="B77" s="80">
        <v>112111121121</v>
      </c>
      <c r="C77" s="80"/>
      <c r="D77" s="88">
        <v>0.25</v>
      </c>
      <c r="E77" s="82">
        <v>12</v>
      </c>
      <c r="F77" s="82">
        <v>3</v>
      </c>
      <c r="G77" s="82">
        <v>18</v>
      </c>
      <c r="H77" s="21">
        <v>5.0734000000000004</v>
      </c>
      <c r="I77" s="4">
        <v>5.9999999999999995E-4</v>
      </c>
      <c r="J77" s="20">
        <v>-28.584599999999998</v>
      </c>
      <c r="K77" s="4">
        <v>1E-3</v>
      </c>
      <c r="L77" s="4">
        <v>2.8000000000000001E-2</v>
      </c>
      <c r="M77" s="4">
        <v>4.0000000000000001E-3</v>
      </c>
      <c r="N77" s="4">
        <v>-7.0000000000000001E-3</v>
      </c>
      <c r="O77" s="4">
        <v>2.0000000000000001E-4</v>
      </c>
      <c r="P77" s="4">
        <v>133.37</v>
      </c>
      <c r="Q77" s="4">
        <v>0.18</v>
      </c>
      <c r="R77" s="20">
        <f>P77*E77/G77^3</f>
        <v>0.27442386831275722</v>
      </c>
      <c r="S77" s="22">
        <f>Q77*E77/G77^3</f>
        <v>3.7037037037037041E-4</v>
      </c>
    </row>
    <row r="78" spans="1:19" ht="16">
      <c r="A78" s="23" t="s">
        <v>184</v>
      </c>
      <c r="B78" s="82">
        <v>112111121121</v>
      </c>
      <c r="C78" s="82"/>
      <c r="D78" s="83">
        <v>0.5</v>
      </c>
      <c r="E78" s="82">
        <v>12</v>
      </c>
      <c r="F78" s="82">
        <v>3</v>
      </c>
      <c r="G78" s="82">
        <v>18</v>
      </c>
      <c r="H78" s="24">
        <v>3.6547999999999998</v>
      </c>
      <c r="I78" s="4">
        <v>5.9999999999999995E-4</v>
      </c>
      <c r="J78" s="4">
        <v>-20.5809</v>
      </c>
      <c r="K78" s="4">
        <v>6.9999999999999999E-4</v>
      </c>
      <c r="L78" s="4">
        <v>3.4000000000000002E-2</v>
      </c>
      <c r="M78" s="4">
        <v>1.2E-2</v>
      </c>
      <c r="N78" s="4">
        <v>-1.03E-2</v>
      </c>
      <c r="O78" s="4">
        <v>5.0000000000000001E-4</v>
      </c>
      <c r="P78" s="4">
        <v>132.4</v>
      </c>
      <c r="Q78" s="4">
        <v>0.25</v>
      </c>
      <c r="R78" s="4">
        <f t="shared" si="0"/>
        <v>0.2724279835390947</v>
      </c>
      <c r="S78" s="22">
        <f t="shared" si="1"/>
        <v>5.1440329218107E-4</v>
      </c>
    </row>
    <row r="79" spans="1:19" ht="16">
      <c r="A79" s="28" t="s">
        <v>184</v>
      </c>
      <c r="B79" s="84">
        <v>112111121121</v>
      </c>
      <c r="C79" s="84"/>
      <c r="D79" s="85">
        <v>0.75</v>
      </c>
      <c r="E79" s="82">
        <v>12</v>
      </c>
      <c r="F79" s="82">
        <v>3</v>
      </c>
      <c r="G79" s="82">
        <v>18</v>
      </c>
      <c r="H79" s="30">
        <v>2.2456999999999998</v>
      </c>
      <c r="I79" s="4">
        <v>2.0000000000000001E-4</v>
      </c>
      <c r="J79" s="29">
        <v>-12.752599999999999</v>
      </c>
      <c r="K79" s="4">
        <v>4.0000000000000002E-4</v>
      </c>
      <c r="L79" s="4">
        <v>0.06</v>
      </c>
      <c r="M79" s="4">
        <v>8.9999999999999993E-3</v>
      </c>
      <c r="N79" s="4">
        <v>-1.9300000000000001E-2</v>
      </c>
      <c r="O79" s="4">
        <v>6.9999999999999999E-4</v>
      </c>
      <c r="P79" s="4">
        <v>128.18</v>
      </c>
      <c r="Q79" s="4">
        <v>0.19</v>
      </c>
      <c r="R79" s="29">
        <f t="shared" si="0"/>
        <v>0.2637448559670782</v>
      </c>
      <c r="S79" s="22">
        <f t="shared" si="1"/>
        <v>3.9094650205761324E-4</v>
      </c>
    </row>
    <row r="80" spans="1:19" ht="16">
      <c r="A80" s="19" t="s">
        <v>185</v>
      </c>
      <c r="B80" s="87">
        <v>221111111112</v>
      </c>
      <c r="C80" s="87" t="s">
        <v>30</v>
      </c>
      <c r="D80" s="88">
        <v>0.25</v>
      </c>
      <c r="E80" s="82">
        <v>12</v>
      </c>
      <c r="F80" s="82">
        <v>3</v>
      </c>
      <c r="G80" s="82">
        <v>18</v>
      </c>
      <c r="H80" s="21">
        <v>5.1124000000000001</v>
      </c>
      <c r="I80" s="4">
        <v>5.9999999999999995E-4</v>
      </c>
      <c r="J80" s="20">
        <v>-28.586400000000001</v>
      </c>
      <c r="K80" s="4">
        <v>1E-3</v>
      </c>
      <c r="L80" s="4">
        <v>2.3E-2</v>
      </c>
      <c r="M80" s="4">
        <v>3.0000000000000001E-3</v>
      </c>
      <c r="N80" s="4">
        <v>-7.1000000000000004E-3</v>
      </c>
      <c r="O80" s="4">
        <v>2.9999999999999997E-4</v>
      </c>
      <c r="P80" s="4">
        <v>132.88999999999999</v>
      </c>
      <c r="Q80" s="4">
        <v>0.23</v>
      </c>
      <c r="R80" s="20">
        <f>P80*E80/G80^3</f>
        <v>0.27343621399176954</v>
      </c>
      <c r="S80" s="22">
        <f>Q80*E80/G80^3</f>
        <v>4.732510288065844E-4</v>
      </c>
    </row>
    <row r="81" spans="1:19" ht="16">
      <c r="A81" s="23" t="s">
        <v>185</v>
      </c>
      <c r="B81" s="90">
        <v>221111111112</v>
      </c>
      <c r="C81" s="90" t="s">
        <v>30</v>
      </c>
      <c r="D81" s="83">
        <v>0.5</v>
      </c>
      <c r="E81" s="82">
        <v>12</v>
      </c>
      <c r="F81" s="82">
        <v>3</v>
      </c>
      <c r="G81" s="82">
        <v>18</v>
      </c>
      <c r="H81" s="24">
        <v>3.7372000000000001</v>
      </c>
      <c r="I81" s="4">
        <v>5.9999999999999995E-4</v>
      </c>
      <c r="J81" s="4">
        <v>-20.6553</v>
      </c>
      <c r="K81" s="4">
        <v>1E-3</v>
      </c>
      <c r="L81" s="4">
        <v>2.3E-2</v>
      </c>
      <c r="M81" s="4">
        <v>3.0000000000000001E-3</v>
      </c>
      <c r="N81" s="4">
        <v>-9.9000000000000008E-3</v>
      </c>
      <c r="O81" s="4">
        <v>4.0000000000000002E-4</v>
      </c>
      <c r="P81" s="4">
        <v>131.02000000000001</v>
      </c>
      <c r="Q81" s="4">
        <v>0.23</v>
      </c>
      <c r="R81" s="4">
        <f t="shared" si="0"/>
        <v>0.26958847736625519</v>
      </c>
      <c r="S81" s="22">
        <f t="shared" si="1"/>
        <v>4.732510288065844E-4</v>
      </c>
    </row>
    <row r="82" spans="1:19" ht="16">
      <c r="A82" s="86" t="s">
        <v>186</v>
      </c>
      <c r="B82" s="87">
        <v>111112221111</v>
      </c>
      <c r="C82" s="87" t="s">
        <v>19</v>
      </c>
      <c r="D82" s="88">
        <v>0.25</v>
      </c>
      <c r="E82" s="82">
        <v>12</v>
      </c>
      <c r="F82" s="82">
        <v>3</v>
      </c>
      <c r="G82" s="82">
        <v>18</v>
      </c>
      <c r="H82" s="21">
        <v>5.0583</v>
      </c>
      <c r="I82" s="4">
        <v>5.0000000000000001E-4</v>
      </c>
      <c r="J82" s="20">
        <v>-28.560400000000001</v>
      </c>
      <c r="K82" s="4">
        <v>1E-3</v>
      </c>
      <c r="L82" s="4">
        <v>3.9E-2</v>
      </c>
      <c r="M82" s="4">
        <v>5.0000000000000001E-3</v>
      </c>
      <c r="N82" s="4">
        <v>-7.3000000000000001E-3</v>
      </c>
      <c r="O82" s="4">
        <v>2.9999999999999997E-4</v>
      </c>
      <c r="P82" s="4">
        <v>133</v>
      </c>
      <c r="Q82" s="4">
        <v>0.21</v>
      </c>
      <c r="R82" s="20">
        <f>P82*E82/G82^3</f>
        <v>0.27366255144032919</v>
      </c>
      <c r="S82" s="22">
        <f>Q82*E82/G82^3</f>
        <v>4.3209876543209879E-4</v>
      </c>
    </row>
    <row r="83" spans="1:19" ht="17" thickBot="1">
      <c r="A83" s="95" t="s">
        <v>186</v>
      </c>
      <c r="B83" s="64">
        <v>111112221111</v>
      </c>
      <c r="C83" s="64" t="s">
        <v>19</v>
      </c>
      <c r="D83" s="75">
        <v>0.5</v>
      </c>
      <c r="E83" s="72">
        <v>12</v>
      </c>
      <c r="F83" s="72">
        <v>3</v>
      </c>
      <c r="G83" s="72">
        <v>18</v>
      </c>
      <c r="H83" s="13">
        <v>3.6265000000000001</v>
      </c>
      <c r="I83" s="10">
        <v>4.0000000000000002E-4</v>
      </c>
      <c r="J83" s="10">
        <v>-20.661999999999999</v>
      </c>
      <c r="K83" s="10">
        <v>2.3E-3</v>
      </c>
      <c r="L83" s="10">
        <v>6.7000000000000004E-2</v>
      </c>
      <c r="M83" s="10">
        <v>1.7999999999999999E-2</v>
      </c>
      <c r="N83" s="10">
        <v>-1.2200000000000001E-2</v>
      </c>
      <c r="O83" s="10">
        <v>5.9999999999999995E-4</v>
      </c>
      <c r="P83" s="10">
        <v>130.13999999999999</v>
      </c>
      <c r="Q83" s="10">
        <v>0.49</v>
      </c>
      <c r="R83" s="10">
        <f t="shared" si="0"/>
        <v>0.26777777777777773</v>
      </c>
      <c r="S83" s="26">
        <f t="shared" si="1"/>
        <v>1.0082304526748971E-3</v>
      </c>
    </row>
    <row r="84" spans="1:19" ht="17" thickTop="1">
      <c r="A84" s="27" t="s">
        <v>187</v>
      </c>
      <c r="B84" s="73">
        <v>112112121211</v>
      </c>
      <c r="C84" s="73"/>
      <c r="D84" s="74">
        <v>0.25</v>
      </c>
      <c r="E84" s="69">
        <v>12</v>
      </c>
      <c r="F84" s="69">
        <v>4</v>
      </c>
      <c r="G84" s="69">
        <v>18</v>
      </c>
      <c r="H84" s="12">
        <v>5.2133000000000003</v>
      </c>
      <c r="I84" s="7">
        <v>2.0000000000000001E-4</v>
      </c>
      <c r="J84" s="5">
        <v>-29.569199999999999</v>
      </c>
      <c r="K84" s="7">
        <v>1E-3</v>
      </c>
      <c r="L84" s="7">
        <v>3.4000000000000002E-2</v>
      </c>
      <c r="M84" s="7">
        <v>6.0000000000000001E-3</v>
      </c>
      <c r="N84" s="7">
        <v>-7.1000000000000004E-3</v>
      </c>
      <c r="O84" s="7">
        <v>2.0000000000000001E-4</v>
      </c>
      <c r="P84" s="7">
        <v>133.12</v>
      </c>
      <c r="Q84" s="7">
        <v>0.24</v>
      </c>
      <c r="R84" s="5">
        <f>P84*E84/G84^3</f>
        <v>0.27390946502057612</v>
      </c>
      <c r="S84" s="18">
        <f>Q84*E84/G84^3</f>
        <v>4.9382716049382717E-4</v>
      </c>
    </row>
    <row r="85" spans="1:19" ht="16">
      <c r="A85" s="23" t="s">
        <v>187</v>
      </c>
      <c r="B85" s="82">
        <v>112112121211</v>
      </c>
      <c r="C85" s="82"/>
      <c r="D85" s="83">
        <v>0.5</v>
      </c>
      <c r="E85" s="82">
        <v>12</v>
      </c>
      <c r="F85" s="82">
        <v>4</v>
      </c>
      <c r="G85" s="82">
        <v>18</v>
      </c>
      <c r="H85" s="24">
        <v>3.9298000000000002</v>
      </c>
      <c r="I85" s="4">
        <v>5.0000000000000001E-4</v>
      </c>
      <c r="J85" s="4">
        <v>-22.5901</v>
      </c>
      <c r="K85" s="4">
        <v>6.9999999999999999E-4</v>
      </c>
      <c r="L85" s="4">
        <v>4.4999999999999998E-2</v>
      </c>
      <c r="M85" s="4">
        <v>7.0000000000000001E-3</v>
      </c>
      <c r="N85" s="4">
        <v>-0.01</v>
      </c>
      <c r="O85" s="4">
        <v>8.0000000000000004E-4</v>
      </c>
      <c r="P85" s="4">
        <v>131.94</v>
      </c>
      <c r="Q85" s="4">
        <v>0.39</v>
      </c>
      <c r="R85" s="4">
        <f t="shared" si="0"/>
        <v>0.27148148148148149</v>
      </c>
      <c r="S85" s="22">
        <f t="shared" si="1"/>
        <v>8.0246913580246909E-4</v>
      </c>
    </row>
    <row r="86" spans="1:19" ht="16">
      <c r="A86" s="28" t="s">
        <v>187</v>
      </c>
      <c r="B86" s="84">
        <v>112112121211</v>
      </c>
      <c r="C86" s="84"/>
      <c r="D86" s="85">
        <v>0.75</v>
      </c>
      <c r="E86" s="82">
        <v>12</v>
      </c>
      <c r="F86" s="82">
        <v>4</v>
      </c>
      <c r="G86" s="82">
        <v>18</v>
      </c>
      <c r="H86" s="30">
        <v>2.6427</v>
      </c>
      <c r="I86" s="4">
        <v>8.0000000000000004E-4</v>
      </c>
      <c r="J86" s="29">
        <v>-15.8842</v>
      </c>
      <c r="K86" s="4">
        <v>5.9999999999999995E-4</v>
      </c>
      <c r="L86" s="4">
        <v>0.108</v>
      </c>
      <c r="M86" s="4">
        <v>1.2E-2</v>
      </c>
      <c r="N86" s="4">
        <v>-1.8599999999999998E-2</v>
      </c>
      <c r="O86" s="4">
        <v>4.0000000000000002E-4</v>
      </c>
      <c r="P86" s="4">
        <v>125.15</v>
      </c>
      <c r="Q86" s="4">
        <v>0.36</v>
      </c>
      <c r="R86" s="29">
        <f t="shared" si="0"/>
        <v>0.25751028806584364</v>
      </c>
      <c r="S86" s="22">
        <f t="shared" si="1"/>
        <v>7.4074074074074081E-4</v>
      </c>
    </row>
    <row r="87" spans="1:19" ht="16">
      <c r="A87" s="19" t="s">
        <v>188</v>
      </c>
      <c r="B87" s="80">
        <v>111122111122</v>
      </c>
      <c r="C87" s="80"/>
      <c r="D87" s="81">
        <v>0.25</v>
      </c>
      <c r="E87" s="82">
        <v>12</v>
      </c>
      <c r="F87" s="82">
        <v>4</v>
      </c>
      <c r="G87" s="82">
        <v>18</v>
      </c>
      <c r="H87" s="21">
        <v>5.2447999999999997</v>
      </c>
      <c r="I87" s="4">
        <v>4.0000000000000002E-4</v>
      </c>
      <c r="J87" s="20">
        <v>-29.397099999999998</v>
      </c>
      <c r="K87" s="4">
        <v>5.9999999999999995E-4</v>
      </c>
      <c r="L87" s="4">
        <v>2.4E-2</v>
      </c>
      <c r="M87" s="4">
        <v>4.0000000000000001E-3</v>
      </c>
      <c r="N87" s="4">
        <v>-7.1000000000000004E-3</v>
      </c>
      <c r="O87" s="4">
        <v>1E-4</v>
      </c>
      <c r="P87" s="4">
        <v>132.66999999999999</v>
      </c>
      <c r="Q87" s="4">
        <v>0.1</v>
      </c>
      <c r="R87" s="20">
        <f>P87*E87/G87^3</f>
        <v>0.27298353909465017</v>
      </c>
      <c r="S87" s="22">
        <f>Q87*E87/G87^3</f>
        <v>2.0576131687242801E-4</v>
      </c>
    </row>
    <row r="88" spans="1:19" ht="16">
      <c r="A88" s="23" t="s">
        <v>188</v>
      </c>
      <c r="B88" s="82">
        <v>111122111122</v>
      </c>
      <c r="C88" s="82"/>
      <c r="D88" s="83">
        <v>0.5</v>
      </c>
      <c r="E88" s="82">
        <v>12</v>
      </c>
      <c r="F88" s="82">
        <v>4</v>
      </c>
      <c r="G88" s="82">
        <v>18</v>
      </c>
      <c r="H88" s="24">
        <v>3.9956</v>
      </c>
      <c r="I88" s="4">
        <v>2.9999999999999997E-4</v>
      </c>
      <c r="J88" s="4">
        <v>-22.328399999999998</v>
      </c>
      <c r="K88" s="4">
        <v>5.9999999999999995E-4</v>
      </c>
      <c r="L88" s="4">
        <v>3.7999999999999999E-2</v>
      </c>
      <c r="M88" s="4">
        <v>5.0000000000000001E-3</v>
      </c>
      <c r="N88" s="4">
        <v>-1.0200000000000001E-2</v>
      </c>
      <c r="O88" s="4">
        <v>4.0000000000000002E-4</v>
      </c>
      <c r="P88" s="4">
        <v>129.66999999999999</v>
      </c>
      <c r="Q88" s="4">
        <v>0.22</v>
      </c>
      <c r="R88" s="4">
        <f t="shared" si="0"/>
        <v>0.26681069958847736</v>
      </c>
      <c r="S88" s="22">
        <f t="shared" si="1"/>
        <v>4.5267489711934157E-4</v>
      </c>
    </row>
    <row r="89" spans="1:19" ht="16">
      <c r="A89" s="28" t="s">
        <v>188</v>
      </c>
      <c r="B89" s="84">
        <v>111122111122</v>
      </c>
      <c r="C89" s="84"/>
      <c r="D89" s="85">
        <v>0.75</v>
      </c>
      <c r="E89" s="82">
        <v>12</v>
      </c>
      <c r="F89" s="82">
        <v>4</v>
      </c>
      <c r="G89" s="82">
        <v>18</v>
      </c>
      <c r="H89" s="30">
        <v>2.7751000000000001</v>
      </c>
      <c r="I89" s="4">
        <v>4.0000000000000002E-4</v>
      </c>
      <c r="J89" s="29">
        <v>-15.9</v>
      </c>
      <c r="K89" s="4">
        <v>1.6999999999999999E-3</v>
      </c>
      <c r="L89" s="4">
        <v>0.127</v>
      </c>
      <c r="M89" s="4">
        <v>7.0000000000000001E-3</v>
      </c>
      <c r="N89" s="4">
        <v>-2.52E-2</v>
      </c>
      <c r="O89" s="4">
        <v>1.1999999999999999E-3</v>
      </c>
      <c r="P89" s="4">
        <v>111.06</v>
      </c>
      <c r="Q89" s="4">
        <v>0.82</v>
      </c>
      <c r="R89" s="29">
        <f t="shared" si="0"/>
        <v>0.22851851851851851</v>
      </c>
      <c r="S89" s="22">
        <f t="shared" si="1"/>
        <v>1.6872427983539095E-3</v>
      </c>
    </row>
    <row r="90" spans="1:19" ht="16">
      <c r="A90" s="19" t="s">
        <v>189</v>
      </c>
      <c r="B90" s="80">
        <v>111121221112</v>
      </c>
      <c r="C90" s="80"/>
      <c r="D90" s="81">
        <v>0.25</v>
      </c>
      <c r="E90" s="82">
        <v>12</v>
      </c>
      <c r="F90" s="82">
        <v>4</v>
      </c>
      <c r="G90" s="82">
        <v>18</v>
      </c>
      <c r="H90" s="21">
        <v>5.2286000000000001</v>
      </c>
      <c r="I90" s="4">
        <v>5.9999999999999995E-4</v>
      </c>
      <c r="J90" s="20">
        <v>-29.526599999999998</v>
      </c>
      <c r="K90" s="4">
        <v>5.9999999999999995E-4</v>
      </c>
      <c r="L90" s="4">
        <v>2.8000000000000001E-2</v>
      </c>
      <c r="M90" s="4">
        <v>2E-3</v>
      </c>
      <c r="N90" s="4">
        <v>-7.0000000000000001E-3</v>
      </c>
      <c r="O90" s="4">
        <v>2.0000000000000001E-4</v>
      </c>
      <c r="P90" s="4">
        <v>132.94</v>
      </c>
      <c r="Q90" s="4">
        <v>0.17</v>
      </c>
      <c r="R90" s="20">
        <f>P90*E90/G90^3</f>
        <v>0.27353909465020576</v>
      </c>
      <c r="S90" s="22">
        <f>Q90*E90/G90^3</f>
        <v>3.4979423868312758E-4</v>
      </c>
    </row>
    <row r="91" spans="1:19" ht="16">
      <c r="A91" s="23" t="s">
        <v>189</v>
      </c>
      <c r="B91" s="82">
        <v>111121221112</v>
      </c>
      <c r="C91" s="82"/>
      <c r="D91" s="83">
        <v>0.5</v>
      </c>
      <c r="E91" s="82">
        <v>12</v>
      </c>
      <c r="F91" s="82">
        <v>4</v>
      </c>
      <c r="G91" s="82">
        <v>18</v>
      </c>
      <c r="H91" s="24">
        <v>3.9592000000000001</v>
      </c>
      <c r="I91" s="4">
        <v>5.9999999999999995E-4</v>
      </c>
      <c r="J91" s="4">
        <v>-22.561599999999999</v>
      </c>
      <c r="K91" s="4">
        <v>8.9999999999999998E-4</v>
      </c>
      <c r="L91" s="4">
        <v>0.05</v>
      </c>
      <c r="M91" s="4">
        <v>1.2999999999999999E-2</v>
      </c>
      <c r="N91" s="4">
        <v>-1.0500000000000001E-2</v>
      </c>
      <c r="O91" s="4">
        <v>2.9999999999999997E-4</v>
      </c>
      <c r="P91" s="4">
        <v>130.36000000000001</v>
      </c>
      <c r="Q91" s="4">
        <v>0.24</v>
      </c>
      <c r="R91" s="4">
        <f t="shared" si="0"/>
        <v>0.26823045267489715</v>
      </c>
      <c r="S91" s="22">
        <f t="shared" si="1"/>
        <v>4.9382716049382717E-4</v>
      </c>
    </row>
    <row r="92" spans="1:19" ht="16">
      <c r="A92" s="28" t="s">
        <v>189</v>
      </c>
      <c r="B92" s="84">
        <v>111121221112</v>
      </c>
      <c r="C92" s="84"/>
      <c r="D92" s="85">
        <v>0.75</v>
      </c>
      <c r="E92" s="82">
        <v>12</v>
      </c>
      <c r="F92" s="82">
        <v>4</v>
      </c>
      <c r="G92" s="82">
        <v>18</v>
      </c>
      <c r="H92" s="32">
        <v>2.6901000000000002</v>
      </c>
      <c r="I92" s="4">
        <v>5.9999999999999995E-4</v>
      </c>
      <c r="J92" s="29">
        <v>-16.1066</v>
      </c>
      <c r="K92" s="4">
        <v>5.9999999999999995E-4</v>
      </c>
      <c r="L92" s="4">
        <v>0.161</v>
      </c>
      <c r="M92" s="4">
        <v>1.0999999999999999E-2</v>
      </c>
      <c r="N92" s="4">
        <v>-2.46E-2</v>
      </c>
      <c r="O92" s="4">
        <v>1E-4</v>
      </c>
      <c r="P92" s="4">
        <v>114.81</v>
      </c>
      <c r="Q92" s="4">
        <v>0.14000000000000001</v>
      </c>
      <c r="R92" s="29">
        <f t="shared" si="0"/>
        <v>0.23623456790123457</v>
      </c>
      <c r="S92" s="22">
        <f t="shared" si="1"/>
        <v>2.8806584362139919E-4</v>
      </c>
    </row>
    <row r="93" spans="1:19" ht="16">
      <c r="A93" s="19" t="s">
        <v>190</v>
      </c>
      <c r="B93" s="80">
        <v>111122221111</v>
      </c>
      <c r="C93" s="87" t="s">
        <v>19</v>
      </c>
      <c r="D93" s="81">
        <v>0.25</v>
      </c>
      <c r="E93" s="82">
        <v>12</v>
      </c>
      <c r="F93" s="82">
        <v>4</v>
      </c>
      <c r="G93" s="82">
        <v>18</v>
      </c>
      <c r="H93" s="21">
        <v>5.2011000000000003</v>
      </c>
      <c r="I93" s="4">
        <v>8.9999999999999998E-4</v>
      </c>
      <c r="J93" s="20">
        <v>-29.497699999999998</v>
      </c>
      <c r="K93" s="4">
        <v>1.6999999999999999E-3</v>
      </c>
      <c r="L93" s="4">
        <v>4.9000000000000002E-2</v>
      </c>
      <c r="M93" s="4">
        <v>1.2E-2</v>
      </c>
      <c r="N93" s="4">
        <v>-7.3000000000000001E-3</v>
      </c>
      <c r="O93" s="4">
        <v>2.0000000000000001E-4</v>
      </c>
      <c r="P93" s="4">
        <v>132.62</v>
      </c>
      <c r="Q93" s="4">
        <v>0.28000000000000003</v>
      </c>
      <c r="R93" s="20">
        <f>P93*E93/G93^3</f>
        <v>0.27288065843621401</v>
      </c>
      <c r="S93" s="22">
        <f>Q93*E93/G93^3</f>
        <v>5.7613168724279839E-4</v>
      </c>
    </row>
    <row r="94" spans="1:19" ht="16">
      <c r="A94" s="23" t="s">
        <v>190</v>
      </c>
      <c r="B94" s="82">
        <v>111122221111</v>
      </c>
      <c r="C94" s="90" t="s">
        <v>19</v>
      </c>
      <c r="D94" s="83">
        <v>0.5</v>
      </c>
      <c r="E94" s="82">
        <v>12</v>
      </c>
      <c r="F94" s="82">
        <v>4</v>
      </c>
      <c r="G94" s="82">
        <v>18</v>
      </c>
      <c r="H94" s="24">
        <v>3.9039999999999999</v>
      </c>
      <c r="I94" s="4">
        <v>5.9999999999999995E-4</v>
      </c>
      <c r="J94" s="4">
        <v>-22.704899999999999</v>
      </c>
      <c r="K94" s="4">
        <v>2.0999999999999999E-3</v>
      </c>
      <c r="L94" s="4">
        <v>0.111</v>
      </c>
      <c r="M94" s="4">
        <v>2.4E-2</v>
      </c>
      <c r="N94" s="4">
        <v>-1.2800000000000001E-2</v>
      </c>
      <c r="O94" s="4">
        <v>8.9999999999999998E-4</v>
      </c>
      <c r="P94" s="4">
        <v>127.1</v>
      </c>
      <c r="Q94" s="4">
        <v>0.3</v>
      </c>
      <c r="R94" s="4">
        <f t="shared" si="0"/>
        <v>0.26152263374485596</v>
      </c>
      <c r="S94" s="22">
        <f t="shared" si="1"/>
        <v>6.1728395061728394E-4</v>
      </c>
    </row>
    <row r="95" spans="1:19" ht="16">
      <c r="A95" s="19" t="s">
        <v>191</v>
      </c>
      <c r="B95" s="80">
        <v>112212111112</v>
      </c>
      <c r="C95" s="80"/>
      <c r="D95" s="81">
        <v>0.25</v>
      </c>
      <c r="E95" s="82">
        <v>12</v>
      </c>
      <c r="F95" s="82">
        <v>4</v>
      </c>
      <c r="G95" s="82">
        <v>18</v>
      </c>
      <c r="H95" s="21">
        <v>5.2401</v>
      </c>
      <c r="I95" s="4">
        <v>8.0000000000000004E-4</v>
      </c>
      <c r="J95" s="20">
        <v>-29.495999999999999</v>
      </c>
      <c r="K95" s="4">
        <v>1.2999999999999999E-3</v>
      </c>
      <c r="L95" s="4">
        <v>2.5999999999999999E-2</v>
      </c>
      <c r="M95" s="4">
        <v>6.0000000000000001E-3</v>
      </c>
      <c r="N95" s="4">
        <v>-7.3000000000000001E-3</v>
      </c>
      <c r="O95" s="4">
        <v>2.0000000000000001E-4</v>
      </c>
      <c r="P95" s="4">
        <v>132.72999999999999</v>
      </c>
      <c r="Q95" s="4">
        <v>0.05</v>
      </c>
      <c r="R95" s="20">
        <f>P95*E95/G95^3</f>
        <v>0.27310699588477361</v>
      </c>
      <c r="S95" s="22">
        <f>Q95*E95/G95^3</f>
        <v>1.02880658436214E-4</v>
      </c>
    </row>
    <row r="96" spans="1:19" ht="16">
      <c r="A96" s="23" t="s">
        <v>191</v>
      </c>
      <c r="B96" s="82">
        <v>112212111112</v>
      </c>
      <c r="C96" s="82"/>
      <c r="D96" s="83">
        <v>0.5</v>
      </c>
      <c r="E96" s="82">
        <v>12</v>
      </c>
      <c r="F96" s="82">
        <v>4</v>
      </c>
      <c r="G96" s="82">
        <v>18</v>
      </c>
      <c r="H96" s="24">
        <v>3.9855999999999998</v>
      </c>
      <c r="I96" s="4">
        <v>1E-3</v>
      </c>
      <c r="J96" s="4">
        <v>-22.483499999999999</v>
      </c>
      <c r="K96" s="4">
        <v>1.5E-3</v>
      </c>
      <c r="L96" s="4">
        <v>3.4000000000000002E-2</v>
      </c>
      <c r="M96" s="4">
        <v>2.5999999999999999E-2</v>
      </c>
      <c r="N96" s="4">
        <v>-9.7999999999999997E-3</v>
      </c>
      <c r="O96" s="4">
        <v>1.1000000000000001E-3</v>
      </c>
      <c r="P96" s="4">
        <v>130.88</v>
      </c>
      <c r="Q96" s="4">
        <v>0.4</v>
      </c>
      <c r="R96" s="4">
        <f t="shared" si="0"/>
        <v>0.26930041152263373</v>
      </c>
      <c r="S96" s="22">
        <f t="shared" si="1"/>
        <v>8.2304526748971203E-4</v>
      </c>
    </row>
    <row r="97" spans="1:19" ht="16">
      <c r="A97" s="28" t="s">
        <v>191</v>
      </c>
      <c r="B97" s="84">
        <v>112212111112</v>
      </c>
      <c r="C97" s="84"/>
      <c r="D97" s="85">
        <v>0.75</v>
      </c>
      <c r="E97" s="82">
        <v>12</v>
      </c>
      <c r="F97" s="82">
        <v>4</v>
      </c>
      <c r="G97" s="82">
        <v>18</v>
      </c>
      <c r="H97" s="30">
        <v>2.7523</v>
      </c>
      <c r="I97" s="4">
        <v>8.9999999999999998E-4</v>
      </c>
      <c r="J97" s="29">
        <v>-15.88</v>
      </c>
      <c r="K97" s="4">
        <v>6.9999999999999999E-4</v>
      </c>
      <c r="L97" s="4">
        <v>6.9000000000000006E-2</v>
      </c>
      <c r="M97" s="4">
        <v>1.2E-2</v>
      </c>
      <c r="N97" s="4">
        <v>-1.9099999999999999E-2</v>
      </c>
      <c r="O97" s="4">
        <v>4.0000000000000002E-4</v>
      </c>
      <c r="P97" s="4">
        <v>120.58</v>
      </c>
      <c r="Q97" s="4">
        <v>0.27</v>
      </c>
      <c r="R97" s="29">
        <f t="shared" si="0"/>
        <v>0.24810699588477367</v>
      </c>
      <c r="S97" s="22">
        <f t="shared" si="1"/>
        <v>5.5555555555555556E-4</v>
      </c>
    </row>
    <row r="98" spans="1:19" ht="16">
      <c r="A98" s="19" t="s">
        <v>192</v>
      </c>
      <c r="B98" s="80">
        <v>112111112221</v>
      </c>
      <c r="C98" s="80"/>
      <c r="D98" s="81">
        <v>0.25</v>
      </c>
      <c r="E98" s="82">
        <v>12</v>
      </c>
      <c r="F98" s="82">
        <v>4</v>
      </c>
      <c r="G98" s="82">
        <v>18</v>
      </c>
      <c r="H98" s="21">
        <v>5.2343999999999999</v>
      </c>
      <c r="I98" s="4">
        <v>5.0000000000000001E-4</v>
      </c>
      <c r="J98" s="20">
        <v>-29.424800000000001</v>
      </c>
      <c r="K98" s="4">
        <v>8.9999999999999998E-4</v>
      </c>
      <c r="L98" s="4">
        <v>2.9000000000000001E-2</v>
      </c>
      <c r="M98" s="4">
        <v>3.0000000000000001E-3</v>
      </c>
      <c r="N98" s="4">
        <v>-7.0000000000000001E-3</v>
      </c>
      <c r="O98" s="4">
        <v>2.0000000000000001E-4</v>
      </c>
      <c r="P98" s="4">
        <v>132.66999999999999</v>
      </c>
      <c r="Q98" s="4">
        <v>0.26</v>
      </c>
      <c r="R98" s="20">
        <f>P98*E98/G98^3</f>
        <v>0.27298353909465017</v>
      </c>
      <c r="S98" s="22">
        <f>Q98*E98/G98^3</f>
        <v>5.3497942386831272E-4</v>
      </c>
    </row>
    <row r="99" spans="1:19" ht="16">
      <c r="A99" s="23" t="s">
        <v>192</v>
      </c>
      <c r="B99" s="82">
        <v>112111112221</v>
      </c>
      <c r="C99" s="82"/>
      <c r="D99" s="83">
        <v>0.5</v>
      </c>
      <c r="E99" s="82">
        <v>12</v>
      </c>
      <c r="F99" s="82">
        <v>4</v>
      </c>
      <c r="G99" s="82">
        <v>18</v>
      </c>
      <c r="H99" s="24">
        <v>3.9769000000000001</v>
      </c>
      <c r="I99" s="4">
        <v>2.9999999999999997E-4</v>
      </c>
      <c r="J99" s="4">
        <v>-22.398700000000002</v>
      </c>
      <c r="K99" s="4">
        <v>1E-3</v>
      </c>
      <c r="L99" s="4">
        <v>3.5999999999999997E-2</v>
      </c>
      <c r="M99" s="4">
        <v>6.0000000000000001E-3</v>
      </c>
      <c r="N99" s="4">
        <v>-1.03E-2</v>
      </c>
      <c r="O99" s="4">
        <v>4.0000000000000002E-4</v>
      </c>
      <c r="P99" s="4">
        <v>129.36000000000001</v>
      </c>
      <c r="Q99" s="4">
        <v>0.21</v>
      </c>
      <c r="R99" s="4">
        <f t="shared" si="0"/>
        <v>0.26617283950617288</v>
      </c>
      <c r="S99" s="22">
        <f t="shared" si="1"/>
        <v>4.3209876543209879E-4</v>
      </c>
    </row>
    <row r="100" spans="1:19" ht="16">
      <c r="A100" s="28" t="s">
        <v>192</v>
      </c>
      <c r="B100" s="84">
        <v>112111112221</v>
      </c>
      <c r="C100" s="84"/>
      <c r="D100" s="85">
        <v>0.75</v>
      </c>
      <c r="E100" s="82">
        <v>12</v>
      </c>
      <c r="F100" s="82">
        <v>4</v>
      </c>
      <c r="G100" s="82">
        <v>18</v>
      </c>
      <c r="H100" s="32">
        <v>2.7326000000000001</v>
      </c>
      <c r="I100" s="4">
        <v>5.0000000000000001E-4</v>
      </c>
      <c r="J100" s="29">
        <v>-16.176300000000001</v>
      </c>
      <c r="K100" s="4">
        <v>1.9E-3</v>
      </c>
      <c r="L100" s="4">
        <v>0.16200000000000001</v>
      </c>
      <c r="M100" s="4">
        <v>5.0000000000000001E-3</v>
      </c>
      <c r="N100" s="4">
        <v>-2.9100000000000001E-2</v>
      </c>
      <c r="O100" s="4">
        <v>6.9999999999999999E-4</v>
      </c>
      <c r="P100" s="4">
        <v>104.9</v>
      </c>
      <c r="Q100" s="4">
        <v>0.49</v>
      </c>
      <c r="R100" s="29">
        <f t="shared" si="0"/>
        <v>0.21584362139917698</v>
      </c>
      <c r="S100" s="22">
        <f t="shared" si="1"/>
        <v>1.0082304526748971E-3</v>
      </c>
    </row>
    <row r="101" spans="1:19" ht="16">
      <c r="A101" s="19" t="s">
        <v>193</v>
      </c>
      <c r="B101" s="80">
        <v>111112112221</v>
      </c>
      <c r="C101" s="80"/>
      <c r="D101" s="81">
        <v>0.25</v>
      </c>
      <c r="E101" s="82">
        <v>12</v>
      </c>
      <c r="F101" s="82">
        <v>4</v>
      </c>
      <c r="G101" s="82">
        <v>18</v>
      </c>
      <c r="H101" s="21">
        <v>5.2241999999999997</v>
      </c>
      <c r="I101" s="4">
        <v>5.0000000000000001E-4</v>
      </c>
      <c r="J101" s="20">
        <v>-29.503699999999998</v>
      </c>
      <c r="K101" s="4">
        <v>6.9999999999999999E-4</v>
      </c>
      <c r="L101" s="4">
        <v>3.2000000000000001E-2</v>
      </c>
      <c r="M101" s="4">
        <v>5.0000000000000001E-3</v>
      </c>
      <c r="N101" s="4">
        <v>-7.1999999999999998E-3</v>
      </c>
      <c r="O101" s="4">
        <v>2.0000000000000001E-4</v>
      </c>
      <c r="P101" s="4">
        <v>132.56</v>
      </c>
      <c r="Q101" s="4">
        <v>0.24</v>
      </c>
      <c r="R101" s="20">
        <f>P101*E101/G101^3</f>
        <v>0.27275720164609052</v>
      </c>
      <c r="S101" s="22">
        <f>Q101*E101/G101^3</f>
        <v>4.9382716049382717E-4</v>
      </c>
    </row>
    <row r="102" spans="1:19" ht="16">
      <c r="A102" s="23" t="s">
        <v>193</v>
      </c>
      <c r="B102" s="82">
        <v>111112112221</v>
      </c>
      <c r="C102" s="82"/>
      <c r="D102" s="83">
        <v>0.5</v>
      </c>
      <c r="E102" s="82">
        <v>12</v>
      </c>
      <c r="F102" s="82">
        <v>4</v>
      </c>
      <c r="G102" s="82">
        <v>18</v>
      </c>
      <c r="H102" s="24">
        <v>3.9516</v>
      </c>
      <c r="I102" s="4">
        <v>6.9999999999999999E-4</v>
      </c>
      <c r="J102" s="4">
        <v>-22.613800000000001</v>
      </c>
      <c r="K102" s="4">
        <v>1.1999999999999999E-3</v>
      </c>
      <c r="L102" s="4">
        <v>5.7000000000000002E-2</v>
      </c>
      <c r="M102" s="4">
        <v>6.0000000000000001E-3</v>
      </c>
      <c r="N102" s="4">
        <v>-1.14E-2</v>
      </c>
      <c r="O102" s="4">
        <v>2.0000000000000001E-4</v>
      </c>
      <c r="P102" s="4">
        <v>127.83</v>
      </c>
      <c r="Q102" s="4">
        <v>0.2</v>
      </c>
      <c r="R102" s="4">
        <f t="shared" si="0"/>
        <v>0.2630246913580247</v>
      </c>
      <c r="S102" s="22">
        <f t="shared" si="1"/>
        <v>4.1152263374485601E-4</v>
      </c>
    </row>
    <row r="103" spans="1:19" ht="16">
      <c r="A103" s="19" t="s">
        <v>194</v>
      </c>
      <c r="B103" s="80">
        <v>111112212112</v>
      </c>
      <c r="C103" s="80"/>
      <c r="D103" s="81">
        <v>0.25</v>
      </c>
      <c r="E103" s="82">
        <v>12</v>
      </c>
      <c r="F103" s="82">
        <v>4</v>
      </c>
      <c r="G103" s="82">
        <v>18</v>
      </c>
      <c r="H103" s="21">
        <v>5.2294999999999998</v>
      </c>
      <c r="I103" s="4">
        <v>4.0000000000000002E-4</v>
      </c>
      <c r="J103" s="20">
        <v>-29.563099999999999</v>
      </c>
      <c r="K103" s="4">
        <v>5.0000000000000001E-4</v>
      </c>
      <c r="L103" s="4">
        <v>2.9000000000000001E-2</v>
      </c>
      <c r="M103" s="4">
        <v>8.0000000000000002E-3</v>
      </c>
      <c r="N103" s="4">
        <v>-7.1000000000000004E-3</v>
      </c>
      <c r="O103" s="4">
        <v>2.9999999999999997E-4</v>
      </c>
      <c r="P103" s="4">
        <v>132.82</v>
      </c>
      <c r="Q103" s="4">
        <v>0.21</v>
      </c>
      <c r="R103" s="20">
        <f>P103*E103/G103^3</f>
        <v>0.27329218106995884</v>
      </c>
      <c r="S103" s="22">
        <f>Q103*E103/G103^3</f>
        <v>4.3209876543209879E-4</v>
      </c>
    </row>
    <row r="104" spans="1:19" ht="16">
      <c r="A104" s="23" t="s">
        <v>194</v>
      </c>
      <c r="B104" s="82">
        <v>111112212112</v>
      </c>
      <c r="C104" s="82"/>
      <c r="D104" s="83">
        <v>0.5</v>
      </c>
      <c r="E104" s="82">
        <v>12</v>
      </c>
      <c r="F104" s="82">
        <v>4</v>
      </c>
      <c r="G104" s="82">
        <v>18</v>
      </c>
      <c r="H104" s="24">
        <v>3.9588000000000001</v>
      </c>
      <c r="I104" s="4">
        <v>8.9999999999999998E-4</v>
      </c>
      <c r="J104" s="4">
        <v>-22.659800000000001</v>
      </c>
      <c r="K104" s="4">
        <v>1.9E-3</v>
      </c>
      <c r="L104" s="4">
        <v>7.3999999999999996E-2</v>
      </c>
      <c r="M104" s="4">
        <v>1.0999999999999999E-2</v>
      </c>
      <c r="N104" s="4">
        <v>-1.09E-2</v>
      </c>
      <c r="O104" s="4">
        <v>8.9999999999999998E-4</v>
      </c>
      <c r="P104" s="4">
        <v>129.69</v>
      </c>
      <c r="Q104" s="4">
        <v>0.92</v>
      </c>
      <c r="R104" s="4">
        <f t="shared" si="0"/>
        <v>0.26685185185185184</v>
      </c>
      <c r="S104" s="22">
        <f t="shared" si="1"/>
        <v>1.8930041152263376E-3</v>
      </c>
    </row>
    <row r="105" spans="1:19" ht="16">
      <c r="A105" s="28" t="s">
        <v>194</v>
      </c>
      <c r="B105" s="84">
        <v>111112212112</v>
      </c>
      <c r="C105" s="84"/>
      <c r="D105" s="85">
        <v>0.75</v>
      </c>
      <c r="E105" s="82">
        <v>12</v>
      </c>
      <c r="F105" s="82">
        <v>4</v>
      </c>
      <c r="G105" s="82">
        <v>18</v>
      </c>
      <c r="H105" s="32">
        <v>2.6789000000000001</v>
      </c>
      <c r="I105" s="4">
        <v>8.0000000000000004E-4</v>
      </c>
      <c r="J105" s="29">
        <v>-16.406199999999998</v>
      </c>
      <c r="K105" s="4">
        <v>1.1999999999999999E-3</v>
      </c>
      <c r="L105" s="4">
        <v>0.17499999999999999</v>
      </c>
      <c r="M105" s="4">
        <v>5.0000000000000001E-3</v>
      </c>
      <c r="N105" s="4">
        <v>-3.0300000000000001E-2</v>
      </c>
      <c r="O105" s="4">
        <v>2.9999999999999997E-4</v>
      </c>
      <c r="P105" s="4">
        <v>106.52</v>
      </c>
      <c r="Q105" s="4">
        <v>0.28999999999999998</v>
      </c>
      <c r="R105" s="29">
        <f t="shared" si="0"/>
        <v>0.21917695473251028</v>
      </c>
      <c r="S105" s="22">
        <f t="shared" si="1"/>
        <v>5.9670781893004111E-4</v>
      </c>
    </row>
    <row r="106" spans="1:19" ht="16">
      <c r="A106" s="19" t="s">
        <v>195</v>
      </c>
      <c r="B106" s="80">
        <v>121221111112</v>
      </c>
      <c r="C106" s="80"/>
      <c r="D106" s="81">
        <v>0.25</v>
      </c>
      <c r="E106" s="82">
        <v>12</v>
      </c>
      <c r="F106" s="82">
        <v>4</v>
      </c>
      <c r="G106" s="82">
        <v>18</v>
      </c>
      <c r="H106" s="21">
        <v>5.2481999999999998</v>
      </c>
      <c r="I106" s="4">
        <v>8.9999999999999998E-4</v>
      </c>
      <c r="J106" s="20">
        <v>-29.508800000000001</v>
      </c>
      <c r="K106" s="4">
        <v>1.1999999999999999E-3</v>
      </c>
      <c r="L106" s="4">
        <v>2.7E-2</v>
      </c>
      <c r="M106" s="4">
        <v>2E-3</v>
      </c>
      <c r="N106" s="4">
        <v>-7.0000000000000001E-3</v>
      </c>
      <c r="O106" s="4">
        <v>2.0000000000000001E-4</v>
      </c>
      <c r="P106" s="4">
        <v>132.88999999999999</v>
      </c>
      <c r="Q106" s="4">
        <v>0.12</v>
      </c>
      <c r="R106" s="20">
        <f>P106*E106/G106^3</f>
        <v>0.27343621399176954</v>
      </c>
      <c r="S106" s="22">
        <f>Q106*E106/G106^3</f>
        <v>2.4691358024691359E-4</v>
      </c>
    </row>
    <row r="107" spans="1:19" ht="16">
      <c r="A107" s="23" t="s">
        <v>195</v>
      </c>
      <c r="B107" s="82">
        <v>121221111112</v>
      </c>
      <c r="C107" s="82"/>
      <c r="D107" s="83">
        <v>0.5</v>
      </c>
      <c r="E107" s="82">
        <v>12</v>
      </c>
      <c r="F107" s="82">
        <v>4</v>
      </c>
      <c r="G107" s="82">
        <v>18</v>
      </c>
      <c r="H107" s="24">
        <v>4.0030999999999999</v>
      </c>
      <c r="I107" s="4">
        <v>1E-4</v>
      </c>
      <c r="J107" s="4">
        <v>-22.520299999999999</v>
      </c>
      <c r="K107" s="4">
        <v>1.2999999999999999E-3</v>
      </c>
      <c r="L107" s="4">
        <v>3.1E-2</v>
      </c>
      <c r="M107" s="4">
        <v>1.2E-2</v>
      </c>
      <c r="N107" s="4">
        <v>-9.7000000000000003E-3</v>
      </c>
      <c r="O107" s="4">
        <v>5.0000000000000001E-4</v>
      </c>
      <c r="P107" s="4">
        <v>130.51</v>
      </c>
      <c r="Q107" s="4">
        <v>0.32</v>
      </c>
      <c r="R107" s="4">
        <f t="shared" si="0"/>
        <v>0.26853909465020576</v>
      </c>
      <c r="S107" s="22">
        <f t="shared" si="1"/>
        <v>6.5843621399176949E-4</v>
      </c>
    </row>
    <row r="108" spans="1:19" ht="16">
      <c r="A108" s="28" t="s">
        <v>195</v>
      </c>
      <c r="B108" s="84">
        <v>121221111112</v>
      </c>
      <c r="C108" s="84"/>
      <c r="D108" s="85">
        <v>0.75</v>
      </c>
      <c r="E108" s="82">
        <v>12</v>
      </c>
      <c r="F108" s="82">
        <v>4</v>
      </c>
      <c r="G108" s="82">
        <v>18</v>
      </c>
      <c r="H108" s="32">
        <v>2.7839</v>
      </c>
      <c r="I108" s="4">
        <v>8.0000000000000004E-4</v>
      </c>
      <c r="J108" s="29">
        <v>-15.9786</v>
      </c>
      <c r="K108" s="4">
        <v>1.1999999999999999E-3</v>
      </c>
      <c r="L108" s="4">
        <v>7.0999999999999994E-2</v>
      </c>
      <c r="M108" s="4">
        <v>1.2999999999999999E-2</v>
      </c>
      <c r="N108" s="4">
        <v>-1.9300000000000001E-2</v>
      </c>
      <c r="O108" s="4">
        <v>5.9999999999999995E-4</v>
      </c>
      <c r="P108" s="4">
        <v>119.13</v>
      </c>
      <c r="Q108" s="4">
        <v>0.36</v>
      </c>
      <c r="R108" s="29">
        <f t="shared" si="0"/>
        <v>0.24512345679012346</v>
      </c>
      <c r="S108" s="22">
        <f t="shared" si="1"/>
        <v>7.4074074074074081E-4</v>
      </c>
    </row>
    <row r="109" spans="1:19" ht="16">
      <c r="A109" s="19" t="s">
        <v>196</v>
      </c>
      <c r="B109" s="80">
        <v>211211111122</v>
      </c>
      <c r="C109" s="80"/>
      <c r="D109" s="81">
        <v>0.25</v>
      </c>
      <c r="E109" s="82">
        <v>12</v>
      </c>
      <c r="F109" s="82">
        <v>4</v>
      </c>
      <c r="G109" s="82">
        <v>18</v>
      </c>
      <c r="H109" s="21">
        <v>5.2747999999999999</v>
      </c>
      <c r="I109" s="4">
        <v>2.9999999999999997E-4</v>
      </c>
      <c r="J109" s="20">
        <v>-29.479600000000001</v>
      </c>
      <c r="K109" s="4">
        <v>1.1000000000000001E-3</v>
      </c>
      <c r="L109" s="4">
        <v>2.3E-2</v>
      </c>
      <c r="M109" s="4">
        <v>3.0000000000000001E-3</v>
      </c>
      <c r="N109" s="4">
        <v>-7.1000000000000004E-3</v>
      </c>
      <c r="O109" s="4">
        <v>2.0000000000000001E-4</v>
      </c>
      <c r="P109" s="4">
        <v>132.63</v>
      </c>
      <c r="Q109" s="4">
        <v>0.12</v>
      </c>
      <c r="R109" s="20">
        <f>P109*E109/G109^3</f>
        <v>0.27290123456790122</v>
      </c>
      <c r="S109" s="22">
        <f>Q109*E109/G109^3</f>
        <v>2.4691358024691359E-4</v>
      </c>
    </row>
    <row r="110" spans="1:19" ht="16">
      <c r="A110" s="23" t="s">
        <v>196</v>
      </c>
      <c r="B110" s="82">
        <v>211211111122</v>
      </c>
      <c r="C110" s="82"/>
      <c r="D110" s="83">
        <v>0.5</v>
      </c>
      <c r="E110" s="82">
        <v>12</v>
      </c>
      <c r="F110" s="82">
        <v>4</v>
      </c>
      <c r="G110" s="82">
        <v>18</v>
      </c>
      <c r="H110" s="24">
        <v>4.0578000000000003</v>
      </c>
      <c r="I110" s="4">
        <v>5.0000000000000001E-4</v>
      </c>
      <c r="J110" s="4">
        <v>-22.4573</v>
      </c>
      <c r="K110" s="4">
        <v>1.8E-3</v>
      </c>
      <c r="L110" s="4">
        <v>2.9000000000000001E-2</v>
      </c>
      <c r="M110" s="4">
        <v>7.0000000000000001E-3</v>
      </c>
      <c r="N110" s="4">
        <v>-9.4000000000000004E-3</v>
      </c>
      <c r="O110" s="4">
        <v>4.0000000000000002E-4</v>
      </c>
      <c r="P110" s="4">
        <v>130.46</v>
      </c>
      <c r="Q110" s="4">
        <v>0.38</v>
      </c>
      <c r="R110" s="4">
        <f t="shared" si="0"/>
        <v>0.26843621399176953</v>
      </c>
      <c r="S110" s="22">
        <f t="shared" si="1"/>
        <v>7.8189300411522647E-4</v>
      </c>
    </row>
    <row r="111" spans="1:19" ht="16">
      <c r="A111" s="28" t="s">
        <v>196</v>
      </c>
      <c r="B111" s="84">
        <v>211211111122</v>
      </c>
      <c r="C111" s="84"/>
      <c r="D111" s="85">
        <v>0.75</v>
      </c>
      <c r="E111" s="82">
        <v>12</v>
      </c>
      <c r="F111" s="82">
        <v>4</v>
      </c>
      <c r="G111" s="82">
        <v>18</v>
      </c>
      <c r="H111" s="30">
        <v>2.8824000000000001</v>
      </c>
      <c r="I111" s="4">
        <v>2.9999999999999997E-4</v>
      </c>
      <c r="J111" s="29">
        <v>-15.8466</v>
      </c>
      <c r="K111" s="4">
        <v>5.0000000000000001E-4</v>
      </c>
      <c r="L111" s="4">
        <v>3.5000000000000003E-2</v>
      </c>
      <c r="M111" s="4">
        <v>4.0000000000000001E-3</v>
      </c>
      <c r="N111" s="4">
        <v>-1.6500000000000001E-2</v>
      </c>
      <c r="O111" s="4">
        <v>4.0000000000000002E-4</v>
      </c>
      <c r="P111" s="4">
        <v>120.73</v>
      </c>
      <c r="Q111" s="4">
        <v>0.33</v>
      </c>
      <c r="R111" s="29">
        <f t="shared" si="0"/>
        <v>0.24841563786008231</v>
      </c>
      <c r="S111" s="22">
        <f t="shared" si="1"/>
        <v>6.7901234567901232E-4</v>
      </c>
    </row>
    <row r="112" spans="1:19" ht="16">
      <c r="A112" s="86" t="s">
        <v>197</v>
      </c>
      <c r="B112" s="87">
        <v>111111112222</v>
      </c>
      <c r="C112" s="87" t="s">
        <v>17</v>
      </c>
      <c r="D112" s="81">
        <v>0.25</v>
      </c>
      <c r="E112" s="82">
        <v>12</v>
      </c>
      <c r="F112" s="82">
        <v>4</v>
      </c>
      <c r="G112" s="82">
        <v>18</v>
      </c>
      <c r="H112" s="21">
        <v>5.2584999999999997</v>
      </c>
      <c r="I112" s="4">
        <v>6.9999999999999999E-4</v>
      </c>
      <c r="J112" s="20">
        <v>-29.659099999999999</v>
      </c>
      <c r="K112" s="4">
        <v>1E-3</v>
      </c>
      <c r="L112" s="4">
        <v>2.8000000000000001E-2</v>
      </c>
      <c r="M112" s="4">
        <v>4.0000000000000001E-3</v>
      </c>
      <c r="N112" s="4">
        <v>-7.1999999999999998E-3</v>
      </c>
      <c r="O112" s="4">
        <v>1E-4</v>
      </c>
      <c r="P112" s="4">
        <v>131.91999999999999</v>
      </c>
      <c r="Q112" s="4">
        <v>0.1</v>
      </c>
      <c r="R112" s="20">
        <f>P112*E112/G112^3</f>
        <v>0.27144032921810701</v>
      </c>
      <c r="S112" s="22">
        <f>Q112*E112/G112^3</f>
        <v>2.0576131687242801E-4</v>
      </c>
    </row>
    <row r="113" spans="1:19" ht="16">
      <c r="A113" s="89" t="s">
        <v>197</v>
      </c>
      <c r="B113" s="90">
        <v>111111112222</v>
      </c>
      <c r="C113" s="90" t="s">
        <v>17</v>
      </c>
      <c r="D113" s="83">
        <v>0.5</v>
      </c>
      <c r="E113" s="82">
        <v>12</v>
      </c>
      <c r="F113" s="82">
        <v>4</v>
      </c>
      <c r="G113" s="82">
        <v>18</v>
      </c>
      <c r="H113" s="36">
        <v>4.0598000000000001</v>
      </c>
      <c r="I113" s="39">
        <v>4.0000000000000002E-4</v>
      </c>
      <c r="J113" s="39">
        <v>-23.318300000000001</v>
      </c>
      <c r="K113" s="39">
        <v>1.4E-3</v>
      </c>
      <c r="L113" s="39">
        <v>0.11</v>
      </c>
      <c r="M113" s="39">
        <v>0.01</v>
      </c>
      <c r="N113" s="39">
        <v>-1.47E-2</v>
      </c>
      <c r="O113" s="39">
        <v>5.0000000000000001E-4</v>
      </c>
      <c r="P113" s="39">
        <v>119.59</v>
      </c>
      <c r="Q113" s="39">
        <v>0.48</v>
      </c>
      <c r="R113" s="4">
        <f t="shared" si="0"/>
        <v>0.24606995884773661</v>
      </c>
      <c r="S113" s="22">
        <f t="shared" si="1"/>
        <v>9.8765432098765434E-4</v>
      </c>
    </row>
    <row r="114" spans="1:19" ht="16">
      <c r="A114" s="19" t="s">
        <v>198</v>
      </c>
      <c r="B114" s="80">
        <v>111211221112</v>
      </c>
      <c r="C114" s="80"/>
      <c r="D114" s="81">
        <v>0.25</v>
      </c>
      <c r="E114" s="82">
        <v>12</v>
      </c>
      <c r="F114" s="82">
        <v>4</v>
      </c>
      <c r="G114" s="82">
        <v>18</v>
      </c>
      <c r="H114" s="21">
        <v>5.2320000000000002</v>
      </c>
      <c r="I114" s="4">
        <v>4.0000000000000002E-4</v>
      </c>
      <c r="J114" s="20">
        <v>-29.464099999999998</v>
      </c>
      <c r="K114" s="4">
        <v>1.4E-3</v>
      </c>
      <c r="L114" s="4">
        <v>2.8000000000000001E-2</v>
      </c>
      <c r="M114" s="4">
        <v>4.0000000000000001E-3</v>
      </c>
      <c r="N114" s="4">
        <v>-6.8999999999999999E-3</v>
      </c>
      <c r="O114" s="4">
        <v>2.0000000000000001E-4</v>
      </c>
      <c r="P114" s="4">
        <v>132.97</v>
      </c>
      <c r="Q114" s="4">
        <v>0.11</v>
      </c>
      <c r="R114" s="20">
        <f>P114*E114/G114^3</f>
        <v>0.27360082304526745</v>
      </c>
      <c r="S114" s="22">
        <f>Q114*E114/G114^3</f>
        <v>2.2633744855967078E-4</v>
      </c>
    </row>
    <row r="115" spans="1:19" ht="16">
      <c r="A115" s="23" t="s">
        <v>198</v>
      </c>
      <c r="B115" s="82">
        <v>111211221112</v>
      </c>
      <c r="C115" s="82"/>
      <c r="D115" s="83">
        <v>0.5</v>
      </c>
      <c r="E115" s="82">
        <v>12</v>
      </c>
      <c r="F115" s="82">
        <v>4</v>
      </c>
      <c r="G115" s="82">
        <v>18</v>
      </c>
      <c r="H115" s="24">
        <v>3.9664000000000001</v>
      </c>
      <c r="I115" s="4">
        <v>1E-3</v>
      </c>
      <c r="J115" s="4">
        <v>-22.403500000000001</v>
      </c>
      <c r="K115" s="4">
        <v>1.2999999999999999E-3</v>
      </c>
      <c r="L115" s="4">
        <v>3.5000000000000003E-2</v>
      </c>
      <c r="M115" s="4">
        <v>1.2999999999999999E-2</v>
      </c>
      <c r="N115" s="4">
        <v>-0.01</v>
      </c>
      <c r="O115" s="4">
        <v>2.9999999999999997E-4</v>
      </c>
      <c r="P115" s="4">
        <v>131.13</v>
      </c>
      <c r="Q115" s="4">
        <v>0.11</v>
      </c>
      <c r="R115" s="4">
        <f t="shared" si="0"/>
        <v>0.26981481481481479</v>
      </c>
      <c r="S115" s="22">
        <f t="shared" si="1"/>
        <v>2.2633744855967078E-4</v>
      </c>
    </row>
    <row r="116" spans="1:19" ht="16">
      <c r="A116" s="28" t="s">
        <v>198</v>
      </c>
      <c r="B116" s="84">
        <v>111211221112</v>
      </c>
      <c r="C116" s="84"/>
      <c r="D116" s="85">
        <v>0.75</v>
      </c>
      <c r="E116" s="82">
        <v>12</v>
      </c>
      <c r="F116" s="82">
        <v>4</v>
      </c>
      <c r="G116" s="82">
        <v>18</v>
      </c>
      <c r="H116" s="32">
        <v>2.7065999999999999</v>
      </c>
      <c r="I116" s="4">
        <v>5.0000000000000001E-4</v>
      </c>
      <c r="J116" s="29">
        <v>-15.703200000000001</v>
      </c>
      <c r="K116" s="4">
        <v>1.1000000000000001E-3</v>
      </c>
      <c r="L116" s="4">
        <v>0.106</v>
      </c>
      <c r="M116" s="4">
        <v>1.7999999999999999E-2</v>
      </c>
      <c r="N116" s="4">
        <v>-2.0400000000000001E-2</v>
      </c>
      <c r="O116" s="4">
        <v>1.4E-3</v>
      </c>
      <c r="P116" s="4">
        <v>120.85</v>
      </c>
      <c r="Q116" s="4">
        <v>0.85</v>
      </c>
      <c r="R116" s="29">
        <f t="shared" si="0"/>
        <v>0.2486625514403292</v>
      </c>
      <c r="S116" s="22">
        <f t="shared" si="1"/>
        <v>1.7489711934156377E-3</v>
      </c>
    </row>
    <row r="117" spans="1:19" ht="16">
      <c r="A117" s="19" t="s">
        <v>199</v>
      </c>
      <c r="B117" s="80">
        <v>121112111221</v>
      </c>
      <c r="C117" s="80"/>
      <c r="D117" s="81">
        <v>0.25</v>
      </c>
      <c r="E117" s="82">
        <v>12</v>
      </c>
      <c r="F117" s="82">
        <v>4</v>
      </c>
      <c r="G117" s="82">
        <v>18</v>
      </c>
      <c r="H117" s="21">
        <v>5.2374999999999998</v>
      </c>
      <c r="I117" s="4">
        <v>8.9999999999999998E-4</v>
      </c>
      <c r="J117" s="20">
        <v>-29.400500000000001</v>
      </c>
      <c r="K117" s="4">
        <v>1.2999999999999999E-3</v>
      </c>
      <c r="L117" s="4">
        <v>3.3000000000000002E-2</v>
      </c>
      <c r="M117" s="4">
        <v>3.0000000000000001E-3</v>
      </c>
      <c r="N117" s="4">
        <v>-6.4000000000000003E-3</v>
      </c>
      <c r="O117" s="4">
        <v>2.0000000000000001E-4</v>
      </c>
      <c r="P117" s="4">
        <v>133.33000000000001</v>
      </c>
      <c r="Q117" s="4">
        <v>0.31</v>
      </c>
      <c r="R117" s="20">
        <f>P117*E117/G117^3</f>
        <v>0.27434156378600821</v>
      </c>
      <c r="S117" s="22">
        <f>Q117*E117/G117^3</f>
        <v>6.3786008230452666E-4</v>
      </c>
    </row>
    <row r="118" spans="1:19" ht="16">
      <c r="A118" s="23" t="s">
        <v>199</v>
      </c>
      <c r="B118" s="82">
        <v>121112111221</v>
      </c>
      <c r="C118" s="82"/>
      <c r="D118" s="83">
        <v>0.5</v>
      </c>
      <c r="E118" s="82">
        <v>12</v>
      </c>
      <c r="F118" s="82">
        <v>4</v>
      </c>
      <c r="G118" s="82">
        <v>18</v>
      </c>
      <c r="H118" s="24">
        <v>3.9799000000000002</v>
      </c>
      <c r="I118" s="4">
        <v>5.9999999999999995E-4</v>
      </c>
      <c r="J118" s="4">
        <v>-22.258099999999999</v>
      </c>
      <c r="K118" s="4">
        <v>2.5000000000000001E-3</v>
      </c>
      <c r="L118" s="4">
        <v>2.9000000000000001E-2</v>
      </c>
      <c r="M118" s="4">
        <v>0.13100000000000001</v>
      </c>
      <c r="N118" s="4">
        <v>-9.7000000000000003E-3</v>
      </c>
      <c r="O118" s="4">
        <v>4.7999999999999996E-3</v>
      </c>
      <c r="P118" s="4">
        <v>131.32</v>
      </c>
      <c r="Q118" s="4">
        <v>1.22</v>
      </c>
      <c r="R118" s="4">
        <f t="shared" si="0"/>
        <v>0.27020576131687241</v>
      </c>
      <c r="S118" s="22">
        <f t="shared" si="1"/>
        <v>2.5102880658436216E-3</v>
      </c>
    </row>
    <row r="119" spans="1:19" ht="16">
      <c r="A119" s="19" t="s">
        <v>200</v>
      </c>
      <c r="B119" s="80">
        <v>112111212121</v>
      </c>
      <c r="C119" s="80"/>
      <c r="D119" s="81">
        <v>0.25</v>
      </c>
      <c r="E119" s="82">
        <v>12</v>
      </c>
      <c r="F119" s="82">
        <v>4</v>
      </c>
      <c r="G119" s="82">
        <v>18</v>
      </c>
      <c r="H119" s="21">
        <v>5.2237999999999998</v>
      </c>
      <c r="I119" s="4">
        <v>2.0000000000000001E-4</v>
      </c>
      <c r="J119" s="20">
        <v>-29.555700000000002</v>
      </c>
      <c r="K119" s="4">
        <v>1E-3</v>
      </c>
      <c r="L119" s="4">
        <v>2.7E-2</v>
      </c>
      <c r="M119" s="4">
        <v>2E-3</v>
      </c>
      <c r="N119" s="4">
        <v>-6.8999999999999999E-3</v>
      </c>
      <c r="O119" s="4">
        <v>2.9999999999999997E-4</v>
      </c>
      <c r="P119" s="4">
        <v>133.22</v>
      </c>
      <c r="Q119" s="4">
        <v>0.28000000000000003</v>
      </c>
      <c r="R119" s="20">
        <f>P119*E119/G119^3</f>
        <v>0.27411522633744856</v>
      </c>
      <c r="S119" s="22">
        <f>Q119*E119/G119^3</f>
        <v>5.7613168724279839E-4</v>
      </c>
    </row>
    <row r="120" spans="1:19" ht="16">
      <c r="A120" s="23" t="s">
        <v>200</v>
      </c>
      <c r="B120" s="82">
        <v>112111212121</v>
      </c>
      <c r="C120" s="82"/>
      <c r="D120" s="83">
        <v>0.5</v>
      </c>
      <c r="E120" s="82">
        <v>12</v>
      </c>
      <c r="F120" s="82">
        <v>4</v>
      </c>
      <c r="G120" s="82">
        <v>18</v>
      </c>
      <c r="H120" s="24">
        <v>3.9514999999999998</v>
      </c>
      <c r="I120" s="4">
        <v>6.9999999999999999E-4</v>
      </c>
      <c r="J120" s="4">
        <v>-22.564900000000002</v>
      </c>
      <c r="K120" s="4">
        <v>1.5E-3</v>
      </c>
      <c r="L120" s="4">
        <v>4.3999999999999997E-2</v>
      </c>
      <c r="M120" s="4">
        <v>8.9999999999999993E-3</v>
      </c>
      <c r="N120" s="4">
        <v>-9.7999999999999997E-3</v>
      </c>
      <c r="O120" s="4">
        <v>2.0000000000000001E-4</v>
      </c>
      <c r="P120" s="4">
        <v>131.75</v>
      </c>
      <c r="Q120" s="4">
        <v>0.15</v>
      </c>
      <c r="R120" s="4">
        <f t="shared" si="0"/>
        <v>0.27109053497942387</v>
      </c>
      <c r="S120" s="22">
        <f t="shared" si="1"/>
        <v>3.0864197530864197E-4</v>
      </c>
    </row>
    <row r="121" spans="1:19" ht="16">
      <c r="A121" s="19" t="s">
        <v>201</v>
      </c>
      <c r="B121" s="80">
        <v>112111221121</v>
      </c>
      <c r="C121" s="80"/>
      <c r="D121" s="81">
        <v>0.25</v>
      </c>
      <c r="E121" s="82">
        <v>12</v>
      </c>
      <c r="F121" s="82">
        <v>4</v>
      </c>
      <c r="G121" s="82">
        <v>18</v>
      </c>
      <c r="H121" s="21">
        <v>5.2222999999999997</v>
      </c>
      <c r="I121" s="4">
        <v>8.0000000000000004E-4</v>
      </c>
      <c r="J121" s="20">
        <v>-29.427900000000001</v>
      </c>
      <c r="K121" s="4">
        <v>1.5E-3</v>
      </c>
      <c r="L121" s="4">
        <v>2.9000000000000001E-2</v>
      </c>
      <c r="M121" s="4">
        <v>3.0000000000000001E-3</v>
      </c>
      <c r="N121" s="4">
        <v>-6.8999999999999999E-3</v>
      </c>
      <c r="O121" s="4">
        <v>5.0000000000000001E-4</v>
      </c>
      <c r="P121" s="4">
        <v>133.12</v>
      </c>
      <c r="Q121" s="4">
        <v>0.4</v>
      </c>
      <c r="R121" s="20">
        <f>P121*E121/G121^3</f>
        <v>0.27390946502057612</v>
      </c>
      <c r="S121" s="22">
        <f>Q121*E121/G121^3</f>
        <v>8.2304526748971203E-4</v>
      </c>
    </row>
    <row r="122" spans="1:19" ht="16">
      <c r="A122" s="23" t="s">
        <v>201</v>
      </c>
      <c r="B122" s="82">
        <v>112111221121</v>
      </c>
      <c r="C122" s="82"/>
      <c r="D122" s="83">
        <v>0.5</v>
      </c>
      <c r="E122" s="82">
        <v>12</v>
      </c>
      <c r="F122" s="82">
        <v>4</v>
      </c>
      <c r="G122" s="82">
        <v>18</v>
      </c>
      <c r="H122" s="24">
        <v>3.9479000000000002</v>
      </c>
      <c r="I122" s="4">
        <v>6.9999999999999999E-4</v>
      </c>
      <c r="J122" s="4">
        <v>-22.316199999999998</v>
      </c>
      <c r="K122" s="4">
        <v>1E-3</v>
      </c>
      <c r="L122" s="4">
        <v>3.6999999999999998E-2</v>
      </c>
      <c r="M122" s="4">
        <v>2.5000000000000001E-2</v>
      </c>
      <c r="N122" s="4">
        <v>-9.7999999999999997E-3</v>
      </c>
      <c r="O122" s="4">
        <v>6.9999999999999999E-4</v>
      </c>
      <c r="P122" s="4">
        <v>131.62</v>
      </c>
      <c r="Q122" s="4">
        <v>0.32</v>
      </c>
      <c r="R122" s="4">
        <f t="shared" si="0"/>
        <v>0.27082304526748974</v>
      </c>
      <c r="S122" s="22">
        <f t="shared" si="1"/>
        <v>6.5843621399176949E-4</v>
      </c>
    </row>
    <row r="123" spans="1:19" ht="16">
      <c r="A123" s="19" t="s">
        <v>202</v>
      </c>
      <c r="B123" s="80">
        <v>111212111221</v>
      </c>
      <c r="C123" s="80"/>
      <c r="D123" s="81">
        <v>0.25</v>
      </c>
      <c r="E123" s="82">
        <v>12</v>
      </c>
      <c r="F123" s="82">
        <v>4</v>
      </c>
      <c r="G123" s="82">
        <v>18</v>
      </c>
      <c r="H123" s="21">
        <v>5.2245999999999997</v>
      </c>
      <c r="I123" s="4">
        <v>8.0000000000000004E-4</v>
      </c>
      <c r="J123" s="20">
        <v>-29.452999999999999</v>
      </c>
      <c r="K123" s="4">
        <v>1.1999999999999999E-3</v>
      </c>
      <c r="L123" s="4">
        <v>2.5999999999999999E-2</v>
      </c>
      <c r="M123" s="4">
        <v>5.0000000000000001E-3</v>
      </c>
      <c r="N123" s="4">
        <v>-7.1000000000000004E-3</v>
      </c>
      <c r="O123" s="4">
        <v>1E-4</v>
      </c>
      <c r="P123" s="4">
        <v>132.91999999999999</v>
      </c>
      <c r="Q123" s="4">
        <v>0.08</v>
      </c>
      <c r="R123" s="20">
        <f>P123*E123/G123^3</f>
        <v>0.27349794238683128</v>
      </c>
      <c r="S123" s="22">
        <f>Q123*E123/G123^3</f>
        <v>1.6460905349794237E-4</v>
      </c>
    </row>
    <row r="124" spans="1:19" ht="16">
      <c r="A124" s="23" t="s">
        <v>202</v>
      </c>
      <c r="B124" s="82">
        <v>111212111221</v>
      </c>
      <c r="C124" s="82"/>
      <c r="D124" s="83">
        <v>0.5</v>
      </c>
      <c r="E124" s="82">
        <v>12</v>
      </c>
      <c r="F124" s="82">
        <v>4</v>
      </c>
      <c r="G124" s="82">
        <v>18</v>
      </c>
      <c r="H124" s="24">
        <v>3.9531000000000001</v>
      </c>
      <c r="I124" s="4">
        <v>5.9999999999999995E-4</v>
      </c>
      <c r="J124" s="4">
        <v>-22.380299999999998</v>
      </c>
      <c r="K124" s="4">
        <v>1.5E-3</v>
      </c>
      <c r="L124" s="4">
        <v>4.1000000000000002E-2</v>
      </c>
      <c r="M124" s="4">
        <v>6.0000000000000001E-3</v>
      </c>
      <c r="N124" s="4">
        <v>-0.01</v>
      </c>
      <c r="O124" s="4">
        <v>4.0000000000000002E-4</v>
      </c>
      <c r="P124" s="4">
        <v>131.12</v>
      </c>
      <c r="Q124" s="4">
        <v>0.17</v>
      </c>
      <c r="R124" s="4">
        <f t="shared" si="0"/>
        <v>0.26979423868312757</v>
      </c>
      <c r="S124" s="22">
        <f t="shared" si="1"/>
        <v>3.4979423868312758E-4</v>
      </c>
    </row>
    <row r="125" spans="1:19" ht="16">
      <c r="A125" s="19" t="s">
        <v>203</v>
      </c>
      <c r="B125" s="80">
        <v>211112112112</v>
      </c>
      <c r="C125" s="80"/>
      <c r="D125" s="81">
        <v>0.25</v>
      </c>
      <c r="E125" s="82">
        <v>12</v>
      </c>
      <c r="F125" s="82">
        <v>4</v>
      </c>
      <c r="G125" s="82">
        <v>18</v>
      </c>
      <c r="H125" s="21">
        <v>5.2584</v>
      </c>
      <c r="I125" s="4">
        <v>2.0000000000000001E-4</v>
      </c>
      <c r="J125" s="20">
        <v>-29.534400000000002</v>
      </c>
      <c r="K125" s="4">
        <v>6.9999999999999999E-4</v>
      </c>
      <c r="L125" s="4">
        <v>2.7E-2</v>
      </c>
      <c r="M125" s="4">
        <v>3.0000000000000001E-3</v>
      </c>
      <c r="N125" s="4">
        <v>-6.8999999999999999E-3</v>
      </c>
      <c r="O125" s="4">
        <v>5.0000000000000001E-4</v>
      </c>
      <c r="P125" s="4">
        <v>133.06</v>
      </c>
      <c r="Q125" s="4">
        <v>0.33</v>
      </c>
      <c r="R125" s="20">
        <f>P125*E125/G125^3</f>
        <v>0.27378600823045268</v>
      </c>
      <c r="S125" s="22">
        <f>Q125*E125/G125^3</f>
        <v>6.7901234567901232E-4</v>
      </c>
    </row>
    <row r="126" spans="1:19" ht="16">
      <c r="A126" s="23" t="s">
        <v>203</v>
      </c>
      <c r="B126" s="82">
        <v>211112112112</v>
      </c>
      <c r="C126" s="82"/>
      <c r="D126" s="83">
        <v>0.5</v>
      </c>
      <c r="E126" s="82">
        <v>12</v>
      </c>
      <c r="F126" s="82">
        <v>4</v>
      </c>
      <c r="G126" s="82">
        <v>18</v>
      </c>
      <c r="H126" s="24">
        <v>4.0236000000000001</v>
      </c>
      <c r="I126" s="4">
        <v>2.9999999999999997E-4</v>
      </c>
      <c r="J126" s="4">
        <v>-22.513000000000002</v>
      </c>
      <c r="K126" s="4">
        <v>5.9999999999999995E-4</v>
      </c>
      <c r="L126" s="4">
        <v>2.1999999999999999E-2</v>
      </c>
      <c r="M126" s="4">
        <v>3.0000000000000001E-3</v>
      </c>
      <c r="N126" s="4">
        <v>-9.4999999999999998E-3</v>
      </c>
      <c r="O126" s="4">
        <v>4.0000000000000002E-4</v>
      </c>
      <c r="P126" s="4">
        <v>131.63</v>
      </c>
      <c r="Q126" s="4">
        <v>0.06</v>
      </c>
      <c r="R126" s="4">
        <f t="shared" si="0"/>
        <v>0.27084362139917695</v>
      </c>
      <c r="S126" s="22">
        <f t="shared" si="1"/>
        <v>1.2345679012345679E-4</v>
      </c>
    </row>
    <row r="127" spans="1:19" ht="16">
      <c r="A127" s="19" t="s">
        <v>204</v>
      </c>
      <c r="B127" s="80">
        <v>112211211112</v>
      </c>
      <c r="C127" s="80"/>
      <c r="D127" s="81">
        <v>0.25</v>
      </c>
      <c r="E127" s="82">
        <v>12</v>
      </c>
      <c r="F127" s="82">
        <v>4</v>
      </c>
      <c r="G127" s="82">
        <v>18</v>
      </c>
      <c r="H127" s="21">
        <v>5.2393000000000001</v>
      </c>
      <c r="I127" s="4">
        <v>4.0000000000000002E-4</v>
      </c>
      <c r="J127" s="20">
        <v>-29.441600000000001</v>
      </c>
      <c r="K127" s="4">
        <v>5.0000000000000001E-4</v>
      </c>
      <c r="L127" s="4">
        <v>2.4E-2</v>
      </c>
      <c r="M127" s="4">
        <v>2E-3</v>
      </c>
      <c r="N127" s="4">
        <v>-7.0000000000000001E-3</v>
      </c>
      <c r="O127" s="4">
        <v>2.0000000000000001E-4</v>
      </c>
      <c r="P127" s="4">
        <v>133.05000000000001</v>
      </c>
      <c r="Q127" s="4">
        <v>0.2</v>
      </c>
      <c r="R127" s="20">
        <f>P127*E127/G127^3</f>
        <v>0.27376543209876547</v>
      </c>
      <c r="S127" s="22">
        <f>Q127*E127/G127^3</f>
        <v>4.1152263374485601E-4</v>
      </c>
    </row>
    <row r="128" spans="1:19" ht="16">
      <c r="A128" s="23" t="s">
        <v>204</v>
      </c>
      <c r="B128" s="82">
        <v>112211211112</v>
      </c>
      <c r="C128" s="82"/>
      <c r="D128" s="83">
        <v>0.5</v>
      </c>
      <c r="E128" s="82">
        <v>12</v>
      </c>
      <c r="F128" s="82">
        <v>4</v>
      </c>
      <c r="G128" s="82">
        <v>18</v>
      </c>
      <c r="H128" s="24">
        <v>3.9847000000000001</v>
      </c>
      <c r="I128" s="4">
        <v>5.9999999999999995E-4</v>
      </c>
      <c r="J128" s="4">
        <v>-22.350200000000001</v>
      </c>
      <c r="K128" s="4">
        <v>1.1999999999999999E-3</v>
      </c>
      <c r="L128" s="4">
        <v>3.5000000000000003E-2</v>
      </c>
      <c r="M128" s="4">
        <v>7.0000000000000001E-3</v>
      </c>
      <c r="N128" s="4">
        <v>-9.5999999999999992E-3</v>
      </c>
      <c r="O128" s="4">
        <v>2.9999999999999997E-4</v>
      </c>
      <c r="P128" s="4">
        <v>131.31</v>
      </c>
      <c r="Q128" s="4">
        <v>0.12</v>
      </c>
      <c r="R128" s="4">
        <f t="shared" si="0"/>
        <v>0.27018518518518519</v>
      </c>
      <c r="S128" s="22">
        <f t="shared" si="1"/>
        <v>2.4691358024691359E-4</v>
      </c>
    </row>
    <row r="129" spans="1:19" ht="16">
      <c r="A129" s="19" t="s">
        <v>205</v>
      </c>
      <c r="B129" s="80">
        <v>211112211112</v>
      </c>
      <c r="C129" s="80"/>
      <c r="D129" s="81">
        <v>0.25</v>
      </c>
      <c r="E129" s="82">
        <v>12</v>
      </c>
      <c r="F129" s="82">
        <v>4</v>
      </c>
      <c r="G129" s="82">
        <v>18</v>
      </c>
      <c r="H129" s="21">
        <v>5.2565</v>
      </c>
      <c r="I129" s="4">
        <v>2.0000000000000001E-4</v>
      </c>
      <c r="J129" s="20">
        <v>-29.442299999999999</v>
      </c>
      <c r="K129" s="4">
        <v>1.5E-3</v>
      </c>
      <c r="L129" s="4">
        <v>2.7E-2</v>
      </c>
      <c r="M129" s="4">
        <v>8.0000000000000002E-3</v>
      </c>
      <c r="N129" s="4">
        <v>-6.7999999999999996E-3</v>
      </c>
      <c r="O129" s="4">
        <v>2.0000000000000001E-4</v>
      </c>
      <c r="P129" s="4">
        <v>133</v>
      </c>
      <c r="Q129" s="4">
        <v>0.23</v>
      </c>
      <c r="R129" s="20">
        <f>P129*E129/G129^3</f>
        <v>0.27366255144032919</v>
      </c>
      <c r="S129" s="22">
        <f>Q129*E129/G129^3</f>
        <v>4.732510288065844E-4</v>
      </c>
    </row>
    <row r="130" spans="1:19" ht="16">
      <c r="A130" s="23" t="s">
        <v>205</v>
      </c>
      <c r="B130" s="82">
        <v>211112211112</v>
      </c>
      <c r="C130" s="82"/>
      <c r="D130" s="83">
        <v>0.5</v>
      </c>
      <c r="E130" s="82">
        <v>12</v>
      </c>
      <c r="F130" s="82">
        <v>4</v>
      </c>
      <c r="G130" s="82">
        <v>18</v>
      </c>
      <c r="H130" s="24">
        <v>4.0210999999999997</v>
      </c>
      <c r="I130" s="4">
        <v>8.9999999999999998E-4</v>
      </c>
      <c r="J130" s="4">
        <v>-22.3536</v>
      </c>
      <c r="K130" s="4">
        <v>1.6000000000000001E-3</v>
      </c>
      <c r="L130" s="4">
        <v>3.2000000000000001E-2</v>
      </c>
      <c r="M130" s="4">
        <v>7.0000000000000001E-3</v>
      </c>
      <c r="N130" s="4">
        <v>-9.1000000000000004E-3</v>
      </c>
      <c r="O130" s="4">
        <v>2.9999999999999997E-4</v>
      </c>
      <c r="P130" s="4">
        <v>131.52000000000001</v>
      </c>
      <c r="Q130" s="4">
        <v>0.03</v>
      </c>
      <c r="R130" s="4">
        <f t="shared" si="0"/>
        <v>0.27061728395061735</v>
      </c>
      <c r="S130" s="22">
        <f t="shared" si="1"/>
        <v>6.1728395061728397E-5</v>
      </c>
    </row>
    <row r="131" spans="1:19" ht="16">
      <c r="A131" s="19" t="s">
        <v>206</v>
      </c>
      <c r="B131" s="80">
        <v>111211121122</v>
      </c>
      <c r="C131" s="80"/>
      <c r="D131" s="81">
        <v>0.25</v>
      </c>
      <c r="E131" s="82">
        <v>12</v>
      </c>
      <c r="F131" s="82">
        <v>4</v>
      </c>
      <c r="G131" s="82">
        <v>18</v>
      </c>
      <c r="H131" s="21">
        <v>5.2460000000000004</v>
      </c>
      <c r="I131" s="4">
        <v>6.9999999999999999E-4</v>
      </c>
      <c r="J131" s="20">
        <v>-29.4849</v>
      </c>
      <c r="K131" s="4">
        <v>1.2999999999999999E-3</v>
      </c>
      <c r="L131" s="4">
        <v>3.3000000000000002E-2</v>
      </c>
      <c r="M131" s="4">
        <v>4.0000000000000001E-3</v>
      </c>
      <c r="N131" s="4">
        <v>-7.1000000000000004E-3</v>
      </c>
      <c r="O131" s="4">
        <v>1E-4</v>
      </c>
      <c r="P131" s="4">
        <v>132.69</v>
      </c>
      <c r="Q131" s="4">
        <v>0.16</v>
      </c>
      <c r="R131" s="20">
        <f>P131*E131/G131^3</f>
        <v>0.27302469135802471</v>
      </c>
      <c r="S131" s="22">
        <f>Q131*E131/G131^3</f>
        <v>3.2921810699588475E-4</v>
      </c>
    </row>
    <row r="132" spans="1:19" ht="16">
      <c r="A132" s="23" t="s">
        <v>206</v>
      </c>
      <c r="B132" s="82">
        <v>111211121122</v>
      </c>
      <c r="C132" s="82"/>
      <c r="D132" s="83">
        <v>0.5</v>
      </c>
      <c r="E132" s="82">
        <v>12</v>
      </c>
      <c r="F132" s="82">
        <v>4</v>
      </c>
      <c r="G132" s="82">
        <v>18</v>
      </c>
      <c r="H132" s="24">
        <v>3.9952000000000001</v>
      </c>
      <c r="I132" s="4">
        <v>1E-3</v>
      </c>
      <c r="J132" s="4">
        <v>-22.470400000000001</v>
      </c>
      <c r="K132" s="4">
        <v>1.8E-3</v>
      </c>
      <c r="L132" s="4">
        <v>4.1000000000000002E-2</v>
      </c>
      <c r="M132" s="4">
        <v>0.02</v>
      </c>
      <c r="N132" s="4">
        <v>-0.01</v>
      </c>
      <c r="O132" s="4">
        <v>5.0000000000000001E-4</v>
      </c>
      <c r="P132" s="4">
        <v>130.18</v>
      </c>
      <c r="Q132" s="4">
        <v>0.51</v>
      </c>
      <c r="R132" s="4">
        <f t="shared" si="0"/>
        <v>0.26786008230452674</v>
      </c>
      <c r="S132" s="22">
        <f t="shared" si="1"/>
        <v>1.0493827160493827E-3</v>
      </c>
    </row>
    <row r="133" spans="1:19" ht="16">
      <c r="A133" s="28" t="s">
        <v>206</v>
      </c>
      <c r="B133" s="84">
        <v>111211121122</v>
      </c>
      <c r="C133" s="84"/>
      <c r="D133" s="85">
        <v>0.75</v>
      </c>
      <c r="E133" s="82">
        <v>12</v>
      </c>
      <c r="F133" s="82">
        <v>4</v>
      </c>
      <c r="G133" s="82">
        <v>18</v>
      </c>
      <c r="H133" s="32">
        <v>2.7484999999999999</v>
      </c>
      <c r="I133" s="4">
        <v>5.9999999999999995E-4</v>
      </c>
      <c r="J133" s="29">
        <v>-15.951000000000001</v>
      </c>
      <c r="K133" s="4">
        <v>1.1000000000000001E-3</v>
      </c>
      <c r="L133" s="4">
        <v>0.151</v>
      </c>
      <c r="M133" s="4">
        <v>3.1E-2</v>
      </c>
      <c r="N133" s="4">
        <v>-2.63E-2</v>
      </c>
      <c r="O133" s="4">
        <v>4.0000000000000002E-4</v>
      </c>
      <c r="P133" s="4">
        <v>112.35</v>
      </c>
      <c r="Q133" s="4">
        <v>0.48</v>
      </c>
      <c r="R133" s="29">
        <f t="shared" si="0"/>
        <v>0.23117283950617282</v>
      </c>
      <c r="S133" s="22">
        <f t="shared" si="1"/>
        <v>9.8765432098765434E-4</v>
      </c>
    </row>
    <row r="134" spans="1:19" ht="16">
      <c r="A134" s="19" t="s">
        <v>207</v>
      </c>
      <c r="B134" s="80">
        <v>111122121121</v>
      </c>
      <c r="C134" s="80"/>
      <c r="D134" s="81">
        <v>0.25</v>
      </c>
      <c r="E134" s="82">
        <v>12</v>
      </c>
      <c r="F134" s="82">
        <v>4</v>
      </c>
      <c r="G134" s="82">
        <v>18</v>
      </c>
      <c r="H134" s="21">
        <v>5.2140000000000004</v>
      </c>
      <c r="I134" s="4">
        <v>4.0000000000000002E-4</v>
      </c>
      <c r="J134" s="20">
        <v>-29.5093</v>
      </c>
      <c r="K134" s="4">
        <v>1.1999999999999999E-3</v>
      </c>
      <c r="L134" s="4">
        <v>2.9000000000000001E-2</v>
      </c>
      <c r="M134" s="4">
        <v>4.0000000000000001E-3</v>
      </c>
      <c r="N134" s="4">
        <v>-7.0000000000000001E-3</v>
      </c>
      <c r="O134" s="4">
        <v>2.0000000000000001E-4</v>
      </c>
      <c r="P134" s="4">
        <v>133.13999999999999</v>
      </c>
      <c r="Q134" s="4">
        <v>0.15</v>
      </c>
      <c r="R134" s="20">
        <f>P134*E134/G134^3</f>
        <v>0.27395061728395059</v>
      </c>
      <c r="S134" s="22">
        <f>Q134*E134/G134^3</f>
        <v>3.0864197530864197E-4</v>
      </c>
    </row>
    <row r="135" spans="1:19" ht="16">
      <c r="A135" s="23" t="s">
        <v>207</v>
      </c>
      <c r="B135" s="82">
        <v>111122121121</v>
      </c>
      <c r="C135" s="82"/>
      <c r="D135" s="83">
        <v>0.5</v>
      </c>
      <c r="E135" s="82">
        <v>12</v>
      </c>
      <c r="F135" s="82">
        <v>4</v>
      </c>
      <c r="G135" s="82">
        <v>18</v>
      </c>
      <c r="H135" s="24">
        <v>3.9293</v>
      </c>
      <c r="I135" s="4">
        <v>6.9999999999999999E-4</v>
      </c>
      <c r="J135" s="4">
        <v>-22.5198</v>
      </c>
      <c r="K135" s="4">
        <v>2.3E-3</v>
      </c>
      <c r="L135" s="4">
        <v>6.3E-2</v>
      </c>
      <c r="M135" s="4">
        <v>1.9E-2</v>
      </c>
      <c r="N135" s="4">
        <v>-1.0500000000000001E-2</v>
      </c>
      <c r="O135" s="4">
        <v>1.2999999999999999E-3</v>
      </c>
      <c r="P135" s="4">
        <v>130.52000000000001</v>
      </c>
      <c r="Q135" s="4">
        <v>0.78</v>
      </c>
      <c r="R135" s="4">
        <f t="shared" si="0"/>
        <v>0.26855967078189302</v>
      </c>
      <c r="S135" s="22">
        <f t="shared" si="1"/>
        <v>1.6049382716049382E-3</v>
      </c>
    </row>
    <row r="136" spans="1:19" ht="16">
      <c r="A136" s="28" t="s">
        <v>207</v>
      </c>
      <c r="B136" s="84">
        <v>111122121121</v>
      </c>
      <c r="C136" s="84"/>
      <c r="D136" s="85">
        <v>0.75</v>
      </c>
      <c r="E136" s="82">
        <v>12</v>
      </c>
      <c r="F136" s="82">
        <v>4</v>
      </c>
      <c r="G136" s="82">
        <v>18</v>
      </c>
      <c r="H136" s="32">
        <v>2.6356999999999999</v>
      </c>
      <c r="I136" s="4">
        <v>2.0000000000000001E-4</v>
      </c>
      <c r="J136" s="29">
        <v>-16.007899999999999</v>
      </c>
      <c r="K136" s="4">
        <v>8.0000000000000004E-4</v>
      </c>
      <c r="L136" s="4">
        <v>0.18099999999999999</v>
      </c>
      <c r="M136" s="4">
        <v>4.0000000000000001E-3</v>
      </c>
      <c r="N136" s="4">
        <v>-2.4899999999999999E-2</v>
      </c>
      <c r="O136" s="4">
        <v>6.9999999999999999E-4</v>
      </c>
      <c r="P136" s="4">
        <v>116.21</v>
      </c>
      <c r="Q136" s="4">
        <v>0.43</v>
      </c>
      <c r="R136" s="29">
        <f t="shared" si="0"/>
        <v>0.23911522633744856</v>
      </c>
      <c r="S136" s="22">
        <f t="shared" si="1"/>
        <v>8.847736625514403E-4</v>
      </c>
    </row>
    <row r="137" spans="1:19" ht="16">
      <c r="A137" s="19" t="s">
        <v>208</v>
      </c>
      <c r="B137" s="80">
        <v>111212112211</v>
      </c>
      <c r="C137" s="80"/>
      <c r="D137" s="81">
        <v>0.25</v>
      </c>
      <c r="E137" s="82">
        <v>12</v>
      </c>
      <c r="F137" s="82">
        <v>4</v>
      </c>
      <c r="G137" s="82">
        <v>18</v>
      </c>
      <c r="H137" s="21">
        <v>5.2123999999999997</v>
      </c>
      <c r="I137" s="4">
        <v>8.0000000000000004E-4</v>
      </c>
      <c r="J137" s="20">
        <v>-29.475999999999999</v>
      </c>
      <c r="K137" s="4">
        <v>6.9999999999999999E-4</v>
      </c>
      <c r="L137" s="4">
        <v>0.03</v>
      </c>
      <c r="M137" s="4">
        <v>3.0000000000000001E-3</v>
      </c>
      <c r="N137" s="4">
        <v>-7.1999999999999998E-3</v>
      </c>
      <c r="O137" s="4">
        <v>2.0000000000000001E-4</v>
      </c>
      <c r="P137" s="4">
        <v>133.01</v>
      </c>
      <c r="Q137" s="4">
        <v>0.1</v>
      </c>
      <c r="R137" s="20">
        <f>P137*E137/G137^3</f>
        <v>0.27368312757201646</v>
      </c>
      <c r="S137" s="22">
        <f>Q137*E137/G137^3</f>
        <v>2.0576131687242801E-4</v>
      </c>
    </row>
    <row r="138" spans="1:19" ht="16">
      <c r="A138" s="23" t="s">
        <v>208</v>
      </c>
      <c r="B138" s="82">
        <v>111212112211</v>
      </c>
      <c r="C138" s="82"/>
      <c r="D138" s="83">
        <v>0.5</v>
      </c>
      <c r="E138" s="82">
        <v>12</v>
      </c>
      <c r="F138" s="82">
        <v>4</v>
      </c>
      <c r="G138" s="82">
        <v>18</v>
      </c>
      <c r="H138" s="24">
        <v>3.9258000000000002</v>
      </c>
      <c r="I138" s="4">
        <v>5.9999999999999995E-4</v>
      </c>
      <c r="J138" s="4">
        <v>-22.434200000000001</v>
      </c>
      <c r="K138" s="4">
        <v>2.5000000000000001E-3</v>
      </c>
      <c r="L138" s="4">
        <v>5.2999999999999999E-2</v>
      </c>
      <c r="M138" s="4">
        <v>0.26400000000000001</v>
      </c>
      <c r="N138" s="4">
        <v>-1.0500000000000001E-2</v>
      </c>
      <c r="O138" s="4">
        <v>8.6999999999999994E-3</v>
      </c>
      <c r="P138" s="4">
        <v>131.1</v>
      </c>
      <c r="Q138" s="4">
        <v>2.0699999999999998</v>
      </c>
      <c r="R138" s="4">
        <f t="shared" si="0"/>
        <v>0.26975308641975304</v>
      </c>
      <c r="S138" s="22">
        <f t="shared" si="1"/>
        <v>4.2592592592592586E-3</v>
      </c>
    </row>
    <row r="139" spans="1:19" ht="16">
      <c r="A139" s="28" t="s">
        <v>208</v>
      </c>
      <c r="B139" s="84">
        <v>111212112211</v>
      </c>
      <c r="C139" s="84"/>
      <c r="D139" s="85">
        <v>0.75</v>
      </c>
      <c r="E139" s="82">
        <v>12</v>
      </c>
      <c r="F139" s="82">
        <v>4</v>
      </c>
      <c r="G139" s="82">
        <v>18</v>
      </c>
      <c r="H139" s="30">
        <v>2.6334</v>
      </c>
      <c r="I139" s="4">
        <v>5.9999999999999995E-4</v>
      </c>
      <c r="J139" s="29">
        <v>-15.786799999999999</v>
      </c>
      <c r="K139" s="4">
        <v>1.2999999999999999E-3</v>
      </c>
      <c r="L139" s="4">
        <v>0.14399999999999999</v>
      </c>
      <c r="M139" s="4">
        <v>5.0000000000000001E-3</v>
      </c>
      <c r="N139" s="4">
        <v>-2.1299999999999999E-2</v>
      </c>
      <c r="O139" s="4">
        <v>2.9999999999999997E-4</v>
      </c>
      <c r="P139" s="4">
        <v>120.39</v>
      </c>
      <c r="Q139" s="4">
        <v>0.26</v>
      </c>
      <c r="R139" s="29">
        <f t="shared" si="0"/>
        <v>0.24771604938271605</v>
      </c>
      <c r="S139" s="22">
        <f t="shared" si="1"/>
        <v>5.3497942386831272E-4</v>
      </c>
    </row>
    <row r="140" spans="1:19" ht="16">
      <c r="A140" s="19" t="s">
        <v>209</v>
      </c>
      <c r="B140" s="80">
        <v>111121122121</v>
      </c>
      <c r="C140" s="80"/>
      <c r="D140" s="81">
        <v>0.25</v>
      </c>
      <c r="E140" s="82">
        <v>12</v>
      </c>
      <c r="F140" s="82">
        <v>4</v>
      </c>
      <c r="G140" s="82">
        <v>18</v>
      </c>
      <c r="H140" s="21">
        <v>5.2182000000000004</v>
      </c>
      <c r="I140" s="4">
        <v>6.9999999999999999E-4</v>
      </c>
      <c r="J140" s="20">
        <v>-29.532</v>
      </c>
      <c r="K140" s="4">
        <v>5.9999999999999995E-4</v>
      </c>
      <c r="L140" s="4">
        <v>2.9000000000000001E-2</v>
      </c>
      <c r="M140" s="4">
        <v>5.0000000000000001E-3</v>
      </c>
      <c r="N140" s="4">
        <v>-7.1999999999999998E-3</v>
      </c>
      <c r="O140" s="4">
        <v>2.0000000000000001E-4</v>
      </c>
      <c r="P140" s="4">
        <v>132.78</v>
      </c>
      <c r="Q140" s="4">
        <v>0.28999999999999998</v>
      </c>
      <c r="R140" s="20">
        <f>P140*E140/G140^3</f>
        <v>0.27320987654320988</v>
      </c>
      <c r="S140" s="22">
        <f>Q140*E140/G140^3</f>
        <v>5.9670781893004111E-4</v>
      </c>
    </row>
    <row r="141" spans="1:19" ht="16">
      <c r="A141" s="23" t="s">
        <v>209</v>
      </c>
      <c r="B141" s="82">
        <v>111121122121</v>
      </c>
      <c r="C141" s="82"/>
      <c r="D141" s="83">
        <v>0.5</v>
      </c>
      <c r="E141" s="82">
        <v>12</v>
      </c>
      <c r="F141" s="82">
        <v>4</v>
      </c>
      <c r="G141" s="82">
        <v>18</v>
      </c>
      <c r="H141" s="24">
        <v>3.9357000000000002</v>
      </c>
      <c r="I141" s="4">
        <v>5.0000000000000001E-4</v>
      </c>
      <c r="J141" s="4">
        <v>-22.580400000000001</v>
      </c>
      <c r="K141" s="4">
        <v>1.8E-3</v>
      </c>
      <c r="L141" s="4">
        <v>4.2999999999999997E-2</v>
      </c>
      <c r="M141" s="4">
        <v>1.0999999999999999E-2</v>
      </c>
      <c r="N141" s="4">
        <v>-1.11E-2</v>
      </c>
      <c r="O141" s="4">
        <v>2.9999999999999997E-4</v>
      </c>
      <c r="P141" s="4">
        <v>129.91999999999999</v>
      </c>
      <c r="Q141" s="4">
        <v>0.17</v>
      </c>
      <c r="R141" s="4">
        <f t="shared" si="0"/>
        <v>0.26732510288065842</v>
      </c>
      <c r="S141" s="22">
        <f t="shared" si="1"/>
        <v>3.4979423868312758E-4</v>
      </c>
    </row>
    <row r="142" spans="1:19" ht="16">
      <c r="A142" s="28" t="s">
        <v>209</v>
      </c>
      <c r="B142" s="84">
        <v>111121122121</v>
      </c>
      <c r="C142" s="84"/>
      <c r="D142" s="85">
        <v>0.75</v>
      </c>
      <c r="E142" s="82">
        <v>12</v>
      </c>
      <c r="F142" s="82">
        <v>4</v>
      </c>
      <c r="G142" s="82">
        <v>18</v>
      </c>
      <c r="H142" s="96">
        <v>2.6335999999999999</v>
      </c>
      <c r="I142" s="4">
        <v>8.9999999999999998E-4</v>
      </c>
      <c r="J142" s="29">
        <v>-16.204599999999999</v>
      </c>
      <c r="K142" s="4">
        <v>1.6000000000000001E-3</v>
      </c>
      <c r="L142" s="4">
        <v>0.25700000000000001</v>
      </c>
      <c r="M142" s="4">
        <v>1.0999999999999999E-2</v>
      </c>
      <c r="N142" s="4">
        <v>-2.76E-2</v>
      </c>
      <c r="O142" s="4">
        <v>5.9999999999999995E-4</v>
      </c>
      <c r="P142" s="4">
        <v>110.7</v>
      </c>
      <c r="Q142" s="4">
        <v>0.5</v>
      </c>
      <c r="R142" s="29">
        <f t="shared" si="0"/>
        <v>0.2277777777777778</v>
      </c>
      <c r="S142" s="22">
        <f t="shared" si="1"/>
        <v>1.02880658436214E-3</v>
      </c>
    </row>
    <row r="143" spans="1:19" ht="16">
      <c r="A143" s="19" t="s">
        <v>210</v>
      </c>
      <c r="B143" s="80">
        <v>111211122211</v>
      </c>
      <c r="C143" s="80"/>
      <c r="D143" s="81">
        <v>0.25</v>
      </c>
      <c r="E143" s="82">
        <v>12</v>
      </c>
      <c r="F143" s="82">
        <v>4</v>
      </c>
      <c r="G143" s="82">
        <v>18</v>
      </c>
      <c r="H143" s="21">
        <v>5.2145999999999999</v>
      </c>
      <c r="I143" s="4">
        <v>2.0000000000000001E-4</v>
      </c>
      <c r="J143" s="20">
        <v>-29.425999999999998</v>
      </c>
      <c r="K143" s="4">
        <v>1.8E-3</v>
      </c>
      <c r="L143" s="4">
        <v>3.1E-2</v>
      </c>
      <c r="M143" s="4">
        <v>3.0000000000000001E-3</v>
      </c>
      <c r="N143" s="4">
        <v>-7.1999999999999998E-3</v>
      </c>
      <c r="O143" s="4">
        <v>2.9999999999999997E-4</v>
      </c>
      <c r="P143" s="4">
        <v>132.76</v>
      </c>
      <c r="Q143" s="4">
        <v>0.28999999999999998</v>
      </c>
      <c r="R143" s="20">
        <f>P143*E143/G143^3</f>
        <v>0.27316872427983535</v>
      </c>
      <c r="S143" s="22">
        <f>Q143*E143/G143^3</f>
        <v>5.9670781893004111E-4</v>
      </c>
    </row>
    <row r="144" spans="1:19" ht="16">
      <c r="A144" s="23" t="s">
        <v>210</v>
      </c>
      <c r="B144" s="82">
        <v>111211122211</v>
      </c>
      <c r="C144" s="82"/>
      <c r="D144" s="83">
        <v>0.5</v>
      </c>
      <c r="E144" s="82">
        <v>12</v>
      </c>
      <c r="F144" s="82">
        <v>4</v>
      </c>
      <c r="G144" s="82">
        <v>18</v>
      </c>
      <c r="H144" s="24">
        <v>3.9321999999999999</v>
      </c>
      <c r="I144" s="4">
        <v>8.0000000000000004E-4</v>
      </c>
      <c r="J144" s="4">
        <v>-22.3917</v>
      </c>
      <c r="K144" s="4">
        <v>1.1999999999999999E-3</v>
      </c>
      <c r="L144" s="4">
        <v>5.6000000000000001E-2</v>
      </c>
      <c r="M144" s="4">
        <v>8.0000000000000002E-3</v>
      </c>
      <c r="N144" s="4">
        <v>-1.0699999999999999E-2</v>
      </c>
      <c r="O144" s="4">
        <v>4.0000000000000002E-4</v>
      </c>
      <c r="P144" s="4">
        <v>129.86000000000001</v>
      </c>
      <c r="Q144" s="4">
        <v>0.24</v>
      </c>
      <c r="R144" s="4">
        <f t="shared" si="0"/>
        <v>0.26720164609053498</v>
      </c>
      <c r="S144" s="22">
        <f t="shared" si="1"/>
        <v>4.9382716049382717E-4</v>
      </c>
    </row>
    <row r="145" spans="1:19" ht="16">
      <c r="A145" s="28" t="s">
        <v>210</v>
      </c>
      <c r="B145" s="84">
        <v>111211122211</v>
      </c>
      <c r="C145" s="84"/>
      <c r="D145" s="85">
        <v>0.75</v>
      </c>
      <c r="E145" s="82">
        <v>12</v>
      </c>
      <c r="F145" s="82">
        <v>4</v>
      </c>
      <c r="G145" s="82">
        <v>18</v>
      </c>
      <c r="H145" s="32">
        <v>2.6320000000000001</v>
      </c>
      <c r="I145" s="4">
        <v>5.0000000000000001E-4</v>
      </c>
      <c r="J145" s="29">
        <v>-16.142499999999998</v>
      </c>
      <c r="K145" s="4">
        <v>8.9999999999999998E-4</v>
      </c>
      <c r="L145" s="4">
        <v>0.23899999999999999</v>
      </c>
      <c r="M145" s="4">
        <v>1.0999999999999999E-2</v>
      </c>
      <c r="N145" s="4">
        <v>-3.04E-2</v>
      </c>
      <c r="O145" s="4">
        <v>4.0000000000000002E-4</v>
      </c>
      <c r="P145" s="4">
        <v>106.65</v>
      </c>
      <c r="Q145" s="4">
        <v>0.39</v>
      </c>
      <c r="R145" s="29">
        <f t="shared" si="0"/>
        <v>0.21944444444444447</v>
      </c>
      <c r="S145" s="22">
        <f t="shared" si="1"/>
        <v>8.0246913580246909E-4</v>
      </c>
    </row>
    <row r="146" spans="1:19" ht="16">
      <c r="A146" s="19" t="s">
        <v>211</v>
      </c>
      <c r="B146" s="80">
        <v>111121211122</v>
      </c>
      <c r="C146" s="80"/>
      <c r="D146" s="81">
        <v>0.25</v>
      </c>
      <c r="E146" s="82">
        <v>12</v>
      </c>
      <c r="F146" s="82">
        <v>4</v>
      </c>
      <c r="G146" s="82">
        <v>18</v>
      </c>
      <c r="H146" s="21">
        <v>5.2416</v>
      </c>
      <c r="I146" s="4">
        <v>2.0000000000000001E-4</v>
      </c>
      <c r="J146" s="20">
        <v>-29.5122</v>
      </c>
      <c r="K146" s="4">
        <v>1.5E-3</v>
      </c>
      <c r="L146" s="4">
        <v>3.2000000000000001E-2</v>
      </c>
      <c r="M146" s="4">
        <v>7.0000000000000001E-3</v>
      </c>
      <c r="N146" s="4">
        <v>-7.3000000000000001E-3</v>
      </c>
      <c r="O146" s="4">
        <v>2.0000000000000001E-4</v>
      </c>
      <c r="P146" s="4">
        <v>132.68</v>
      </c>
      <c r="Q146" s="4">
        <v>0.16</v>
      </c>
      <c r="R146" s="20">
        <f>P146*E146/G146^3</f>
        <v>0.27300411522633744</v>
      </c>
      <c r="S146" s="22">
        <f>Q146*E146/G146^3</f>
        <v>3.2921810699588475E-4</v>
      </c>
    </row>
    <row r="147" spans="1:19" ht="16">
      <c r="A147" s="23" t="s">
        <v>211</v>
      </c>
      <c r="B147" s="82">
        <v>111121211122</v>
      </c>
      <c r="C147" s="82"/>
      <c r="D147" s="83">
        <v>0.5</v>
      </c>
      <c r="E147" s="82">
        <v>12</v>
      </c>
      <c r="F147" s="82">
        <v>4</v>
      </c>
      <c r="G147" s="82">
        <v>18</v>
      </c>
      <c r="H147" s="24">
        <v>3.9882</v>
      </c>
      <c r="I147" s="4">
        <v>4.0000000000000002E-4</v>
      </c>
      <c r="J147" s="4">
        <v>-22.537500000000001</v>
      </c>
      <c r="K147" s="4">
        <v>1.1999999999999999E-3</v>
      </c>
      <c r="L147" s="4">
        <v>4.1000000000000002E-2</v>
      </c>
      <c r="M147" s="4">
        <v>1.4999999999999999E-2</v>
      </c>
      <c r="N147" s="4">
        <v>-1.0699999999999999E-2</v>
      </c>
      <c r="O147" s="4">
        <v>1E-4</v>
      </c>
      <c r="P147" s="4">
        <v>129.63999999999999</v>
      </c>
      <c r="Q147" s="4">
        <v>0.25</v>
      </c>
      <c r="R147" s="4">
        <f t="shared" si="0"/>
        <v>0.26674897119341562</v>
      </c>
      <c r="S147" s="22">
        <f t="shared" si="1"/>
        <v>5.1440329218107E-4</v>
      </c>
    </row>
    <row r="148" spans="1:19" ht="16">
      <c r="A148" s="19" t="s">
        <v>212</v>
      </c>
      <c r="B148" s="80">
        <v>111121221211</v>
      </c>
      <c r="C148" s="80"/>
      <c r="D148" s="81">
        <v>0.25</v>
      </c>
      <c r="E148" s="82">
        <v>12</v>
      </c>
      <c r="F148" s="82">
        <v>4</v>
      </c>
      <c r="G148" s="82">
        <v>18</v>
      </c>
      <c r="H148" s="21">
        <v>5.2061000000000002</v>
      </c>
      <c r="I148" s="4">
        <v>4.0000000000000002E-4</v>
      </c>
      <c r="J148" s="20">
        <v>-29.577500000000001</v>
      </c>
      <c r="K148" s="4">
        <v>5.9999999999999995E-4</v>
      </c>
      <c r="L148" s="4">
        <v>3.1E-2</v>
      </c>
      <c r="M148" s="4">
        <v>8.9999999999999993E-3</v>
      </c>
      <c r="N148" s="4">
        <v>-7.4000000000000003E-3</v>
      </c>
      <c r="O148" s="4">
        <v>1E-4</v>
      </c>
      <c r="P148" s="4">
        <v>132.68</v>
      </c>
      <c r="Q148" s="4">
        <v>0.17</v>
      </c>
      <c r="R148" s="20">
        <f>P148*E148/G148^3</f>
        <v>0.27300411522633744</v>
      </c>
      <c r="S148" s="22">
        <f>Q148*E148/G148^3</f>
        <v>3.4979423868312758E-4</v>
      </c>
    </row>
    <row r="149" spans="1:19" ht="16">
      <c r="A149" s="23" t="s">
        <v>212</v>
      </c>
      <c r="B149" s="82">
        <v>111121221211</v>
      </c>
      <c r="C149" s="82"/>
      <c r="D149" s="83">
        <v>0.5</v>
      </c>
      <c r="E149" s="82">
        <v>12</v>
      </c>
      <c r="F149" s="82">
        <v>4</v>
      </c>
      <c r="G149" s="82">
        <v>18</v>
      </c>
      <c r="H149" s="24">
        <v>3.9104000000000001</v>
      </c>
      <c r="I149" s="4">
        <v>8.9999999999999998E-4</v>
      </c>
      <c r="J149" s="4">
        <v>-22.689</v>
      </c>
      <c r="K149" s="4">
        <v>5.9999999999999995E-4</v>
      </c>
      <c r="L149" s="4">
        <v>6.6000000000000003E-2</v>
      </c>
      <c r="M149" s="4">
        <v>0.02</v>
      </c>
      <c r="N149" s="4">
        <v>-1.09E-2</v>
      </c>
      <c r="O149" s="4">
        <v>2.9999999999999997E-4</v>
      </c>
      <c r="P149" s="4">
        <v>130.16</v>
      </c>
      <c r="Q149" s="4">
        <v>0.24</v>
      </c>
      <c r="R149" s="4">
        <f t="shared" si="0"/>
        <v>0.26781893004115226</v>
      </c>
      <c r="S149" s="22">
        <f t="shared" si="1"/>
        <v>4.9382716049382717E-4</v>
      </c>
    </row>
    <row r="150" spans="1:19" ht="16">
      <c r="A150" s="19" t="s">
        <v>213</v>
      </c>
      <c r="B150" s="80">
        <v>111221121121</v>
      </c>
      <c r="C150" s="80"/>
      <c r="D150" s="81">
        <v>0.25</v>
      </c>
      <c r="E150" s="82">
        <v>12</v>
      </c>
      <c r="F150" s="82">
        <v>4</v>
      </c>
      <c r="G150" s="82">
        <v>18</v>
      </c>
      <c r="H150" s="21">
        <v>5.2175000000000002</v>
      </c>
      <c r="I150" s="4">
        <v>6.9999999999999999E-4</v>
      </c>
      <c r="J150" s="20">
        <v>-29.4419</v>
      </c>
      <c r="K150" s="4">
        <v>2.8E-3</v>
      </c>
      <c r="L150" s="4">
        <v>3.6999999999999998E-2</v>
      </c>
      <c r="M150" s="4">
        <v>1.0999999999999999E-2</v>
      </c>
      <c r="N150" s="4">
        <v>-6.7999999999999996E-3</v>
      </c>
      <c r="O150" s="4">
        <v>5.9999999999999995E-4</v>
      </c>
      <c r="P150" s="4">
        <v>133.08000000000001</v>
      </c>
      <c r="Q150" s="4">
        <v>0.59</v>
      </c>
      <c r="R150" s="20">
        <f>P150*E150/G150^3</f>
        <v>0.27382716049382716</v>
      </c>
      <c r="S150" s="22">
        <f>Q150*E150/G150^3</f>
        <v>1.2139917695473252E-3</v>
      </c>
    </row>
    <row r="151" spans="1:19" ht="16">
      <c r="A151" s="23" t="s">
        <v>213</v>
      </c>
      <c r="B151" s="82">
        <v>111221121121</v>
      </c>
      <c r="C151" s="82"/>
      <c r="D151" s="83">
        <v>0.5</v>
      </c>
      <c r="E151" s="82">
        <v>12</v>
      </c>
      <c r="F151" s="82">
        <v>4</v>
      </c>
      <c r="G151" s="82">
        <v>18</v>
      </c>
      <c r="H151" s="24">
        <v>3.9401999999999999</v>
      </c>
      <c r="I151" s="4">
        <v>5.0000000000000001E-4</v>
      </c>
      <c r="J151" s="4">
        <v>-22.3431</v>
      </c>
      <c r="K151" s="4">
        <v>5.9999999999999995E-4</v>
      </c>
      <c r="L151" s="4">
        <v>4.3999999999999997E-2</v>
      </c>
      <c r="M151" s="4">
        <v>7.0000000000000001E-3</v>
      </c>
      <c r="N151" s="4">
        <v>-0.01</v>
      </c>
      <c r="O151" s="4">
        <v>2.9999999999999997E-4</v>
      </c>
      <c r="P151" s="4">
        <v>131.66999999999999</v>
      </c>
      <c r="Q151" s="4">
        <v>0.21</v>
      </c>
      <c r="R151" s="4">
        <f t="shared" si="0"/>
        <v>0.2709259259259259</v>
      </c>
      <c r="S151" s="22">
        <f t="shared" si="1"/>
        <v>4.3209876543209879E-4</v>
      </c>
    </row>
    <row r="152" spans="1:19" ht="16">
      <c r="A152" s="19" t="s">
        <v>214</v>
      </c>
      <c r="B152" s="80">
        <v>111112221112</v>
      </c>
      <c r="C152" s="80"/>
      <c r="D152" s="81">
        <v>0.25</v>
      </c>
      <c r="E152" s="82">
        <v>12</v>
      </c>
      <c r="F152" s="82">
        <v>4</v>
      </c>
      <c r="G152" s="82">
        <v>18</v>
      </c>
      <c r="H152" s="21">
        <v>5.2286000000000001</v>
      </c>
      <c r="I152" s="4">
        <v>2.9999999999999997E-4</v>
      </c>
      <c r="J152" s="20">
        <v>-29.479199999999999</v>
      </c>
      <c r="K152" s="4">
        <v>2.9999999999999997E-4</v>
      </c>
      <c r="L152" s="4">
        <v>0.03</v>
      </c>
      <c r="M152" s="4">
        <v>3.0000000000000001E-3</v>
      </c>
      <c r="N152" s="4">
        <v>-7.1999999999999998E-3</v>
      </c>
      <c r="O152" s="4">
        <v>1E-4</v>
      </c>
      <c r="P152" s="4">
        <v>132.66999999999999</v>
      </c>
      <c r="Q152" s="4">
        <v>0.13</v>
      </c>
      <c r="R152" s="20">
        <f>P152*E152/G152^3</f>
        <v>0.27298353909465017</v>
      </c>
      <c r="S152" s="22">
        <f>Q152*E152/G152^3</f>
        <v>2.6748971193415636E-4</v>
      </c>
    </row>
    <row r="153" spans="1:19" ht="16">
      <c r="A153" s="23" t="s">
        <v>214</v>
      </c>
      <c r="B153" s="82">
        <v>111112221112</v>
      </c>
      <c r="C153" s="82"/>
      <c r="D153" s="83">
        <v>0.5</v>
      </c>
      <c r="E153" s="82">
        <v>12</v>
      </c>
      <c r="F153" s="82">
        <v>4</v>
      </c>
      <c r="G153" s="82">
        <v>18</v>
      </c>
      <c r="H153" s="24">
        <v>3.9624999999999999</v>
      </c>
      <c r="I153" s="4">
        <v>8.0000000000000004E-4</v>
      </c>
      <c r="J153" s="4">
        <v>-22.529800000000002</v>
      </c>
      <c r="K153" s="4">
        <v>4.0000000000000002E-4</v>
      </c>
      <c r="L153" s="4">
        <v>5.0999999999999997E-2</v>
      </c>
      <c r="M153" s="4">
        <v>7.0000000000000001E-3</v>
      </c>
      <c r="N153" s="4">
        <v>-1.0800000000000001E-2</v>
      </c>
      <c r="O153" s="4">
        <v>2.0000000000000001E-4</v>
      </c>
      <c r="P153" s="4">
        <v>129.06</v>
      </c>
      <c r="Q153" s="4">
        <v>0.19</v>
      </c>
      <c r="R153" s="4">
        <f t="shared" si="0"/>
        <v>0.26555555555555554</v>
      </c>
      <c r="S153" s="22">
        <f t="shared" si="1"/>
        <v>3.9094650205761324E-4</v>
      </c>
    </row>
    <row r="154" spans="1:19" ht="16">
      <c r="A154" s="19" t="s">
        <v>215</v>
      </c>
      <c r="B154" s="80">
        <v>121111211122</v>
      </c>
      <c r="C154" s="80"/>
      <c r="D154" s="81">
        <v>0.25</v>
      </c>
      <c r="E154" s="82">
        <v>12</v>
      </c>
      <c r="F154" s="82">
        <v>4</v>
      </c>
      <c r="G154" s="82">
        <v>18</v>
      </c>
      <c r="H154" s="21">
        <v>5.2573999999999996</v>
      </c>
      <c r="I154" s="4">
        <v>5.9999999999999995E-4</v>
      </c>
      <c r="J154" s="20">
        <v>-29.443100000000001</v>
      </c>
      <c r="K154" s="4">
        <v>6.9999999999999999E-4</v>
      </c>
      <c r="L154" s="4">
        <v>2.4E-2</v>
      </c>
      <c r="M154" s="4">
        <v>6.0000000000000001E-3</v>
      </c>
      <c r="N154" s="4">
        <v>-6.7999999999999996E-3</v>
      </c>
      <c r="O154" s="4">
        <v>1E-4</v>
      </c>
      <c r="P154" s="4">
        <v>132.91</v>
      </c>
      <c r="Q154" s="4">
        <v>0.05</v>
      </c>
      <c r="R154" s="20">
        <f>P154*E154/G154^3</f>
        <v>0.27347736625514407</v>
      </c>
      <c r="S154" s="22">
        <f>Q154*E154/G154^3</f>
        <v>1.02880658436214E-4</v>
      </c>
    </row>
    <row r="155" spans="1:19" ht="16">
      <c r="A155" s="23" t="s">
        <v>215</v>
      </c>
      <c r="B155" s="82">
        <v>121111211122</v>
      </c>
      <c r="C155" s="82"/>
      <c r="D155" s="83">
        <v>0.5</v>
      </c>
      <c r="E155" s="82">
        <v>12</v>
      </c>
      <c r="F155" s="82">
        <v>4</v>
      </c>
      <c r="G155" s="82">
        <v>18</v>
      </c>
      <c r="H155" s="24">
        <v>4.0204000000000004</v>
      </c>
      <c r="I155" s="4">
        <v>2.9999999999999997E-4</v>
      </c>
      <c r="J155" s="4">
        <v>-22.368300000000001</v>
      </c>
      <c r="K155" s="4">
        <v>8.0000000000000004E-4</v>
      </c>
      <c r="L155" s="4">
        <v>2.4E-2</v>
      </c>
      <c r="M155" s="4">
        <v>2E-3</v>
      </c>
      <c r="N155" s="4">
        <v>-9.7999999999999997E-3</v>
      </c>
      <c r="O155" s="4">
        <v>2.0000000000000001E-4</v>
      </c>
      <c r="P155" s="4">
        <v>130.5</v>
      </c>
      <c r="Q155" s="4">
        <v>0.13</v>
      </c>
      <c r="R155" s="4">
        <f t="shared" si="0"/>
        <v>0.26851851851851855</v>
      </c>
      <c r="S155" s="22">
        <f t="shared" si="1"/>
        <v>2.6748971193415636E-4</v>
      </c>
    </row>
    <row r="156" spans="1:19" ht="16">
      <c r="A156" s="19" t="s">
        <v>216</v>
      </c>
      <c r="B156" s="80">
        <v>211112121112</v>
      </c>
      <c r="C156" s="80"/>
      <c r="D156" s="81">
        <v>0.25</v>
      </c>
      <c r="E156" s="82">
        <v>12</v>
      </c>
      <c r="F156" s="82">
        <v>4</v>
      </c>
      <c r="G156" s="82">
        <v>18</v>
      </c>
      <c r="H156" s="21">
        <v>5.2563000000000004</v>
      </c>
      <c r="I156" s="4">
        <v>5.0000000000000001E-4</v>
      </c>
      <c r="J156" s="20">
        <v>-29.545999999999999</v>
      </c>
      <c r="K156" s="4">
        <v>5.9999999999999995E-4</v>
      </c>
      <c r="L156" s="4">
        <v>0.03</v>
      </c>
      <c r="M156" s="4">
        <v>5.0000000000000001E-3</v>
      </c>
      <c r="N156" s="4">
        <v>-7.0000000000000001E-3</v>
      </c>
      <c r="O156" s="4">
        <v>2.0000000000000001E-4</v>
      </c>
      <c r="P156" s="4">
        <v>132.93</v>
      </c>
      <c r="Q156" s="4">
        <v>0.19</v>
      </c>
      <c r="R156" s="20">
        <f>P156*E156/G156^3</f>
        <v>0.27351851851851855</v>
      </c>
      <c r="S156" s="22">
        <f>Q156*E156/G156^3</f>
        <v>3.9094650205761324E-4</v>
      </c>
    </row>
    <row r="157" spans="1:19" ht="16">
      <c r="A157" s="23" t="s">
        <v>216</v>
      </c>
      <c r="B157" s="82">
        <v>211112121112</v>
      </c>
      <c r="C157" s="82"/>
      <c r="D157" s="83">
        <v>0.5</v>
      </c>
      <c r="E157" s="82">
        <v>12</v>
      </c>
      <c r="F157" s="82">
        <v>4</v>
      </c>
      <c r="G157" s="82">
        <v>18</v>
      </c>
      <c r="H157" s="24">
        <v>4.0190999999999999</v>
      </c>
      <c r="I157" s="4">
        <v>8.0000000000000004E-4</v>
      </c>
      <c r="J157" s="4">
        <v>-22.540800000000001</v>
      </c>
      <c r="K157" s="4">
        <v>1.1000000000000001E-3</v>
      </c>
      <c r="L157" s="4">
        <v>3.5000000000000003E-2</v>
      </c>
      <c r="M157" s="4">
        <v>1.2999999999999999E-2</v>
      </c>
      <c r="N157" s="4">
        <v>-9.2999999999999992E-3</v>
      </c>
      <c r="O157" s="4">
        <v>1.1000000000000001E-3</v>
      </c>
      <c r="P157" s="4">
        <v>131.91</v>
      </c>
      <c r="Q157" s="4">
        <v>0.6</v>
      </c>
      <c r="R157" s="4">
        <f t="shared" si="0"/>
        <v>0.27141975308641975</v>
      </c>
      <c r="S157" s="22">
        <f t="shared" si="1"/>
        <v>1.2345679012345679E-3</v>
      </c>
    </row>
    <row r="158" spans="1:19" ht="16">
      <c r="A158" s="19" t="s">
        <v>217</v>
      </c>
      <c r="B158" s="80">
        <v>111111212212</v>
      </c>
      <c r="C158" s="80"/>
      <c r="D158" s="81">
        <v>0.25</v>
      </c>
      <c r="E158" s="82">
        <v>12</v>
      </c>
      <c r="F158" s="82">
        <v>4</v>
      </c>
      <c r="G158" s="82">
        <v>18</v>
      </c>
      <c r="H158" s="21">
        <v>5.2373000000000003</v>
      </c>
      <c r="I158" s="4">
        <v>5.9999999999999995E-4</v>
      </c>
      <c r="J158" s="20">
        <v>-29.672999999999998</v>
      </c>
      <c r="K158" s="4">
        <v>1.4E-3</v>
      </c>
      <c r="L158" s="4">
        <v>3.4000000000000002E-2</v>
      </c>
      <c r="M158" s="4">
        <v>3.0000000000000001E-3</v>
      </c>
      <c r="N158" s="4">
        <v>-7.1000000000000004E-3</v>
      </c>
      <c r="O158" s="4">
        <v>2.0000000000000001E-4</v>
      </c>
      <c r="P158" s="4">
        <v>132.57</v>
      </c>
      <c r="Q158" s="4">
        <v>0.24</v>
      </c>
      <c r="R158" s="20">
        <f>P158*E158/G158^3</f>
        <v>0.27277777777777779</v>
      </c>
      <c r="S158" s="22">
        <f>Q158*E158/G158^3</f>
        <v>4.9382716049382717E-4</v>
      </c>
    </row>
    <row r="159" spans="1:19" ht="16">
      <c r="A159" s="23" t="s">
        <v>217</v>
      </c>
      <c r="B159" s="82">
        <v>111111212212</v>
      </c>
      <c r="C159" s="82"/>
      <c r="D159" s="83">
        <v>0.5</v>
      </c>
      <c r="E159" s="82">
        <v>12</v>
      </c>
      <c r="F159" s="82">
        <v>4</v>
      </c>
      <c r="G159" s="82">
        <v>18</v>
      </c>
      <c r="H159" s="24">
        <v>3.9765000000000001</v>
      </c>
      <c r="I159" s="4">
        <v>4.0000000000000002E-4</v>
      </c>
      <c r="J159" s="4">
        <v>-22.967500000000001</v>
      </c>
      <c r="K159" s="4">
        <v>1.5E-3</v>
      </c>
      <c r="L159" s="4">
        <v>6.0999999999999999E-2</v>
      </c>
      <c r="M159" s="4">
        <v>8.9999999999999993E-3</v>
      </c>
      <c r="N159" s="4">
        <v>-1.14E-2</v>
      </c>
      <c r="O159" s="4">
        <v>1E-4</v>
      </c>
      <c r="P159" s="4">
        <v>127.31</v>
      </c>
      <c r="Q159" s="4">
        <v>0.17</v>
      </c>
      <c r="R159" s="4">
        <f t="shared" si="0"/>
        <v>0.26195473251028806</v>
      </c>
      <c r="S159" s="22">
        <f t="shared" si="1"/>
        <v>3.4979423868312758E-4</v>
      </c>
    </row>
    <row r="160" spans="1:19" ht="16">
      <c r="A160" s="19" t="s">
        <v>218</v>
      </c>
      <c r="B160" s="87">
        <v>221111111122</v>
      </c>
      <c r="C160" s="87" t="s">
        <v>30</v>
      </c>
      <c r="D160" s="81">
        <v>0.25</v>
      </c>
      <c r="E160" s="82">
        <v>12</v>
      </c>
      <c r="F160" s="82">
        <v>4</v>
      </c>
      <c r="G160" s="82">
        <v>18</v>
      </c>
      <c r="H160" s="21">
        <v>5.2876000000000003</v>
      </c>
      <c r="I160" s="4">
        <v>5.0000000000000001E-4</v>
      </c>
      <c r="J160" s="20">
        <v>-29.436</v>
      </c>
      <c r="K160" s="4">
        <v>8.0000000000000004E-4</v>
      </c>
      <c r="L160" s="4">
        <v>2.9000000000000001E-2</v>
      </c>
      <c r="M160" s="4">
        <v>3.0000000000000001E-3</v>
      </c>
      <c r="N160" s="4">
        <v>-7.1000000000000004E-3</v>
      </c>
      <c r="O160" s="4">
        <v>2.9999999999999997E-4</v>
      </c>
      <c r="P160" s="4">
        <v>132.32</v>
      </c>
      <c r="Q160" s="4">
        <v>0.16</v>
      </c>
      <c r="R160" s="20">
        <f>P160*E160/G160^3</f>
        <v>0.27226337448559668</v>
      </c>
      <c r="S160" s="22">
        <f>Q160*E160/G160^3</f>
        <v>3.2921810699588475E-4</v>
      </c>
    </row>
    <row r="161" spans="1:19" ht="17" thickBot="1">
      <c r="A161" s="37" t="s">
        <v>218</v>
      </c>
      <c r="B161" s="64">
        <v>221111111122</v>
      </c>
      <c r="C161" s="64" t="s">
        <v>30</v>
      </c>
      <c r="D161" s="75">
        <v>0.5</v>
      </c>
      <c r="E161" s="72">
        <v>12</v>
      </c>
      <c r="F161" s="72">
        <v>4</v>
      </c>
      <c r="G161" s="72">
        <v>18</v>
      </c>
      <c r="H161" s="13">
        <v>4.0918999999999999</v>
      </c>
      <c r="I161" s="10">
        <v>2.9999999999999997E-4</v>
      </c>
      <c r="J161" s="10">
        <v>-22.440100000000001</v>
      </c>
      <c r="K161" s="10">
        <v>5.0000000000000001E-4</v>
      </c>
      <c r="L161" s="10">
        <v>3.1E-2</v>
      </c>
      <c r="M161" s="10">
        <v>8.9999999999999993E-3</v>
      </c>
      <c r="N161" s="10">
        <v>-9.7000000000000003E-3</v>
      </c>
      <c r="O161" s="10">
        <v>2.9999999999999997E-4</v>
      </c>
      <c r="P161" s="10">
        <v>129.21</v>
      </c>
      <c r="Q161" s="10">
        <v>0.23</v>
      </c>
      <c r="R161" s="10">
        <f t="shared" si="0"/>
        <v>0.26586419753086421</v>
      </c>
      <c r="S161" s="26">
        <f t="shared" si="1"/>
        <v>4.732510288065844E-4</v>
      </c>
    </row>
    <row r="162" spans="1:19" ht="17" thickTop="1">
      <c r="A162" s="27" t="s">
        <v>219</v>
      </c>
      <c r="B162" s="73">
        <v>112122121121</v>
      </c>
      <c r="C162" s="73"/>
      <c r="D162" s="5">
        <v>0.25</v>
      </c>
      <c r="E162" s="69">
        <v>12</v>
      </c>
      <c r="F162" s="69">
        <v>5</v>
      </c>
      <c r="G162" s="69">
        <v>18</v>
      </c>
      <c r="H162" s="12">
        <v>5.4084000000000003</v>
      </c>
      <c r="I162" s="7">
        <v>2.9999999999999997E-4</v>
      </c>
      <c r="J162" s="5">
        <v>-30.696100000000001</v>
      </c>
      <c r="K162" s="7">
        <v>8.9999999999999998E-4</v>
      </c>
      <c r="L162" s="7">
        <v>3.6999999999999998E-2</v>
      </c>
      <c r="M162" s="7">
        <v>2E-3</v>
      </c>
      <c r="N162" s="7">
        <v>-6.7999999999999996E-3</v>
      </c>
      <c r="O162" s="7">
        <v>2.0000000000000001E-4</v>
      </c>
      <c r="P162" s="7">
        <v>133.04</v>
      </c>
      <c r="Q162" s="7">
        <v>0.2</v>
      </c>
      <c r="R162" s="5">
        <f>P162*E162/G162^3</f>
        <v>0.2737448559670782</v>
      </c>
      <c r="S162" s="18">
        <f>Q162*E162/G162^3</f>
        <v>4.1152263374485601E-4</v>
      </c>
    </row>
    <row r="163" spans="1:19" ht="16">
      <c r="A163" s="23" t="s">
        <v>219</v>
      </c>
      <c r="B163" s="82">
        <v>112122121121</v>
      </c>
      <c r="C163" s="82"/>
      <c r="D163" s="83">
        <v>0.5</v>
      </c>
      <c r="E163" s="82">
        <v>12</v>
      </c>
      <c r="F163" s="82">
        <v>5</v>
      </c>
      <c r="G163" s="82">
        <v>18</v>
      </c>
      <c r="H163" s="24">
        <v>4.3185000000000002</v>
      </c>
      <c r="I163" s="4">
        <v>8.0000000000000004E-4</v>
      </c>
      <c r="J163" s="4">
        <v>-24.8827</v>
      </c>
      <c r="K163" s="4">
        <v>8.0000000000000004E-4</v>
      </c>
      <c r="L163" s="4">
        <v>4.2999999999999997E-2</v>
      </c>
      <c r="M163" s="4">
        <v>3.0000000000000001E-3</v>
      </c>
      <c r="N163" s="4">
        <v>-9.2999999999999992E-3</v>
      </c>
      <c r="O163" s="4">
        <v>4.0000000000000002E-4</v>
      </c>
      <c r="P163" s="4">
        <v>131.06</v>
      </c>
      <c r="Q163" s="4">
        <v>0.22</v>
      </c>
      <c r="R163" s="4">
        <f t="shared" si="0"/>
        <v>0.26967078189300414</v>
      </c>
      <c r="S163" s="22">
        <f t="shared" si="1"/>
        <v>4.5267489711934157E-4</v>
      </c>
    </row>
    <row r="164" spans="1:19" ht="16">
      <c r="A164" s="28" t="s">
        <v>219</v>
      </c>
      <c r="B164" s="84">
        <v>112122121121</v>
      </c>
      <c r="C164" s="84"/>
      <c r="D164" s="85">
        <v>0.75</v>
      </c>
      <c r="E164" s="82">
        <v>12</v>
      </c>
      <c r="F164" s="82">
        <v>5</v>
      </c>
      <c r="G164" s="82">
        <v>18</v>
      </c>
      <c r="H164" s="30">
        <v>3.2157</v>
      </c>
      <c r="I164" s="4">
        <v>1E-3</v>
      </c>
      <c r="J164" s="29">
        <v>-19.4054</v>
      </c>
      <c r="K164" s="4">
        <v>1.2999999999999999E-3</v>
      </c>
      <c r="L164" s="4">
        <v>0.124</v>
      </c>
      <c r="M164" s="4">
        <v>1.0999999999999999E-2</v>
      </c>
      <c r="N164" s="4">
        <v>-1.7000000000000001E-2</v>
      </c>
      <c r="O164" s="4">
        <v>5.0000000000000001E-4</v>
      </c>
      <c r="P164" s="4">
        <v>121.94</v>
      </c>
      <c r="Q164" s="4">
        <v>0.4</v>
      </c>
      <c r="R164" s="29">
        <f t="shared" si="0"/>
        <v>0.25090534979423867</v>
      </c>
      <c r="S164" s="22">
        <f t="shared" si="1"/>
        <v>8.2304526748971203E-4</v>
      </c>
    </row>
    <row r="165" spans="1:19" ht="16">
      <c r="A165" s="19" t="s">
        <v>220</v>
      </c>
      <c r="B165" s="80">
        <v>211121122112</v>
      </c>
      <c r="C165" s="80"/>
      <c r="D165" s="20">
        <v>0.25</v>
      </c>
      <c r="E165" s="82">
        <v>12</v>
      </c>
      <c r="F165" s="82">
        <v>5</v>
      </c>
      <c r="G165" s="82">
        <v>18</v>
      </c>
      <c r="H165" s="21">
        <v>5.4584000000000001</v>
      </c>
      <c r="I165" s="4">
        <v>8.9999999999999998E-4</v>
      </c>
      <c r="J165" s="20">
        <v>-30.6448</v>
      </c>
      <c r="K165" s="4">
        <v>1.6000000000000001E-3</v>
      </c>
      <c r="L165" s="4">
        <v>2.5000000000000001E-2</v>
      </c>
      <c r="M165" s="4">
        <v>4.0000000000000001E-3</v>
      </c>
      <c r="N165" s="4">
        <v>-6.7000000000000002E-3</v>
      </c>
      <c r="O165" s="4">
        <v>1E-4</v>
      </c>
      <c r="P165" s="4">
        <v>132.82</v>
      </c>
      <c r="Q165" s="4">
        <v>0.1</v>
      </c>
      <c r="R165" s="20">
        <f t="shared" si="0"/>
        <v>0.27329218106995884</v>
      </c>
      <c r="S165" s="22">
        <f t="shared" si="1"/>
        <v>2.0576131687242801E-4</v>
      </c>
    </row>
    <row r="166" spans="1:19" ht="16">
      <c r="A166" s="23" t="s">
        <v>220</v>
      </c>
      <c r="B166" s="82">
        <v>211121122112</v>
      </c>
      <c r="C166" s="82"/>
      <c r="D166" s="83">
        <v>0.5</v>
      </c>
      <c r="E166" s="82">
        <v>12</v>
      </c>
      <c r="F166" s="82">
        <v>5</v>
      </c>
      <c r="G166" s="82">
        <v>18</v>
      </c>
      <c r="H166" s="24">
        <v>4.4222000000000001</v>
      </c>
      <c r="I166" s="4">
        <v>5.9999999999999995E-4</v>
      </c>
      <c r="J166" s="4">
        <v>-24.766300000000001</v>
      </c>
      <c r="K166" s="4">
        <v>5.0000000000000001E-4</v>
      </c>
      <c r="L166" s="4">
        <v>7.1999999999999995E-2</v>
      </c>
      <c r="M166" s="4">
        <v>5.0000000000000001E-3</v>
      </c>
      <c r="N166" s="4">
        <v>-0.01</v>
      </c>
      <c r="O166" s="4">
        <v>2.0000000000000001E-4</v>
      </c>
      <c r="P166" s="4">
        <v>130.49</v>
      </c>
      <c r="Q166" s="4">
        <v>0.09</v>
      </c>
      <c r="R166" s="4">
        <f t="shared" si="0"/>
        <v>0.26849794238683128</v>
      </c>
      <c r="S166" s="22">
        <f t="shared" si="1"/>
        <v>1.851851851851852E-4</v>
      </c>
    </row>
    <row r="167" spans="1:19" ht="16">
      <c r="A167" s="28" t="s">
        <v>220</v>
      </c>
      <c r="B167" s="84">
        <v>211121122112</v>
      </c>
      <c r="C167" s="84"/>
      <c r="D167" s="85">
        <v>0.75</v>
      </c>
      <c r="E167" s="82">
        <v>12</v>
      </c>
      <c r="F167" s="82">
        <v>5</v>
      </c>
      <c r="G167" s="82">
        <v>18</v>
      </c>
      <c r="H167" s="30">
        <v>3.3934000000000002</v>
      </c>
      <c r="I167" s="4">
        <v>5.0000000000000001E-4</v>
      </c>
      <c r="J167" s="29">
        <v>-19.143999999999998</v>
      </c>
      <c r="K167" s="4">
        <v>5.0000000000000001E-4</v>
      </c>
      <c r="L167" s="4">
        <v>5.3999999999999999E-2</v>
      </c>
      <c r="M167" s="4">
        <v>6.0000000000000001E-3</v>
      </c>
      <c r="N167" s="4">
        <v>-1.29E-2</v>
      </c>
      <c r="O167" s="4">
        <v>5.0000000000000001E-4</v>
      </c>
      <c r="P167" s="4">
        <v>125.01</v>
      </c>
      <c r="Q167" s="4">
        <v>0.22</v>
      </c>
      <c r="R167" s="29">
        <f t="shared" si="0"/>
        <v>0.25722222222222224</v>
      </c>
      <c r="S167" s="22">
        <f t="shared" si="1"/>
        <v>4.5267489711934157E-4</v>
      </c>
    </row>
    <row r="168" spans="1:19" ht="16">
      <c r="A168" s="33" t="s">
        <v>220</v>
      </c>
      <c r="B168" s="97">
        <v>211121122112</v>
      </c>
      <c r="C168" s="97"/>
      <c r="D168" s="98">
        <v>1</v>
      </c>
      <c r="E168" s="82">
        <v>12</v>
      </c>
      <c r="F168" s="82">
        <v>5</v>
      </c>
      <c r="G168" s="82">
        <v>18</v>
      </c>
      <c r="H168" s="34">
        <v>2.4083999999999999</v>
      </c>
      <c r="I168" s="4">
        <v>8.0000000000000004E-4</v>
      </c>
      <c r="J168" s="34">
        <v>-14.355600000000001</v>
      </c>
      <c r="K168" s="4">
        <v>2.3999999999999998E-3</v>
      </c>
      <c r="L168" s="4">
        <v>0.108</v>
      </c>
      <c r="M168" s="4">
        <v>8.9999999999999993E-3</v>
      </c>
      <c r="N168" s="4">
        <v>-3.0599999999999999E-2</v>
      </c>
      <c r="O168" s="4">
        <v>6.9999999999999999E-4</v>
      </c>
      <c r="P168" s="4">
        <v>101</v>
      </c>
      <c r="Q168" s="4">
        <v>0.57999999999999996</v>
      </c>
      <c r="R168" s="34">
        <f t="shared" si="0"/>
        <v>0.20781893004115226</v>
      </c>
      <c r="S168" s="22">
        <f t="shared" si="1"/>
        <v>1.1934156378600822E-3</v>
      </c>
    </row>
    <row r="169" spans="1:19" ht="16">
      <c r="A169" s="19" t="s">
        <v>221</v>
      </c>
      <c r="B169" s="80">
        <v>211121121212</v>
      </c>
      <c r="C169" s="80"/>
      <c r="D169" s="20">
        <v>0.25</v>
      </c>
      <c r="E169" s="82">
        <v>12</v>
      </c>
      <c r="F169" s="82">
        <v>5</v>
      </c>
      <c r="G169" s="82">
        <v>18</v>
      </c>
      <c r="H169" s="21">
        <v>5.4627999999999997</v>
      </c>
      <c r="I169" s="4">
        <v>8.9999999999999998E-4</v>
      </c>
      <c r="J169" s="20">
        <v>-30.7713</v>
      </c>
      <c r="K169" s="4">
        <v>5.0000000000000001E-4</v>
      </c>
      <c r="L169" s="4">
        <v>2.4E-2</v>
      </c>
      <c r="M169" s="4">
        <v>4.0000000000000001E-3</v>
      </c>
      <c r="N169" s="4">
        <v>-6.4999999999999997E-3</v>
      </c>
      <c r="O169" s="4">
        <v>2.0000000000000001E-4</v>
      </c>
      <c r="P169" s="4">
        <v>132.97999999999999</v>
      </c>
      <c r="Q169" s="4">
        <v>0.24</v>
      </c>
      <c r="R169" s="20">
        <f t="shared" si="0"/>
        <v>0.27362139917695472</v>
      </c>
      <c r="S169" s="22">
        <f t="shared" si="1"/>
        <v>4.9382716049382717E-4</v>
      </c>
    </row>
    <row r="170" spans="1:19" ht="16">
      <c r="A170" s="23" t="s">
        <v>221</v>
      </c>
      <c r="B170" s="82">
        <v>211121121212</v>
      </c>
      <c r="C170" s="82"/>
      <c r="D170" s="83">
        <v>0.5</v>
      </c>
      <c r="E170" s="82">
        <v>12</v>
      </c>
      <c r="F170" s="82">
        <v>5</v>
      </c>
      <c r="G170" s="82">
        <v>18</v>
      </c>
      <c r="H170" s="24">
        <v>4.4303999999999997</v>
      </c>
      <c r="I170" s="4">
        <v>5.9999999999999995E-4</v>
      </c>
      <c r="J170" s="4">
        <v>-25.0136</v>
      </c>
      <c r="K170" s="4">
        <v>6.9999999999999999E-4</v>
      </c>
      <c r="L170" s="4">
        <v>2.5000000000000001E-2</v>
      </c>
      <c r="M170" s="4">
        <v>4.0000000000000001E-3</v>
      </c>
      <c r="N170" s="4">
        <v>-8.6E-3</v>
      </c>
      <c r="O170" s="4">
        <v>4.0000000000000002E-4</v>
      </c>
      <c r="P170" s="4">
        <v>131.11000000000001</v>
      </c>
      <c r="Q170" s="4">
        <v>0.22</v>
      </c>
      <c r="R170" s="4">
        <f t="shared" si="0"/>
        <v>0.26977366255144036</v>
      </c>
      <c r="S170" s="22">
        <f t="shared" si="1"/>
        <v>4.5267489711934157E-4</v>
      </c>
    </row>
    <row r="171" spans="1:19" ht="16">
      <c r="A171" s="28" t="s">
        <v>221</v>
      </c>
      <c r="B171" s="84">
        <v>211121121212</v>
      </c>
      <c r="C171" s="84"/>
      <c r="D171" s="85">
        <v>0.75</v>
      </c>
      <c r="E171" s="82">
        <v>12</v>
      </c>
      <c r="F171" s="82">
        <v>5</v>
      </c>
      <c r="G171" s="82">
        <v>18</v>
      </c>
      <c r="H171" s="30">
        <v>3.4026000000000001</v>
      </c>
      <c r="I171" s="4">
        <v>2.0000000000000001E-4</v>
      </c>
      <c r="J171" s="29">
        <v>-19.492899999999999</v>
      </c>
      <c r="K171" s="4">
        <v>5.0000000000000001E-4</v>
      </c>
      <c r="L171" s="4">
        <v>3.5999999999999997E-2</v>
      </c>
      <c r="M171" s="4">
        <v>5.0000000000000001E-3</v>
      </c>
      <c r="N171" s="4">
        <v>-1.3299999999999999E-2</v>
      </c>
      <c r="O171" s="4">
        <v>2.0000000000000001E-4</v>
      </c>
      <c r="P171" s="4">
        <v>125.1</v>
      </c>
      <c r="Q171" s="4">
        <v>0.15</v>
      </c>
      <c r="R171" s="29">
        <f t="shared" si="0"/>
        <v>0.25740740740740736</v>
      </c>
      <c r="S171" s="22">
        <f t="shared" si="1"/>
        <v>3.0864197530864197E-4</v>
      </c>
    </row>
    <row r="172" spans="1:19" ht="16">
      <c r="A172" s="33" t="s">
        <v>221</v>
      </c>
      <c r="B172" s="97">
        <v>211121121212</v>
      </c>
      <c r="C172" s="97"/>
      <c r="D172" s="98">
        <v>1</v>
      </c>
      <c r="E172" s="82">
        <v>12</v>
      </c>
      <c r="F172" s="82">
        <v>5</v>
      </c>
      <c r="G172" s="82">
        <v>18</v>
      </c>
      <c r="H172" s="34">
        <v>2.4097</v>
      </c>
      <c r="I172" s="4">
        <v>5.0000000000000001E-4</v>
      </c>
      <c r="J172" s="34">
        <v>-14.669</v>
      </c>
      <c r="K172" s="4">
        <v>4.0000000000000002E-4</v>
      </c>
      <c r="L172" s="4">
        <v>8.7999999999999995E-2</v>
      </c>
      <c r="M172" s="4">
        <v>1.0999999999999999E-2</v>
      </c>
      <c r="N172" s="4">
        <v>-2.9499999999999998E-2</v>
      </c>
      <c r="O172" s="4">
        <v>5.0000000000000001E-4</v>
      </c>
      <c r="P172" s="4">
        <v>102.66</v>
      </c>
      <c r="Q172" s="4">
        <v>0.31</v>
      </c>
      <c r="R172" s="34">
        <f t="shared" si="0"/>
        <v>0.21123456790123457</v>
      </c>
      <c r="S172" s="22">
        <f t="shared" si="1"/>
        <v>6.3786008230452666E-4</v>
      </c>
    </row>
    <row r="173" spans="1:19" ht="16">
      <c r="A173" s="19" t="s">
        <v>222</v>
      </c>
      <c r="B173" s="80">
        <v>211212111212</v>
      </c>
      <c r="C173" s="80"/>
      <c r="D173" s="20">
        <v>0.25</v>
      </c>
      <c r="E173" s="82">
        <v>12</v>
      </c>
      <c r="F173" s="82">
        <v>5</v>
      </c>
      <c r="G173" s="82">
        <v>18</v>
      </c>
      <c r="H173" s="21">
        <v>5.4671000000000003</v>
      </c>
      <c r="I173" s="4">
        <v>2.9999999999999997E-4</v>
      </c>
      <c r="J173" s="20">
        <v>-30.752500000000001</v>
      </c>
      <c r="K173" s="4">
        <v>1.1000000000000001E-3</v>
      </c>
      <c r="L173" s="4">
        <v>3.1E-2</v>
      </c>
      <c r="M173" s="4">
        <v>4.0000000000000001E-3</v>
      </c>
      <c r="N173" s="4">
        <v>-6.7000000000000002E-3</v>
      </c>
      <c r="O173" s="4">
        <v>2.0000000000000001E-4</v>
      </c>
      <c r="P173" s="4">
        <v>132.83000000000001</v>
      </c>
      <c r="Q173" s="4">
        <v>0.13</v>
      </c>
      <c r="R173" s="20">
        <f t="shared" si="0"/>
        <v>0.27331275720164611</v>
      </c>
      <c r="S173" s="22">
        <f t="shared" si="1"/>
        <v>2.6748971193415636E-4</v>
      </c>
    </row>
    <row r="174" spans="1:19" ht="16">
      <c r="A174" s="23" t="s">
        <v>222</v>
      </c>
      <c r="B174" s="82">
        <v>211212111212</v>
      </c>
      <c r="C174" s="82"/>
      <c r="D174" s="83">
        <v>0.5</v>
      </c>
      <c r="E174" s="82">
        <v>12</v>
      </c>
      <c r="F174" s="82">
        <v>5</v>
      </c>
      <c r="G174" s="82">
        <v>18</v>
      </c>
      <c r="H174" s="24">
        <v>4.4363999999999999</v>
      </c>
      <c r="I174" s="4">
        <v>8.9999999999999998E-4</v>
      </c>
      <c r="J174" s="4">
        <v>-24.971900000000002</v>
      </c>
      <c r="K174" s="4">
        <v>1E-3</v>
      </c>
      <c r="L174" s="4">
        <v>2.4E-2</v>
      </c>
      <c r="M174" s="4">
        <v>4.0000000000000001E-3</v>
      </c>
      <c r="N174" s="4">
        <v>-8.6E-3</v>
      </c>
      <c r="O174" s="4">
        <v>2.0000000000000001E-4</v>
      </c>
      <c r="P174" s="4">
        <v>131.19</v>
      </c>
      <c r="Q174" s="4">
        <v>0.18</v>
      </c>
      <c r="R174" s="4">
        <f t="shared" si="0"/>
        <v>0.26993827160493827</v>
      </c>
      <c r="S174" s="22">
        <f t="shared" si="1"/>
        <v>3.7037037037037041E-4</v>
      </c>
    </row>
    <row r="175" spans="1:19" ht="16">
      <c r="A175" s="28" t="s">
        <v>222</v>
      </c>
      <c r="B175" s="84">
        <v>211212111212</v>
      </c>
      <c r="C175" s="84"/>
      <c r="D175" s="85">
        <v>0.75</v>
      </c>
      <c r="E175" s="82">
        <v>12</v>
      </c>
      <c r="F175" s="82">
        <v>5</v>
      </c>
      <c r="G175" s="82">
        <v>18</v>
      </c>
      <c r="H175" s="30">
        <v>3.4140000000000001</v>
      </c>
      <c r="I175" s="4">
        <v>2.9999999999999997E-4</v>
      </c>
      <c r="J175" s="29">
        <v>-19.405999999999999</v>
      </c>
      <c r="K175" s="4">
        <v>1.5E-3</v>
      </c>
      <c r="L175" s="4">
        <v>2.4E-2</v>
      </c>
      <c r="M175" s="4">
        <v>5.0000000000000001E-3</v>
      </c>
      <c r="N175" s="4">
        <v>-1.26E-2</v>
      </c>
      <c r="O175" s="4">
        <v>5.0000000000000001E-4</v>
      </c>
      <c r="P175" s="4">
        <v>126.24</v>
      </c>
      <c r="Q175" s="4">
        <v>0.21</v>
      </c>
      <c r="R175" s="29">
        <f t="shared" si="0"/>
        <v>0.25975308641975309</v>
      </c>
      <c r="S175" s="22">
        <f t="shared" si="1"/>
        <v>4.3209876543209879E-4</v>
      </c>
    </row>
    <row r="176" spans="1:19" ht="16">
      <c r="A176" s="33" t="s">
        <v>222</v>
      </c>
      <c r="B176" s="97">
        <v>211212111212</v>
      </c>
      <c r="C176" s="97"/>
      <c r="D176" s="98">
        <v>1</v>
      </c>
      <c r="E176" s="82">
        <v>12</v>
      </c>
      <c r="F176" s="82">
        <v>5</v>
      </c>
      <c r="G176" s="82">
        <v>18</v>
      </c>
      <c r="H176" s="34">
        <v>2.4356</v>
      </c>
      <c r="I176" s="4">
        <v>2.9999999999999997E-4</v>
      </c>
      <c r="J176" s="34">
        <v>-14.4345</v>
      </c>
      <c r="K176" s="4">
        <v>6.9999999999999999E-4</v>
      </c>
      <c r="L176" s="4">
        <v>5.3999999999999999E-2</v>
      </c>
      <c r="M176" s="4">
        <v>1.2999999999999999E-2</v>
      </c>
      <c r="N176" s="4">
        <v>-2.4299999999999999E-2</v>
      </c>
      <c r="O176" s="4">
        <v>5.0000000000000001E-4</v>
      </c>
      <c r="P176" s="4">
        <v>109</v>
      </c>
      <c r="Q176" s="4">
        <v>0.39</v>
      </c>
      <c r="R176" s="34">
        <f t="shared" si="0"/>
        <v>0.22427983539094651</v>
      </c>
      <c r="S176" s="22">
        <f t="shared" si="1"/>
        <v>8.0246913580246909E-4</v>
      </c>
    </row>
    <row r="177" spans="1:19" ht="16">
      <c r="A177" s="19" t="s">
        <v>223</v>
      </c>
      <c r="B177" s="80">
        <v>111212221112</v>
      </c>
      <c r="C177" s="80"/>
      <c r="D177" s="20">
        <v>0.25</v>
      </c>
      <c r="E177" s="82">
        <v>12</v>
      </c>
      <c r="F177" s="82">
        <v>5</v>
      </c>
      <c r="G177" s="82">
        <v>18</v>
      </c>
      <c r="H177" s="21">
        <v>5.4202000000000004</v>
      </c>
      <c r="I177" s="4">
        <v>5.9999999999999995E-4</v>
      </c>
      <c r="J177" s="20">
        <v>-30.6769</v>
      </c>
      <c r="K177" s="4">
        <v>1.2999999999999999E-3</v>
      </c>
      <c r="L177" s="4">
        <v>0.03</v>
      </c>
      <c r="M177" s="4">
        <v>7.0000000000000001E-3</v>
      </c>
      <c r="N177" s="4">
        <v>-6.7000000000000002E-3</v>
      </c>
      <c r="O177" s="4">
        <v>4.0000000000000002E-4</v>
      </c>
      <c r="P177" s="4">
        <v>132.82</v>
      </c>
      <c r="Q177" s="4">
        <v>0.34</v>
      </c>
      <c r="R177" s="20">
        <f t="shared" si="0"/>
        <v>0.27329218106995884</v>
      </c>
      <c r="S177" s="22">
        <f t="shared" si="1"/>
        <v>6.9958847736625515E-4</v>
      </c>
    </row>
    <row r="178" spans="1:19" ht="16">
      <c r="A178" s="23" t="s">
        <v>223</v>
      </c>
      <c r="B178" s="82">
        <v>111212221112</v>
      </c>
      <c r="C178" s="82"/>
      <c r="D178" s="83">
        <v>0.5</v>
      </c>
      <c r="E178" s="82">
        <v>12</v>
      </c>
      <c r="F178" s="82">
        <v>5</v>
      </c>
      <c r="G178" s="82">
        <v>18</v>
      </c>
      <c r="H178" s="24">
        <v>4.3391000000000002</v>
      </c>
      <c r="I178" s="4">
        <v>8.9999999999999998E-4</v>
      </c>
      <c r="J178" s="4">
        <v>-24.927700000000002</v>
      </c>
      <c r="K178" s="4">
        <v>1.2999999999999999E-3</v>
      </c>
      <c r="L178" s="4">
        <v>6.5000000000000002E-2</v>
      </c>
      <c r="M178" s="4">
        <v>6.0000000000000001E-3</v>
      </c>
      <c r="N178" s="4">
        <v>-1.0200000000000001E-2</v>
      </c>
      <c r="O178" s="4">
        <v>5.0000000000000001E-4</v>
      </c>
      <c r="P178" s="4">
        <v>128.94999999999999</v>
      </c>
      <c r="Q178" s="4">
        <v>0.37</v>
      </c>
      <c r="R178" s="4">
        <f t="shared" si="0"/>
        <v>0.26532921810699583</v>
      </c>
      <c r="S178" s="22">
        <f t="shared" si="1"/>
        <v>7.6131687242798343E-4</v>
      </c>
    </row>
    <row r="179" spans="1:19" ht="16">
      <c r="A179" s="28" t="s">
        <v>223</v>
      </c>
      <c r="B179" s="84">
        <v>111212221112</v>
      </c>
      <c r="C179" s="84"/>
      <c r="D179" s="85">
        <v>0.75</v>
      </c>
      <c r="E179" s="82">
        <v>12</v>
      </c>
      <c r="F179" s="82">
        <v>5</v>
      </c>
      <c r="G179" s="82">
        <v>18</v>
      </c>
      <c r="H179" s="32">
        <v>3.2389999999999999</v>
      </c>
      <c r="I179" s="4">
        <v>6.9999999999999999E-4</v>
      </c>
      <c r="J179" s="29">
        <v>-19.812799999999999</v>
      </c>
      <c r="K179" s="4">
        <v>4.0000000000000002E-4</v>
      </c>
      <c r="L179" s="4">
        <v>0.20200000000000001</v>
      </c>
      <c r="M179" s="4">
        <v>8.9999999999999993E-3</v>
      </c>
      <c r="N179" s="4">
        <v>-2.1999999999999999E-2</v>
      </c>
      <c r="O179" s="4">
        <v>2.0000000000000001E-4</v>
      </c>
      <c r="P179" s="4">
        <v>111.49</v>
      </c>
      <c r="Q179" s="4">
        <v>0.32</v>
      </c>
      <c r="R179" s="29">
        <f t="shared" si="0"/>
        <v>0.22940329218106995</v>
      </c>
      <c r="S179" s="22">
        <f t="shared" si="1"/>
        <v>6.5843621399176949E-4</v>
      </c>
    </row>
    <row r="180" spans="1:19" ht="16">
      <c r="A180" s="19" t="s">
        <v>224</v>
      </c>
      <c r="B180" s="80">
        <v>121122111221</v>
      </c>
      <c r="C180" s="80"/>
      <c r="D180" s="20">
        <v>0.25</v>
      </c>
      <c r="E180" s="82">
        <v>12</v>
      </c>
      <c r="F180" s="82">
        <v>5</v>
      </c>
      <c r="G180" s="82">
        <v>18</v>
      </c>
      <c r="H180" s="21">
        <v>5.4288999999999996</v>
      </c>
      <c r="I180" s="4">
        <v>8.9999999999999998E-4</v>
      </c>
      <c r="J180" s="20">
        <v>-30.496200000000002</v>
      </c>
      <c r="K180" s="4">
        <v>2E-3</v>
      </c>
      <c r="L180" s="4">
        <v>3.3000000000000002E-2</v>
      </c>
      <c r="M180" s="4">
        <v>7.0000000000000001E-3</v>
      </c>
      <c r="N180" s="4">
        <v>-6.3E-3</v>
      </c>
      <c r="O180" s="4">
        <v>2.9999999999999997E-4</v>
      </c>
      <c r="P180" s="4">
        <v>133.22999999999999</v>
      </c>
      <c r="Q180" s="4">
        <v>0.13</v>
      </c>
      <c r="R180" s="20">
        <f t="shared" si="0"/>
        <v>0.27413580246913577</v>
      </c>
      <c r="S180" s="22">
        <f t="shared" si="1"/>
        <v>2.6748971193415636E-4</v>
      </c>
    </row>
    <row r="181" spans="1:19" ht="16">
      <c r="A181" s="23" t="s">
        <v>224</v>
      </c>
      <c r="B181" s="82">
        <v>121122111221</v>
      </c>
      <c r="C181" s="82"/>
      <c r="D181" s="83">
        <v>0.5</v>
      </c>
      <c r="E181" s="82">
        <v>12</v>
      </c>
      <c r="F181" s="82">
        <v>5</v>
      </c>
      <c r="G181" s="82">
        <v>18</v>
      </c>
      <c r="H181" s="24">
        <v>4.3623000000000003</v>
      </c>
      <c r="I181" s="4">
        <v>5.9999999999999995E-4</v>
      </c>
      <c r="J181" s="4">
        <v>-24.476299999999998</v>
      </c>
      <c r="K181" s="4">
        <v>1E-3</v>
      </c>
      <c r="L181" s="4">
        <v>3.2000000000000001E-2</v>
      </c>
      <c r="M181" s="4">
        <v>8.0000000000000002E-3</v>
      </c>
      <c r="N181" s="4">
        <v>-8.8000000000000005E-3</v>
      </c>
      <c r="O181" s="4">
        <v>2.0000000000000001E-4</v>
      </c>
      <c r="P181" s="4">
        <v>131.29</v>
      </c>
      <c r="Q181" s="4">
        <v>0.11</v>
      </c>
      <c r="R181" s="4">
        <f t="shared" si="0"/>
        <v>0.27014403292181072</v>
      </c>
      <c r="S181" s="22">
        <f t="shared" si="1"/>
        <v>2.2633744855967078E-4</v>
      </c>
    </row>
    <row r="182" spans="1:19" ht="16">
      <c r="A182" s="28" t="s">
        <v>224</v>
      </c>
      <c r="B182" s="84">
        <v>121122111221</v>
      </c>
      <c r="C182" s="84"/>
      <c r="D182" s="85">
        <v>0.75</v>
      </c>
      <c r="E182" s="82">
        <v>12</v>
      </c>
      <c r="F182" s="82">
        <v>5</v>
      </c>
      <c r="G182" s="82">
        <v>18</v>
      </c>
      <c r="H182" s="30">
        <v>3.3031999999999999</v>
      </c>
      <c r="I182" s="4">
        <v>1E-3</v>
      </c>
      <c r="J182" s="29">
        <v>-18.744700000000002</v>
      </c>
      <c r="K182" s="4">
        <v>1E-3</v>
      </c>
      <c r="L182" s="4">
        <v>6.4000000000000001E-2</v>
      </c>
      <c r="M182" s="4">
        <v>8.0000000000000002E-3</v>
      </c>
      <c r="N182" s="4">
        <v>-1.4E-2</v>
      </c>
      <c r="O182" s="4">
        <v>8.9999999999999998E-4</v>
      </c>
      <c r="P182" s="4">
        <v>124.45</v>
      </c>
      <c r="Q182" s="4">
        <v>0.52</v>
      </c>
      <c r="R182" s="29">
        <f t="shared" si="0"/>
        <v>0.25606995884773665</v>
      </c>
      <c r="S182" s="22">
        <f t="shared" si="1"/>
        <v>1.0699588477366254E-3</v>
      </c>
    </row>
    <row r="183" spans="1:19" ht="16">
      <c r="A183" s="33" t="s">
        <v>224</v>
      </c>
      <c r="B183" s="97">
        <v>121122111221</v>
      </c>
      <c r="C183" s="97"/>
      <c r="D183" s="98">
        <v>1</v>
      </c>
      <c r="E183" s="82">
        <v>12</v>
      </c>
      <c r="F183" s="82">
        <v>5</v>
      </c>
      <c r="G183" s="82">
        <v>18</v>
      </c>
      <c r="H183" s="38">
        <v>2.2492999999999999</v>
      </c>
      <c r="I183" s="4">
        <v>5.1000000000000004E-3</v>
      </c>
      <c r="J183" s="34">
        <v>-14.1835</v>
      </c>
      <c r="K183" s="4">
        <v>1.0200000000000001E-2</v>
      </c>
      <c r="L183" s="4">
        <v>0.108</v>
      </c>
      <c r="M183" s="4">
        <v>5.6000000000000001E-2</v>
      </c>
      <c r="N183" s="4">
        <v>-3.6700000000000003E-2</v>
      </c>
      <c r="O183" s="4">
        <v>8.9999999999999998E-4</v>
      </c>
      <c r="P183" s="4">
        <v>94.97</v>
      </c>
      <c r="Q183" s="4">
        <v>0.56999999999999995</v>
      </c>
      <c r="R183" s="34">
        <f t="shared" si="0"/>
        <v>0.19541152263374484</v>
      </c>
      <c r="S183" s="22">
        <f t="shared" si="1"/>
        <v>1.1728395061728395E-3</v>
      </c>
    </row>
    <row r="184" spans="1:19" ht="16">
      <c r="A184" s="19" t="s">
        <v>225</v>
      </c>
      <c r="B184" s="80">
        <v>111221121212</v>
      </c>
      <c r="C184" s="80"/>
      <c r="D184" s="20">
        <v>0.25</v>
      </c>
      <c r="E184" s="82">
        <v>12</v>
      </c>
      <c r="F184" s="82">
        <v>5</v>
      </c>
      <c r="G184" s="82">
        <v>18</v>
      </c>
      <c r="H184" s="21">
        <v>5.4314999999999998</v>
      </c>
      <c r="I184" s="4">
        <v>6.9999999999999999E-4</v>
      </c>
      <c r="J184" s="20">
        <v>-30.701000000000001</v>
      </c>
      <c r="K184" s="4">
        <v>1.4E-3</v>
      </c>
      <c r="L184" s="4">
        <v>2.8000000000000001E-2</v>
      </c>
      <c r="M184" s="4">
        <v>7.0000000000000001E-3</v>
      </c>
      <c r="N184" s="4">
        <v>-6.8999999999999999E-3</v>
      </c>
      <c r="O184" s="4">
        <v>1E-4</v>
      </c>
      <c r="P184" s="4">
        <v>132.79</v>
      </c>
      <c r="Q184" s="4">
        <v>0.08</v>
      </c>
      <c r="R184" s="20">
        <f t="shared" si="0"/>
        <v>0.2732304526748971</v>
      </c>
      <c r="S184" s="22">
        <f t="shared" si="1"/>
        <v>1.6460905349794237E-4</v>
      </c>
    </row>
    <row r="185" spans="1:19" ht="16">
      <c r="A185" s="23" t="s">
        <v>225</v>
      </c>
      <c r="B185" s="82">
        <v>111221121212</v>
      </c>
      <c r="C185" s="82"/>
      <c r="D185" s="83">
        <v>0.5</v>
      </c>
      <c r="E185" s="82">
        <v>12</v>
      </c>
      <c r="F185" s="82">
        <v>5</v>
      </c>
      <c r="G185" s="82">
        <v>18</v>
      </c>
      <c r="H185" s="24">
        <v>4.3620000000000001</v>
      </c>
      <c r="I185" s="4">
        <v>5.0000000000000001E-4</v>
      </c>
      <c r="J185" s="4">
        <v>-24.9101</v>
      </c>
      <c r="K185" s="4">
        <v>1E-3</v>
      </c>
      <c r="L185" s="4">
        <v>4.9000000000000002E-2</v>
      </c>
      <c r="M185" s="4">
        <v>4.0000000000000001E-3</v>
      </c>
      <c r="N185" s="4">
        <v>-9.4999999999999998E-3</v>
      </c>
      <c r="O185" s="4">
        <v>4.0000000000000002E-4</v>
      </c>
      <c r="P185" s="4">
        <v>130.25</v>
      </c>
      <c r="Q185" s="4">
        <v>0.15</v>
      </c>
      <c r="R185" s="4">
        <f t="shared" si="0"/>
        <v>0.26800411522633744</v>
      </c>
      <c r="S185" s="22">
        <f t="shared" si="1"/>
        <v>3.0864197530864197E-4</v>
      </c>
    </row>
    <row r="186" spans="1:19" ht="16">
      <c r="A186" s="28" t="s">
        <v>225</v>
      </c>
      <c r="B186" s="84">
        <v>111221121212</v>
      </c>
      <c r="C186" s="84"/>
      <c r="D186" s="85">
        <v>0.75</v>
      </c>
      <c r="E186" s="82">
        <v>12</v>
      </c>
      <c r="F186" s="82">
        <v>5</v>
      </c>
      <c r="G186" s="82">
        <v>18</v>
      </c>
      <c r="H186" s="30">
        <v>3.2871999999999999</v>
      </c>
      <c r="I186" s="4">
        <v>5.9999999999999995E-4</v>
      </c>
      <c r="J186" s="29">
        <v>-19.483699999999999</v>
      </c>
      <c r="K186" s="4">
        <v>1E-3</v>
      </c>
      <c r="L186" s="4">
        <v>0.121</v>
      </c>
      <c r="M186" s="4">
        <v>1.6E-2</v>
      </c>
      <c r="N186" s="4">
        <v>-1.7999999999999999E-2</v>
      </c>
      <c r="O186" s="4">
        <v>8.9999999999999998E-4</v>
      </c>
      <c r="P186" s="4">
        <v>119.16</v>
      </c>
      <c r="Q186" s="4">
        <v>0.64</v>
      </c>
      <c r="R186" s="29">
        <f t="shared" si="0"/>
        <v>0.2451851851851852</v>
      </c>
      <c r="S186" s="22">
        <f t="shared" si="1"/>
        <v>1.316872427983539E-3</v>
      </c>
    </row>
    <row r="187" spans="1:19" ht="16">
      <c r="A187" s="19" t="s">
        <v>226</v>
      </c>
      <c r="B187" s="80">
        <v>111212211221</v>
      </c>
      <c r="C187" s="80"/>
      <c r="D187" s="20">
        <v>0.25</v>
      </c>
      <c r="E187" s="82">
        <v>12</v>
      </c>
      <c r="F187" s="82">
        <v>5</v>
      </c>
      <c r="G187" s="82">
        <v>18</v>
      </c>
      <c r="H187" s="21">
        <v>5.4112</v>
      </c>
      <c r="I187" s="4">
        <v>5.0000000000000001E-4</v>
      </c>
      <c r="J187" s="20">
        <v>-30.602</v>
      </c>
      <c r="K187" s="4">
        <v>1.6999999999999999E-3</v>
      </c>
      <c r="L187" s="4">
        <v>2.9000000000000001E-2</v>
      </c>
      <c r="M187" s="4">
        <v>3.0000000000000001E-3</v>
      </c>
      <c r="N187" s="4">
        <v>-7.1000000000000004E-3</v>
      </c>
      <c r="O187" s="4">
        <v>4.0000000000000002E-4</v>
      </c>
      <c r="P187" s="4">
        <v>132.62</v>
      </c>
      <c r="Q187" s="4">
        <v>0.35</v>
      </c>
      <c r="R187" s="20">
        <f t="shared" si="0"/>
        <v>0.27288065843621401</v>
      </c>
      <c r="S187" s="22">
        <f t="shared" si="1"/>
        <v>7.2016460905349787E-4</v>
      </c>
    </row>
    <row r="188" spans="1:19" ht="16">
      <c r="A188" s="23" t="s">
        <v>226</v>
      </c>
      <c r="B188" s="82">
        <v>111212211221</v>
      </c>
      <c r="C188" s="82"/>
      <c r="D188" s="83">
        <v>0.5</v>
      </c>
      <c r="E188" s="82">
        <v>12</v>
      </c>
      <c r="F188" s="82">
        <v>5</v>
      </c>
      <c r="G188" s="82">
        <v>18</v>
      </c>
      <c r="H188" s="24">
        <v>4.3170999999999999</v>
      </c>
      <c r="I188" s="4">
        <v>5.0000000000000001E-4</v>
      </c>
      <c r="J188" s="4">
        <v>-24.741700000000002</v>
      </c>
      <c r="K188" s="4">
        <v>2.8E-3</v>
      </c>
      <c r="L188" s="4">
        <v>7.4999999999999997E-2</v>
      </c>
      <c r="M188" s="4">
        <v>1.9E-2</v>
      </c>
      <c r="N188" s="4">
        <v>-0.01</v>
      </c>
      <c r="O188" s="4">
        <v>5.9999999999999995E-4</v>
      </c>
      <c r="P188" s="4">
        <v>129.74</v>
      </c>
      <c r="Q188" s="4">
        <v>0.52</v>
      </c>
      <c r="R188" s="4">
        <f t="shared" si="0"/>
        <v>0.26695473251028806</v>
      </c>
      <c r="S188" s="22">
        <f t="shared" si="1"/>
        <v>1.0699588477366254E-3</v>
      </c>
    </row>
    <row r="189" spans="1:19" ht="16">
      <c r="A189" s="28" t="s">
        <v>226</v>
      </c>
      <c r="B189" s="84">
        <v>111212211221</v>
      </c>
      <c r="C189" s="84"/>
      <c r="D189" s="85">
        <v>0.75</v>
      </c>
      <c r="E189" s="82">
        <v>12</v>
      </c>
      <c r="F189" s="82">
        <v>5</v>
      </c>
      <c r="G189" s="82">
        <v>18</v>
      </c>
      <c r="H189" s="32">
        <v>3.2059000000000002</v>
      </c>
      <c r="I189" s="4">
        <v>4.0000000000000002E-4</v>
      </c>
      <c r="J189" s="29">
        <v>-19.370200000000001</v>
      </c>
      <c r="K189" s="4">
        <v>8.0000000000000004E-4</v>
      </c>
      <c r="L189" s="4">
        <v>0.188</v>
      </c>
      <c r="M189" s="4">
        <v>0.01</v>
      </c>
      <c r="N189" s="4">
        <v>-2.1700000000000001E-2</v>
      </c>
      <c r="O189" s="4">
        <v>5.0000000000000001E-4</v>
      </c>
      <c r="P189" s="4">
        <v>114.23</v>
      </c>
      <c r="Q189" s="4">
        <v>0.4</v>
      </c>
      <c r="R189" s="29">
        <f t="shared" si="0"/>
        <v>0.23504115226337449</v>
      </c>
      <c r="S189" s="22">
        <f t="shared" si="1"/>
        <v>8.2304526748971203E-4</v>
      </c>
    </row>
    <row r="190" spans="1:19" ht="16">
      <c r="A190" s="19" t="s">
        <v>227</v>
      </c>
      <c r="B190" s="80">
        <v>111222112112</v>
      </c>
      <c r="C190" s="80"/>
      <c r="D190" s="20">
        <v>0.25</v>
      </c>
      <c r="E190" s="82">
        <v>12</v>
      </c>
      <c r="F190" s="82">
        <v>5</v>
      </c>
      <c r="G190" s="82">
        <v>18</v>
      </c>
      <c r="H190" s="21">
        <v>5.4257</v>
      </c>
      <c r="I190" s="4">
        <v>8.0000000000000004E-4</v>
      </c>
      <c r="J190" s="20">
        <v>-30.617699999999999</v>
      </c>
      <c r="K190" s="4">
        <v>1.2999999999999999E-3</v>
      </c>
      <c r="L190" s="4">
        <v>2.7E-2</v>
      </c>
      <c r="M190" s="4">
        <v>5.0000000000000001E-3</v>
      </c>
      <c r="N190" s="4">
        <v>-6.8999999999999999E-3</v>
      </c>
      <c r="O190" s="4">
        <v>2.9999999999999997E-4</v>
      </c>
      <c r="P190" s="4">
        <v>132.75</v>
      </c>
      <c r="Q190" s="4">
        <v>0.25</v>
      </c>
      <c r="R190" s="20">
        <f t="shared" si="0"/>
        <v>0.27314814814814814</v>
      </c>
      <c r="S190" s="22">
        <f t="shared" si="1"/>
        <v>5.1440329218107E-4</v>
      </c>
    </row>
    <row r="191" spans="1:19" ht="16">
      <c r="A191" s="23" t="s">
        <v>227</v>
      </c>
      <c r="B191" s="82">
        <v>111222112112</v>
      </c>
      <c r="C191" s="82"/>
      <c r="D191" s="83">
        <v>0.5</v>
      </c>
      <c r="E191" s="82">
        <v>12</v>
      </c>
      <c r="F191" s="82">
        <v>5</v>
      </c>
      <c r="G191" s="82">
        <v>18</v>
      </c>
      <c r="H191" s="24">
        <v>4.3525</v>
      </c>
      <c r="I191" s="4">
        <v>1E-3</v>
      </c>
      <c r="J191" s="4">
        <v>-24.771899999999999</v>
      </c>
      <c r="K191" s="4">
        <v>1.4E-3</v>
      </c>
      <c r="L191" s="4">
        <v>4.7E-2</v>
      </c>
      <c r="M191" s="4">
        <v>1.2E-2</v>
      </c>
      <c r="N191" s="4">
        <v>-9.4999999999999998E-3</v>
      </c>
      <c r="O191" s="4">
        <v>2.9999999999999997E-4</v>
      </c>
      <c r="P191" s="4">
        <v>130.04</v>
      </c>
      <c r="Q191" s="4">
        <v>0.34</v>
      </c>
      <c r="R191" s="4">
        <f t="shared" si="0"/>
        <v>0.26757201646090534</v>
      </c>
      <c r="S191" s="22">
        <f t="shared" si="1"/>
        <v>6.9958847736625515E-4</v>
      </c>
    </row>
    <row r="192" spans="1:19" ht="16">
      <c r="A192" s="28" t="s">
        <v>227</v>
      </c>
      <c r="B192" s="84">
        <v>111222112112</v>
      </c>
      <c r="C192" s="84"/>
      <c r="D192" s="85">
        <v>0.75</v>
      </c>
      <c r="E192" s="82">
        <v>12</v>
      </c>
      <c r="F192" s="82">
        <v>5</v>
      </c>
      <c r="G192" s="82">
        <v>18</v>
      </c>
      <c r="H192" s="30">
        <v>3.2787000000000002</v>
      </c>
      <c r="I192" s="4">
        <v>5.9999999999999995E-4</v>
      </c>
      <c r="J192" s="29">
        <v>-19.395199999999999</v>
      </c>
      <c r="K192" s="4">
        <v>1.4E-3</v>
      </c>
      <c r="L192" s="4">
        <v>0.13300000000000001</v>
      </c>
      <c r="M192" s="4">
        <v>4.0000000000000001E-3</v>
      </c>
      <c r="N192" s="4">
        <v>-1.7899999999999999E-2</v>
      </c>
      <c r="O192" s="4">
        <v>6.9999999999999999E-4</v>
      </c>
      <c r="P192" s="4">
        <v>117.84</v>
      </c>
      <c r="Q192" s="4">
        <v>0.56000000000000005</v>
      </c>
      <c r="R192" s="29">
        <f t="shared" si="0"/>
        <v>0.24246913580246912</v>
      </c>
      <c r="S192" s="22">
        <f t="shared" si="1"/>
        <v>1.1522633744855968E-3</v>
      </c>
    </row>
    <row r="193" spans="1:19" ht="16">
      <c r="A193" s="19" t="s">
        <v>228</v>
      </c>
      <c r="B193" s="80">
        <v>112211221112</v>
      </c>
      <c r="C193" s="80"/>
      <c r="D193" s="20">
        <v>0.25</v>
      </c>
      <c r="E193" s="82">
        <v>12</v>
      </c>
      <c r="F193" s="82">
        <v>5</v>
      </c>
      <c r="G193" s="82">
        <v>18</v>
      </c>
      <c r="H193" s="21">
        <v>5.4295</v>
      </c>
      <c r="I193" s="4">
        <v>1E-3</v>
      </c>
      <c r="J193" s="20">
        <v>-30.542400000000001</v>
      </c>
      <c r="K193" s="4">
        <v>1E-3</v>
      </c>
      <c r="L193" s="4">
        <v>7.2999999999999995E-2</v>
      </c>
      <c r="M193" s="4">
        <v>2.8000000000000001E-2</v>
      </c>
      <c r="N193" s="4">
        <v>-7.1999999999999998E-3</v>
      </c>
      <c r="O193" s="4">
        <v>5.9999999999999995E-4</v>
      </c>
      <c r="P193" s="4">
        <v>132.79</v>
      </c>
      <c r="Q193" s="4">
        <v>0.18</v>
      </c>
      <c r="R193" s="20">
        <f t="shared" si="0"/>
        <v>0.2732304526748971</v>
      </c>
      <c r="S193" s="22">
        <f t="shared" si="1"/>
        <v>3.7037037037037041E-4</v>
      </c>
    </row>
    <row r="194" spans="1:19" ht="16">
      <c r="A194" s="23" t="s">
        <v>228</v>
      </c>
      <c r="B194" s="82">
        <v>112211221112</v>
      </c>
      <c r="C194" s="82"/>
      <c r="D194" s="83">
        <v>0.5</v>
      </c>
      <c r="E194" s="82">
        <v>12</v>
      </c>
      <c r="F194" s="82">
        <v>5</v>
      </c>
      <c r="G194" s="82">
        <v>18</v>
      </c>
      <c r="H194" s="24">
        <v>4.3666999999999998</v>
      </c>
      <c r="I194" s="4">
        <v>6.9999999999999999E-4</v>
      </c>
      <c r="J194" s="4">
        <v>-24.580300000000001</v>
      </c>
      <c r="K194" s="4">
        <v>1.8E-3</v>
      </c>
      <c r="L194" s="4">
        <v>3.7999999999999999E-2</v>
      </c>
      <c r="M194" s="4">
        <v>3.4000000000000002E-2</v>
      </c>
      <c r="N194" s="4">
        <v>-9.4000000000000004E-3</v>
      </c>
      <c r="O194" s="4">
        <v>6.9999999999999999E-4</v>
      </c>
      <c r="P194" s="4">
        <v>130.68</v>
      </c>
      <c r="Q194" s="4">
        <v>0.22</v>
      </c>
      <c r="R194" s="4">
        <f t="shared" si="0"/>
        <v>0.2688888888888889</v>
      </c>
      <c r="S194" s="22">
        <f t="shared" si="1"/>
        <v>4.5267489711934157E-4</v>
      </c>
    </row>
    <row r="195" spans="1:19" ht="16">
      <c r="A195" s="28" t="s">
        <v>228</v>
      </c>
      <c r="B195" s="84">
        <v>112211221112</v>
      </c>
      <c r="C195" s="84"/>
      <c r="D195" s="85">
        <v>0.75</v>
      </c>
      <c r="E195" s="82">
        <v>12</v>
      </c>
      <c r="F195" s="82">
        <v>5</v>
      </c>
      <c r="G195" s="82">
        <v>18</v>
      </c>
      <c r="H195" s="30">
        <v>3.3071000000000002</v>
      </c>
      <c r="I195" s="4">
        <v>6.9999999999999999E-4</v>
      </c>
      <c r="J195" s="29">
        <v>-18.952100000000002</v>
      </c>
      <c r="K195" s="4">
        <v>1.9E-3</v>
      </c>
      <c r="L195" s="4">
        <v>8.7999999999999995E-2</v>
      </c>
      <c r="M195" s="4">
        <v>1.4E-2</v>
      </c>
      <c r="N195" s="4">
        <v>-1.49E-2</v>
      </c>
      <c r="O195" s="4">
        <v>1.1000000000000001E-3</v>
      </c>
      <c r="P195" s="4">
        <v>123.01</v>
      </c>
      <c r="Q195" s="4">
        <v>0.55000000000000004</v>
      </c>
      <c r="R195" s="29">
        <f t="shared" si="0"/>
        <v>0.2531069958847737</v>
      </c>
      <c r="S195" s="22">
        <f t="shared" si="1"/>
        <v>1.131687242798354E-3</v>
      </c>
    </row>
    <row r="196" spans="1:19" ht="16">
      <c r="A196" s="19" t="s">
        <v>229</v>
      </c>
      <c r="B196" s="80">
        <v>111212222111</v>
      </c>
      <c r="C196" s="80"/>
      <c r="D196" s="20">
        <v>0.25</v>
      </c>
      <c r="E196" s="82">
        <v>12</v>
      </c>
      <c r="F196" s="82">
        <v>5</v>
      </c>
      <c r="G196" s="82">
        <v>18</v>
      </c>
      <c r="H196" s="21">
        <v>5.3860000000000001</v>
      </c>
      <c r="I196" s="4">
        <v>1E-3</v>
      </c>
      <c r="J196" s="20">
        <v>-30.706</v>
      </c>
      <c r="K196" s="4">
        <v>1.6000000000000001E-3</v>
      </c>
      <c r="L196" s="4">
        <v>3.9E-2</v>
      </c>
      <c r="M196" s="4">
        <v>0.01</v>
      </c>
      <c r="N196" s="4">
        <v>-7.3000000000000001E-3</v>
      </c>
      <c r="O196" s="4">
        <v>2.9999999999999997E-4</v>
      </c>
      <c r="P196" s="4">
        <v>132.31</v>
      </c>
      <c r="Q196" s="4">
        <v>0.27</v>
      </c>
      <c r="R196" s="20">
        <f t="shared" si="0"/>
        <v>0.27224279835390947</v>
      </c>
      <c r="S196" s="22">
        <f t="shared" si="1"/>
        <v>5.5555555555555556E-4</v>
      </c>
    </row>
    <row r="197" spans="1:19" ht="16">
      <c r="A197" s="23" t="s">
        <v>229</v>
      </c>
      <c r="B197" s="82">
        <v>111212222111</v>
      </c>
      <c r="C197" s="82"/>
      <c r="D197" s="83">
        <v>0.5</v>
      </c>
      <c r="E197" s="82">
        <v>12</v>
      </c>
      <c r="F197" s="82">
        <v>5</v>
      </c>
      <c r="G197" s="82">
        <v>18</v>
      </c>
      <c r="H197" s="24">
        <v>4.2586000000000004</v>
      </c>
      <c r="I197" s="4">
        <v>1E-3</v>
      </c>
      <c r="J197" s="4">
        <v>-25.135899999999999</v>
      </c>
      <c r="K197" s="4">
        <v>2E-3</v>
      </c>
      <c r="L197" s="4">
        <v>0.126</v>
      </c>
      <c r="M197" s="4">
        <v>5.0000000000000001E-3</v>
      </c>
      <c r="N197" s="4">
        <v>-1.1900000000000001E-2</v>
      </c>
      <c r="O197" s="4">
        <v>5.0000000000000001E-4</v>
      </c>
      <c r="P197" s="4">
        <v>125.9</v>
      </c>
      <c r="Q197" s="4">
        <v>0.33</v>
      </c>
      <c r="R197" s="4">
        <f t="shared" si="0"/>
        <v>0.25905349794238686</v>
      </c>
      <c r="S197" s="22">
        <f t="shared" si="1"/>
        <v>6.7901234567901232E-4</v>
      </c>
    </row>
    <row r="198" spans="1:19" ht="16">
      <c r="A198" s="19" t="s">
        <v>230</v>
      </c>
      <c r="B198" s="80">
        <v>112112212211</v>
      </c>
      <c r="C198" s="80"/>
      <c r="D198" s="20">
        <v>0.25</v>
      </c>
      <c r="E198" s="82">
        <v>12</v>
      </c>
      <c r="F198" s="82">
        <v>5</v>
      </c>
      <c r="G198" s="82">
        <v>18</v>
      </c>
      <c r="H198" s="21">
        <v>5.4013</v>
      </c>
      <c r="I198" s="4">
        <v>2.0000000000000001E-4</v>
      </c>
      <c r="J198" s="20">
        <v>-30.617000000000001</v>
      </c>
      <c r="K198" s="4">
        <v>1.6000000000000001E-3</v>
      </c>
      <c r="L198" s="4">
        <v>3.5000000000000003E-2</v>
      </c>
      <c r="M198" s="4">
        <v>5.0000000000000001E-3</v>
      </c>
      <c r="N198" s="4">
        <v>-7.1999999999999998E-3</v>
      </c>
      <c r="O198" s="4">
        <v>2.0000000000000001E-4</v>
      </c>
      <c r="P198" s="4">
        <v>132.66999999999999</v>
      </c>
      <c r="Q198" s="4">
        <v>0.24</v>
      </c>
      <c r="R198" s="20">
        <f t="shared" si="0"/>
        <v>0.27298353909465017</v>
      </c>
      <c r="S198" s="22">
        <f t="shared" si="1"/>
        <v>4.9382716049382717E-4</v>
      </c>
    </row>
    <row r="199" spans="1:19" ht="16">
      <c r="A199" s="23" t="s">
        <v>230</v>
      </c>
      <c r="B199" s="82">
        <v>112112212211</v>
      </c>
      <c r="C199" s="82"/>
      <c r="D199" s="83">
        <v>0.5</v>
      </c>
      <c r="E199" s="82">
        <v>12</v>
      </c>
      <c r="F199" s="82">
        <v>5</v>
      </c>
      <c r="G199" s="82">
        <v>18</v>
      </c>
      <c r="H199" s="24">
        <v>4.2984</v>
      </c>
      <c r="I199" s="4">
        <v>4.0000000000000002E-4</v>
      </c>
      <c r="J199" s="4">
        <v>-24.771100000000001</v>
      </c>
      <c r="K199" s="4">
        <v>1.1000000000000001E-3</v>
      </c>
      <c r="L199" s="4">
        <v>6.7000000000000004E-2</v>
      </c>
      <c r="M199" s="4">
        <v>3.0000000000000001E-3</v>
      </c>
      <c r="N199" s="4">
        <v>-0.01</v>
      </c>
      <c r="O199" s="4">
        <v>2.0000000000000001E-4</v>
      </c>
      <c r="P199" s="4">
        <v>129.88</v>
      </c>
      <c r="Q199" s="4">
        <v>0.15</v>
      </c>
      <c r="R199" s="4">
        <f t="shared" si="0"/>
        <v>0.26724279835390946</v>
      </c>
      <c r="S199" s="22">
        <f t="shared" si="1"/>
        <v>3.0864197530864197E-4</v>
      </c>
    </row>
    <row r="200" spans="1:19" ht="16">
      <c r="A200" s="19" t="s">
        <v>231</v>
      </c>
      <c r="B200" s="80">
        <v>111122112212</v>
      </c>
      <c r="C200" s="80"/>
      <c r="D200" s="20">
        <v>0.25</v>
      </c>
      <c r="E200" s="82">
        <v>12</v>
      </c>
      <c r="F200" s="82">
        <v>5</v>
      </c>
      <c r="G200" s="82">
        <v>18</v>
      </c>
      <c r="H200" s="21">
        <v>5.4295</v>
      </c>
      <c r="I200" s="4">
        <v>8.0000000000000004E-4</v>
      </c>
      <c r="J200" s="20">
        <v>-30.671500000000002</v>
      </c>
      <c r="K200" s="4">
        <v>1.5E-3</v>
      </c>
      <c r="L200" s="4">
        <v>2.8000000000000001E-2</v>
      </c>
      <c r="M200" s="4">
        <v>8.9999999999999993E-3</v>
      </c>
      <c r="N200" s="4">
        <v>-7.0000000000000001E-3</v>
      </c>
      <c r="O200" s="4">
        <v>0</v>
      </c>
      <c r="P200" s="4">
        <v>132.4</v>
      </c>
      <c r="Q200" s="4">
        <v>0.03</v>
      </c>
      <c r="R200" s="20">
        <f t="shared" si="0"/>
        <v>0.2724279835390947</v>
      </c>
      <c r="S200" s="22">
        <f t="shared" si="1"/>
        <v>6.1728395061728397E-5</v>
      </c>
    </row>
    <row r="201" spans="1:19" ht="16">
      <c r="A201" s="23" t="s">
        <v>231</v>
      </c>
      <c r="B201" s="82">
        <v>111122112212</v>
      </c>
      <c r="C201" s="82"/>
      <c r="D201" s="83">
        <v>0.5</v>
      </c>
      <c r="E201" s="82">
        <v>12</v>
      </c>
      <c r="F201" s="82">
        <v>5</v>
      </c>
      <c r="G201" s="82">
        <v>18</v>
      </c>
      <c r="H201" s="24">
        <v>4.3514999999999997</v>
      </c>
      <c r="I201" s="4">
        <v>5.9999999999999995E-4</v>
      </c>
      <c r="J201" s="4">
        <v>-24.935400000000001</v>
      </c>
      <c r="K201" s="4">
        <v>6.9999999999999999E-4</v>
      </c>
      <c r="L201" s="4">
        <v>8.4000000000000005E-2</v>
      </c>
      <c r="M201" s="4">
        <v>5.0000000000000001E-3</v>
      </c>
      <c r="N201" s="4">
        <v>-1.1299999999999999E-2</v>
      </c>
      <c r="O201" s="4">
        <v>8.0000000000000004E-4</v>
      </c>
      <c r="P201" s="4">
        <v>127.42</v>
      </c>
      <c r="Q201" s="4">
        <v>0.51</v>
      </c>
      <c r="R201" s="4">
        <f t="shared" si="0"/>
        <v>0.26218106995884771</v>
      </c>
      <c r="S201" s="22">
        <f t="shared" si="1"/>
        <v>1.0493827160493827E-3</v>
      </c>
    </row>
    <row r="202" spans="1:19" ht="16">
      <c r="A202" s="19" t="s">
        <v>232</v>
      </c>
      <c r="B202" s="80">
        <v>121122211112</v>
      </c>
      <c r="C202" s="80"/>
      <c r="D202" s="20">
        <v>0.25</v>
      </c>
      <c r="E202" s="82">
        <v>12</v>
      </c>
      <c r="F202" s="82">
        <v>5</v>
      </c>
      <c r="G202" s="82">
        <v>18</v>
      </c>
      <c r="H202" s="21">
        <v>5.4355000000000002</v>
      </c>
      <c r="I202" s="4">
        <v>8.0000000000000004E-4</v>
      </c>
      <c r="J202" s="20">
        <v>-30.599799999999998</v>
      </c>
      <c r="K202" s="4">
        <v>1.2999999999999999E-3</v>
      </c>
      <c r="L202" s="4">
        <v>3.2000000000000001E-2</v>
      </c>
      <c r="M202" s="4">
        <v>8.0000000000000002E-3</v>
      </c>
      <c r="N202" s="4">
        <v>-6.8999999999999999E-3</v>
      </c>
      <c r="O202" s="4">
        <v>2.0000000000000001E-4</v>
      </c>
      <c r="P202" s="4">
        <v>132.63</v>
      </c>
      <c r="Q202" s="4">
        <v>0.27</v>
      </c>
      <c r="R202" s="20">
        <f t="shared" si="0"/>
        <v>0.27290123456790122</v>
      </c>
      <c r="S202" s="22">
        <f t="shared" si="1"/>
        <v>5.5555555555555556E-4</v>
      </c>
    </row>
    <row r="203" spans="1:19" ht="16">
      <c r="A203" s="23" t="s">
        <v>232</v>
      </c>
      <c r="B203" s="82">
        <v>121122211112</v>
      </c>
      <c r="C203" s="82"/>
      <c r="D203" s="83">
        <v>0.5</v>
      </c>
      <c r="E203" s="82">
        <v>12</v>
      </c>
      <c r="F203" s="82">
        <v>5</v>
      </c>
      <c r="G203" s="82">
        <v>18</v>
      </c>
      <c r="H203" s="24">
        <v>4.3761000000000001</v>
      </c>
      <c r="I203" s="4">
        <v>8.9999999999999998E-4</v>
      </c>
      <c r="J203" s="4">
        <v>-24.725899999999999</v>
      </c>
      <c r="K203" s="4">
        <v>1.4E-3</v>
      </c>
      <c r="L203" s="4">
        <v>0.05</v>
      </c>
      <c r="M203" s="4">
        <v>6.0000000000000001E-3</v>
      </c>
      <c r="N203" s="4">
        <v>-8.9999999999999993E-3</v>
      </c>
      <c r="O203" s="4">
        <v>4.0000000000000002E-4</v>
      </c>
      <c r="P203" s="4">
        <v>130.34</v>
      </c>
      <c r="Q203" s="4">
        <v>0.36</v>
      </c>
      <c r="R203" s="4">
        <f t="shared" si="0"/>
        <v>0.26818930041152261</v>
      </c>
      <c r="S203" s="22">
        <f t="shared" si="1"/>
        <v>7.4074074074074081E-4</v>
      </c>
    </row>
    <row r="204" spans="1:19" ht="16">
      <c r="A204" s="19" t="s">
        <v>233</v>
      </c>
      <c r="B204" s="80">
        <v>111121222211</v>
      </c>
      <c r="C204" s="80"/>
      <c r="D204" s="20">
        <v>0.25</v>
      </c>
      <c r="E204" s="82">
        <v>12</v>
      </c>
      <c r="F204" s="82">
        <v>5</v>
      </c>
      <c r="G204" s="82">
        <v>18</v>
      </c>
      <c r="H204" s="21">
        <v>5.3922999999999996</v>
      </c>
      <c r="I204" s="4">
        <v>1E-3</v>
      </c>
      <c r="J204" s="20">
        <v>-30.726800000000001</v>
      </c>
      <c r="K204" s="4">
        <v>1.4E-3</v>
      </c>
      <c r="L204" s="4">
        <v>4.1000000000000002E-2</v>
      </c>
      <c r="M204" s="4">
        <v>6.0000000000000001E-3</v>
      </c>
      <c r="N204" s="4">
        <v>-7.3000000000000001E-3</v>
      </c>
      <c r="O204" s="4">
        <v>1E-4</v>
      </c>
      <c r="P204" s="4">
        <v>132.21</v>
      </c>
      <c r="Q204" s="4">
        <v>0.11</v>
      </c>
      <c r="R204" s="20">
        <f t="shared" si="0"/>
        <v>0.27203703703703702</v>
      </c>
      <c r="S204" s="22">
        <f t="shared" si="1"/>
        <v>2.2633744855967078E-4</v>
      </c>
    </row>
    <row r="205" spans="1:19" ht="16">
      <c r="A205" s="23" t="s">
        <v>233</v>
      </c>
      <c r="B205" s="82">
        <v>111121222211</v>
      </c>
      <c r="C205" s="82"/>
      <c r="D205" s="83">
        <v>0.5</v>
      </c>
      <c r="E205" s="82">
        <v>12</v>
      </c>
      <c r="F205" s="82">
        <v>5</v>
      </c>
      <c r="G205" s="82">
        <v>18</v>
      </c>
      <c r="H205" s="24">
        <v>4.2735000000000003</v>
      </c>
      <c r="I205" s="4">
        <v>8.9999999999999998E-4</v>
      </c>
      <c r="J205" s="4">
        <v>-25.2011</v>
      </c>
      <c r="K205" s="4">
        <v>5.9999999999999995E-4</v>
      </c>
      <c r="L205" s="4">
        <v>0.125</v>
      </c>
      <c r="M205" s="4">
        <v>0.02</v>
      </c>
      <c r="N205" s="4">
        <v>-1.24E-2</v>
      </c>
      <c r="O205" s="4">
        <v>2.9999999999999997E-4</v>
      </c>
      <c r="P205" s="4">
        <v>124.97</v>
      </c>
      <c r="Q205" s="4">
        <v>0.25</v>
      </c>
      <c r="R205" s="4">
        <f t="shared" si="0"/>
        <v>0.25713991769547323</v>
      </c>
      <c r="S205" s="22">
        <f t="shared" si="1"/>
        <v>5.1440329218107E-4</v>
      </c>
    </row>
    <row r="206" spans="1:19" ht="16">
      <c r="A206" s="19" t="s">
        <v>234</v>
      </c>
      <c r="B206" s="80">
        <v>122121111212</v>
      </c>
      <c r="C206" s="80"/>
      <c r="D206" s="20">
        <v>0.25</v>
      </c>
      <c r="E206" s="82">
        <v>12</v>
      </c>
      <c r="F206" s="82">
        <v>5</v>
      </c>
      <c r="G206" s="82">
        <v>18</v>
      </c>
      <c r="H206" s="21">
        <v>5.4555999999999996</v>
      </c>
      <c r="I206" s="4">
        <v>5.0000000000000001E-4</v>
      </c>
      <c r="J206" s="20">
        <v>-30.6769</v>
      </c>
      <c r="K206" s="4">
        <v>4.7999999999999996E-3</v>
      </c>
      <c r="L206" s="4">
        <v>4.1000000000000002E-2</v>
      </c>
      <c r="M206" s="4">
        <v>7.0000000000000001E-3</v>
      </c>
      <c r="N206" s="4">
        <v>-7.1000000000000004E-3</v>
      </c>
      <c r="O206" s="4">
        <v>4.0000000000000002E-4</v>
      </c>
      <c r="P206" s="4">
        <v>132.6</v>
      </c>
      <c r="Q206" s="4">
        <v>0.69</v>
      </c>
      <c r="R206" s="20">
        <f t="shared" si="0"/>
        <v>0.27283950617283947</v>
      </c>
      <c r="S206" s="22">
        <f t="shared" si="1"/>
        <v>1.419753086419753E-3</v>
      </c>
    </row>
    <row r="207" spans="1:19" ht="16">
      <c r="A207" s="23" t="s">
        <v>234</v>
      </c>
      <c r="B207" s="82">
        <v>122121111212</v>
      </c>
      <c r="C207" s="82"/>
      <c r="D207" s="83">
        <v>0.5</v>
      </c>
      <c r="E207" s="82">
        <v>12</v>
      </c>
      <c r="F207" s="82">
        <v>5</v>
      </c>
      <c r="G207" s="82">
        <v>18</v>
      </c>
      <c r="H207" s="24">
        <v>4.4169999999999998</v>
      </c>
      <c r="I207" s="4">
        <v>6.9999999999999999E-4</v>
      </c>
      <c r="J207" s="4">
        <v>-24.8491</v>
      </c>
      <c r="K207" s="4">
        <v>1.2999999999999999E-3</v>
      </c>
      <c r="L207" s="4">
        <v>2.9000000000000001E-2</v>
      </c>
      <c r="M207" s="4">
        <v>4.0000000000000001E-3</v>
      </c>
      <c r="N207" s="4">
        <v>-8.8000000000000005E-3</v>
      </c>
      <c r="O207" s="4">
        <v>2.0000000000000001E-4</v>
      </c>
      <c r="P207" s="4">
        <v>130.54</v>
      </c>
      <c r="Q207" s="4">
        <v>0.3</v>
      </c>
      <c r="R207" s="4">
        <f t="shared" si="0"/>
        <v>0.2686008230452675</v>
      </c>
      <c r="S207" s="22">
        <f t="shared" si="1"/>
        <v>6.1728395061728394E-4</v>
      </c>
    </row>
    <row r="208" spans="1:19" ht="16">
      <c r="A208" s="19" t="s">
        <v>235</v>
      </c>
      <c r="B208" s="80">
        <v>211212111122</v>
      </c>
      <c r="C208" s="80"/>
      <c r="D208" s="20">
        <v>0.25</v>
      </c>
      <c r="E208" s="82">
        <v>12</v>
      </c>
      <c r="F208" s="82">
        <v>5</v>
      </c>
      <c r="G208" s="82">
        <v>18</v>
      </c>
      <c r="H208" s="21">
        <v>5.4743000000000004</v>
      </c>
      <c r="I208" s="4">
        <v>5.9999999999999995E-4</v>
      </c>
      <c r="J208" s="20">
        <v>-30.6614</v>
      </c>
      <c r="K208" s="4">
        <v>2E-3</v>
      </c>
      <c r="L208" s="4">
        <v>3.2000000000000001E-2</v>
      </c>
      <c r="M208" s="4">
        <v>0.01</v>
      </c>
      <c r="N208" s="4">
        <v>-7.0000000000000001E-3</v>
      </c>
      <c r="O208" s="4">
        <v>2.9999999999999997E-4</v>
      </c>
      <c r="P208" s="4">
        <v>132.41999999999999</v>
      </c>
      <c r="Q208" s="4">
        <v>0.23</v>
      </c>
      <c r="R208" s="20">
        <f t="shared" si="0"/>
        <v>0.27246913580246912</v>
      </c>
      <c r="S208" s="22">
        <f t="shared" si="1"/>
        <v>4.732510288065844E-4</v>
      </c>
    </row>
    <row r="209" spans="1:19" ht="16">
      <c r="A209" s="23" t="s">
        <v>235</v>
      </c>
      <c r="B209" s="82">
        <v>211212111122</v>
      </c>
      <c r="C209" s="82"/>
      <c r="D209" s="83">
        <v>0.5</v>
      </c>
      <c r="E209" s="82">
        <v>12</v>
      </c>
      <c r="F209" s="82">
        <v>5</v>
      </c>
      <c r="G209" s="82">
        <v>18</v>
      </c>
      <c r="H209" s="24">
        <v>4.4546999999999999</v>
      </c>
      <c r="I209" s="4">
        <v>6.9999999999999999E-4</v>
      </c>
      <c r="J209" s="4">
        <v>-24.816800000000001</v>
      </c>
      <c r="K209" s="4">
        <v>2.3E-3</v>
      </c>
      <c r="L209" s="4">
        <v>2.3E-2</v>
      </c>
      <c r="M209" s="4">
        <v>3.0000000000000001E-3</v>
      </c>
      <c r="N209" s="4">
        <v>-8.8000000000000005E-3</v>
      </c>
      <c r="O209" s="4">
        <v>2.9999999999999997E-4</v>
      </c>
      <c r="P209" s="4">
        <v>130.41</v>
      </c>
      <c r="Q209" s="4">
        <v>0.34</v>
      </c>
      <c r="R209" s="4">
        <f t="shared" si="0"/>
        <v>0.26833333333333337</v>
      </c>
      <c r="S209" s="22">
        <f t="shared" si="1"/>
        <v>6.9958847736625515E-4</v>
      </c>
    </row>
    <row r="210" spans="1:19" ht="16">
      <c r="A210" s="19" t="s">
        <v>236</v>
      </c>
      <c r="B210" s="80">
        <v>111121112222</v>
      </c>
      <c r="C210" s="80"/>
      <c r="D210" s="20">
        <v>0.25</v>
      </c>
      <c r="E210" s="82">
        <v>12</v>
      </c>
      <c r="F210" s="82">
        <v>5</v>
      </c>
      <c r="G210" s="82">
        <v>18</v>
      </c>
      <c r="H210" s="21">
        <v>5.4497</v>
      </c>
      <c r="I210" s="4">
        <v>8.9999999999999998E-4</v>
      </c>
      <c r="J210" s="20">
        <v>-30.747299999999999</v>
      </c>
      <c r="K210" s="4">
        <v>1.6000000000000001E-3</v>
      </c>
      <c r="L210" s="4">
        <v>3.2000000000000001E-2</v>
      </c>
      <c r="M210" s="4">
        <v>7.0000000000000001E-3</v>
      </c>
      <c r="N210" s="4">
        <v>-7.1000000000000004E-3</v>
      </c>
      <c r="O210" s="4">
        <v>2.0000000000000001E-4</v>
      </c>
      <c r="P210" s="4">
        <v>131.52000000000001</v>
      </c>
      <c r="Q210" s="4">
        <v>0.17</v>
      </c>
      <c r="R210" s="20">
        <f t="shared" si="0"/>
        <v>0.27061728395061735</v>
      </c>
      <c r="S210" s="22">
        <f t="shared" si="1"/>
        <v>3.4979423868312758E-4</v>
      </c>
    </row>
    <row r="211" spans="1:19" ht="16">
      <c r="A211" s="23" t="s">
        <v>236</v>
      </c>
      <c r="B211" s="82">
        <v>111121112222</v>
      </c>
      <c r="C211" s="82"/>
      <c r="D211" s="83">
        <v>0.5</v>
      </c>
      <c r="E211" s="82">
        <v>12</v>
      </c>
      <c r="F211" s="82">
        <v>5</v>
      </c>
      <c r="G211" s="82">
        <v>18</v>
      </c>
      <c r="H211" s="24">
        <v>4.3973000000000004</v>
      </c>
      <c r="I211" s="4">
        <v>5.9999999999999995E-4</v>
      </c>
      <c r="J211" s="4">
        <v>-25.33</v>
      </c>
      <c r="K211" s="4">
        <v>5.9999999999999995E-4</v>
      </c>
      <c r="L211" s="4">
        <v>9.6000000000000002E-2</v>
      </c>
      <c r="M211" s="4">
        <v>1.4E-2</v>
      </c>
      <c r="N211" s="4">
        <v>-1.2999999999999999E-2</v>
      </c>
      <c r="O211" s="4">
        <v>2.0000000000000001E-4</v>
      </c>
      <c r="P211" s="4">
        <v>121.3</v>
      </c>
      <c r="Q211" s="4">
        <v>0.35</v>
      </c>
      <c r="R211" s="4">
        <f t="shared" si="0"/>
        <v>0.24958847736625514</v>
      </c>
      <c r="S211" s="22">
        <f t="shared" si="1"/>
        <v>7.2016460905349787E-4</v>
      </c>
    </row>
    <row r="212" spans="1:19" ht="16">
      <c r="A212" s="19" t="s">
        <v>237</v>
      </c>
      <c r="B212" s="80">
        <v>112211112212</v>
      </c>
      <c r="C212" s="80"/>
      <c r="D212" s="20">
        <v>0.25</v>
      </c>
      <c r="E212" s="82">
        <v>12</v>
      </c>
      <c r="F212" s="82">
        <v>5</v>
      </c>
      <c r="G212" s="82">
        <v>18</v>
      </c>
      <c r="H212" s="21">
        <v>5.4447000000000001</v>
      </c>
      <c r="I212" s="4">
        <v>8.9999999999999998E-4</v>
      </c>
      <c r="J212" s="20">
        <v>-30.5807</v>
      </c>
      <c r="K212" s="4">
        <v>1.1999999999999999E-3</v>
      </c>
      <c r="L212" s="4">
        <v>3.3000000000000002E-2</v>
      </c>
      <c r="M212" s="4">
        <v>7.0000000000000001E-3</v>
      </c>
      <c r="N212" s="4">
        <v>-6.7999999999999996E-3</v>
      </c>
      <c r="O212" s="4">
        <v>2.9999999999999997E-4</v>
      </c>
      <c r="P212" s="4">
        <v>132.57</v>
      </c>
      <c r="Q212" s="4">
        <v>0.3</v>
      </c>
      <c r="R212" s="20">
        <f t="shared" si="0"/>
        <v>0.27277777777777779</v>
      </c>
      <c r="S212" s="22">
        <f t="shared" si="1"/>
        <v>6.1728395061728394E-4</v>
      </c>
    </row>
    <row r="213" spans="1:19" ht="16">
      <c r="A213" s="23" t="s">
        <v>237</v>
      </c>
      <c r="B213" s="82">
        <v>112211112212</v>
      </c>
      <c r="C213" s="82"/>
      <c r="D213" s="83">
        <v>0.5</v>
      </c>
      <c r="E213" s="82">
        <v>12</v>
      </c>
      <c r="F213" s="82">
        <v>5</v>
      </c>
      <c r="G213" s="82">
        <v>18</v>
      </c>
      <c r="H213" s="24">
        <v>4.3943000000000003</v>
      </c>
      <c r="I213" s="4">
        <v>8.9999999999999998E-4</v>
      </c>
      <c r="J213" s="4">
        <v>-24.688199999999998</v>
      </c>
      <c r="K213" s="4">
        <v>8.9999999999999998E-4</v>
      </c>
      <c r="L213" s="4">
        <v>3.3000000000000002E-2</v>
      </c>
      <c r="M213" s="4">
        <v>0.01</v>
      </c>
      <c r="N213" s="4">
        <v>-9.1000000000000004E-3</v>
      </c>
      <c r="O213" s="4">
        <v>2.0000000000000001E-4</v>
      </c>
      <c r="P213" s="4">
        <v>129.83000000000001</v>
      </c>
      <c r="Q213" s="4">
        <v>0.11</v>
      </c>
      <c r="R213" s="4">
        <f t="shared" si="0"/>
        <v>0.26713991769547324</v>
      </c>
      <c r="S213" s="22">
        <f t="shared" si="1"/>
        <v>2.2633744855967078E-4</v>
      </c>
    </row>
    <row r="214" spans="1:19" ht="16">
      <c r="A214" s="19" t="s">
        <v>238</v>
      </c>
      <c r="B214" s="80">
        <v>122212111112</v>
      </c>
      <c r="C214" s="80"/>
      <c r="D214" s="20">
        <v>0.25</v>
      </c>
      <c r="E214" s="82">
        <v>12</v>
      </c>
      <c r="F214" s="82">
        <v>5</v>
      </c>
      <c r="G214" s="82">
        <v>18</v>
      </c>
      <c r="H214" s="21">
        <v>5.4493</v>
      </c>
      <c r="I214" s="4">
        <v>5.9999999999999995E-4</v>
      </c>
      <c r="J214" s="20">
        <v>-30.6814</v>
      </c>
      <c r="K214" s="4">
        <v>2.9999999999999997E-4</v>
      </c>
      <c r="L214" s="4">
        <v>3.1E-2</v>
      </c>
      <c r="M214" s="4">
        <v>8.0000000000000002E-3</v>
      </c>
      <c r="N214" s="4">
        <v>-6.7000000000000002E-3</v>
      </c>
      <c r="O214" s="4">
        <v>2.0000000000000001E-4</v>
      </c>
      <c r="P214" s="4">
        <v>132.51</v>
      </c>
      <c r="Q214" s="4">
        <v>0.2</v>
      </c>
      <c r="R214" s="20">
        <f t="shared" si="0"/>
        <v>0.2726543209876543</v>
      </c>
      <c r="S214" s="22">
        <f t="shared" si="1"/>
        <v>4.1152263374485601E-4</v>
      </c>
    </row>
    <row r="215" spans="1:19" ht="16">
      <c r="A215" s="23" t="s">
        <v>238</v>
      </c>
      <c r="B215" s="82">
        <v>122212111112</v>
      </c>
      <c r="C215" s="82"/>
      <c r="D215" s="83">
        <v>0.5</v>
      </c>
      <c r="E215" s="82">
        <v>12</v>
      </c>
      <c r="F215" s="82">
        <v>5</v>
      </c>
      <c r="G215" s="82">
        <v>18</v>
      </c>
      <c r="H215" s="24">
        <v>4.4019000000000004</v>
      </c>
      <c r="I215" s="4">
        <v>6.9999999999999999E-4</v>
      </c>
      <c r="J215" s="4">
        <v>-24.954499999999999</v>
      </c>
      <c r="K215" s="4">
        <v>2.2000000000000001E-3</v>
      </c>
      <c r="L215" s="4">
        <v>4.1000000000000002E-2</v>
      </c>
      <c r="M215" s="4">
        <v>7.0000000000000001E-3</v>
      </c>
      <c r="N215" s="4">
        <v>-9.7000000000000003E-3</v>
      </c>
      <c r="O215" s="4">
        <v>2.0000000000000001E-4</v>
      </c>
      <c r="P215" s="4">
        <v>128.44999999999999</v>
      </c>
      <c r="Q215" s="4">
        <v>0.27</v>
      </c>
      <c r="R215" s="4">
        <f t="shared" si="0"/>
        <v>0.26430041152263373</v>
      </c>
      <c r="S215" s="22">
        <f t="shared" si="1"/>
        <v>5.5555555555555556E-4</v>
      </c>
    </row>
    <row r="216" spans="1:19" ht="16">
      <c r="A216" s="19" t="s">
        <v>239</v>
      </c>
      <c r="B216" s="80">
        <v>122211111212</v>
      </c>
      <c r="C216" s="80"/>
      <c r="D216" s="20">
        <v>0.25</v>
      </c>
      <c r="E216" s="82">
        <v>12</v>
      </c>
      <c r="F216" s="82">
        <v>5</v>
      </c>
      <c r="G216" s="82">
        <v>18</v>
      </c>
      <c r="H216" s="21">
        <v>5.4600999999999997</v>
      </c>
      <c r="I216" s="4">
        <v>1E-3</v>
      </c>
      <c r="J216" s="20">
        <v>-30.618300000000001</v>
      </c>
      <c r="K216" s="4">
        <v>4.0000000000000002E-4</v>
      </c>
      <c r="L216" s="4">
        <v>2.1000000000000001E-2</v>
      </c>
      <c r="M216" s="4">
        <v>2E-3</v>
      </c>
      <c r="N216" s="4">
        <v>-6.7999999999999996E-3</v>
      </c>
      <c r="O216" s="4">
        <v>2.9999999999999997E-4</v>
      </c>
      <c r="P216" s="4">
        <v>132.44999999999999</v>
      </c>
      <c r="Q216" s="4">
        <v>0.26</v>
      </c>
      <c r="R216" s="20">
        <f t="shared" si="0"/>
        <v>0.27253086419753086</v>
      </c>
      <c r="S216" s="22">
        <f t="shared" si="1"/>
        <v>5.3497942386831272E-4</v>
      </c>
    </row>
    <row r="217" spans="1:19" ht="16">
      <c r="A217" s="23" t="s">
        <v>239</v>
      </c>
      <c r="B217" s="82">
        <v>122211111212</v>
      </c>
      <c r="C217" s="82"/>
      <c r="D217" s="83">
        <v>0.5</v>
      </c>
      <c r="E217" s="82">
        <v>12</v>
      </c>
      <c r="F217" s="82">
        <v>5</v>
      </c>
      <c r="G217" s="82">
        <v>18</v>
      </c>
      <c r="H217" s="24">
        <v>4.4287000000000001</v>
      </c>
      <c r="I217" s="4">
        <v>6.9999999999999999E-4</v>
      </c>
      <c r="J217" s="4">
        <v>-24.790900000000001</v>
      </c>
      <c r="K217" s="4">
        <v>8.9999999999999998E-4</v>
      </c>
      <c r="L217" s="4">
        <v>2.9000000000000001E-2</v>
      </c>
      <c r="M217" s="4">
        <v>0.01</v>
      </c>
      <c r="N217" s="4">
        <v>-9.1000000000000004E-3</v>
      </c>
      <c r="O217" s="4">
        <v>2.0000000000000001E-4</v>
      </c>
      <c r="P217" s="4">
        <v>129.22</v>
      </c>
      <c r="Q217" s="4">
        <v>0.13</v>
      </c>
      <c r="R217" s="4">
        <f t="shared" si="0"/>
        <v>0.26588477366255142</v>
      </c>
      <c r="S217" s="22">
        <f t="shared" si="1"/>
        <v>2.6748971193415636E-4</v>
      </c>
    </row>
    <row r="218" spans="1:19" ht="16">
      <c r="A218" s="19" t="s">
        <v>240</v>
      </c>
      <c r="B218" s="80">
        <v>111112121222</v>
      </c>
      <c r="C218" s="80"/>
      <c r="D218" s="20">
        <v>0.25</v>
      </c>
      <c r="E218" s="82">
        <v>12</v>
      </c>
      <c r="F218" s="82">
        <v>5</v>
      </c>
      <c r="G218" s="82">
        <v>18</v>
      </c>
      <c r="H218" s="21">
        <v>5.4429999999999996</v>
      </c>
      <c r="I218" s="4">
        <v>8.0000000000000004E-4</v>
      </c>
      <c r="J218" s="20">
        <v>-30.851299999999998</v>
      </c>
      <c r="K218" s="4">
        <v>1.1999999999999999E-3</v>
      </c>
      <c r="L218" s="4">
        <v>3.2000000000000001E-2</v>
      </c>
      <c r="M218" s="4">
        <v>3.0000000000000001E-3</v>
      </c>
      <c r="N218" s="4">
        <v>-7.1000000000000004E-3</v>
      </c>
      <c r="O218" s="4">
        <v>4.0000000000000002E-4</v>
      </c>
      <c r="P218" s="4">
        <v>131.82</v>
      </c>
      <c r="Q218" s="4">
        <v>0.25</v>
      </c>
      <c r="R218" s="20">
        <f t="shared" si="0"/>
        <v>0.27123456790123457</v>
      </c>
      <c r="S218" s="22">
        <f t="shared" si="1"/>
        <v>5.1440329218107E-4</v>
      </c>
    </row>
    <row r="219" spans="1:19" ht="16">
      <c r="A219" s="23" t="s">
        <v>240</v>
      </c>
      <c r="B219" s="82">
        <v>111112121222</v>
      </c>
      <c r="C219" s="82"/>
      <c r="D219" s="83">
        <v>0.5</v>
      </c>
      <c r="E219" s="82">
        <v>12</v>
      </c>
      <c r="F219" s="82">
        <v>5</v>
      </c>
      <c r="G219" s="82">
        <v>18</v>
      </c>
      <c r="H219" s="24">
        <v>4.3749000000000002</v>
      </c>
      <c r="I219" s="4">
        <v>4.0000000000000002E-4</v>
      </c>
      <c r="J219" s="4">
        <v>-25.4878</v>
      </c>
      <c r="K219" s="4">
        <v>1.1000000000000001E-3</v>
      </c>
      <c r="L219" s="4">
        <v>0.105</v>
      </c>
      <c r="M219" s="4">
        <v>7.0000000000000001E-3</v>
      </c>
      <c r="N219" s="4">
        <v>-1.29E-2</v>
      </c>
      <c r="O219" s="4">
        <v>2.9999999999999997E-4</v>
      </c>
      <c r="P219" s="4">
        <v>122.21</v>
      </c>
      <c r="Q219" s="4">
        <v>0.17</v>
      </c>
      <c r="R219" s="4">
        <f t="shared" si="0"/>
        <v>0.25146090534979426</v>
      </c>
      <c r="S219" s="22">
        <f t="shared" si="1"/>
        <v>3.4979423868312758E-4</v>
      </c>
    </row>
    <row r="220" spans="1:19" ht="16">
      <c r="A220" s="19" t="s">
        <v>241</v>
      </c>
      <c r="B220" s="80">
        <v>121121212121</v>
      </c>
      <c r="C220" s="80"/>
      <c r="D220" s="20">
        <v>0.25</v>
      </c>
      <c r="E220" s="82">
        <v>12</v>
      </c>
      <c r="F220" s="82">
        <v>5</v>
      </c>
      <c r="G220" s="82">
        <v>18</v>
      </c>
      <c r="H220" s="21">
        <v>5.4218999999999999</v>
      </c>
      <c r="I220" s="4">
        <v>1E-4</v>
      </c>
      <c r="J220" s="20">
        <v>-30.75</v>
      </c>
      <c r="K220" s="4">
        <v>1.4E-3</v>
      </c>
      <c r="L220" s="4">
        <v>0.03</v>
      </c>
      <c r="M220" s="4">
        <v>5.0000000000000001E-3</v>
      </c>
      <c r="N220" s="4">
        <v>-6.7000000000000002E-3</v>
      </c>
      <c r="O220" s="4">
        <v>2.9999999999999997E-4</v>
      </c>
      <c r="P220" s="4">
        <v>133.1</v>
      </c>
      <c r="Q220" s="4">
        <v>0.1</v>
      </c>
      <c r="R220" s="20">
        <f t="shared" si="0"/>
        <v>0.27386831275720164</v>
      </c>
      <c r="S220" s="22">
        <f t="shared" si="1"/>
        <v>2.0576131687242801E-4</v>
      </c>
    </row>
    <row r="221" spans="1:19" ht="16">
      <c r="A221" s="23" t="s">
        <v>241</v>
      </c>
      <c r="B221" s="82">
        <v>121121212121</v>
      </c>
      <c r="C221" s="82"/>
      <c r="D221" s="83">
        <v>0.5</v>
      </c>
      <c r="E221" s="82">
        <v>12</v>
      </c>
      <c r="F221" s="82">
        <v>5</v>
      </c>
      <c r="G221" s="82">
        <v>18</v>
      </c>
      <c r="H221" s="24">
        <v>4.3479999999999999</v>
      </c>
      <c r="I221" s="4">
        <v>6.9999999999999999E-4</v>
      </c>
      <c r="J221" s="4">
        <v>-24.952400000000001</v>
      </c>
      <c r="K221" s="4">
        <v>4.0000000000000002E-4</v>
      </c>
      <c r="L221" s="4">
        <v>4.3999999999999997E-2</v>
      </c>
      <c r="M221" s="4">
        <v>2.3E-2</v>
      </c>
      <c r="N221" s="4">
        <v>-8.9999999999999993E-3</v>
      </c>
      <c r="O221" s="4">
        <v>2.9999999999999997E-4</v>
      </c>
      <c r="P221" s="4">
        <v>131.77000000000001</v>
      </c>
      <c r="Q221" s="4">
        <v>0.1</v>
      </c>
      <c r="R221" s="4">
        <f t="shared" si="0"/>
        <v>0.2711316872427984</v>
      </c>
      <c r="S221" s="22">
        <f t="shared" si="1"/>
        <v>2.0576131687242801E-4</v>
      </c>
    </row>
    <row r="222" spans="1:19" ht="16">
      <c r="A222" s="19" t="s">
        <v>242</v>
      </c>
      <c r="B222" s="80">
        <v>111111122222</v>
      </c>
      <c r="C222" s="80" t="s">
        <v>17</v>
      </c>
      <c r="D222" s="20">
        <v>0.25</v>
      </c>
      <c r="E222" s="82">
        <v>12</v>
      </c>
      <c r="F222" s="82">
        <v>5</v>
      </c>
      <c r="G222" s="82">
        <v>18</v>
      </c>
      <c r="H222" s="21">
        <v>5.4519000000000002</v>
      </c>
      <c r="I222" s="4">
        <v>1E-4</v>
      </c>
      <c r="J222" s="20">
        <v>-30.917300000000001</v>
      </c>
      <c r="K222" s="4">
        <v>4.0000000000000002E-4</v>
      </c>
      <c r="L222" s="4">
        <v>3.5000000000000003E-2</v>
      </c>
      <c r="M222" s="4">
        <v>1.0999999999999999E-2</v>
      </c>
      <c r="N222" s="4">
        <v>-7.4999999999999997E-3</v>
      </c>
      <c r="O222" s="4">
        <v>2.0000000000000001E-4</v>
      </c>
      <c r="P222" s="4">
        <v>130.68</v>
      </c>
      <c r="Q222" s="4">
        <v>0.12</v>
      </c>
      <c r="R222" s="20">
        <f t="shared" si="0"/>
        <v>0.2688888888888889</v>
      </c>
      <c r="S222" s="22">
        <f t="shared" si="1"/>
        <v>2.4691358024691359E-4</v>
      </c>
    </row>
    <row r="223" spans="1:19" ht="16">
      <c r="A223" s="23" t="s">
        <v>242</v>
      </c>
      <c r="B223" s="82">
        <v>111111122222</v>
      </c>
      <c r="C223" s="82" t="s">
        <v>17</v>
      </c>
      <c r="D223" s="83">
        <v>0.5</v>
      </c>
      <c r="E223" s="82">
        <v>12</v>
      </c>
      <c r="F223" s="82">
        <v>5</v>
      </c>
      <c r="G223" s="82">
        <v>18</v>
      </c>
      <c r="H223" s="24">
        <v>4.4191000000000003</v>
      </c>
      <c r="I223" s="4">
        <v>5.9999999999999995E-4</v>
      </c>
      <c r="J223" s="4">
        <v>-26.1919</v>
      </c>
      <c r="K223" s="4">
        <v>6.9999999999999999E-4</v>
      </c>
      <c r="L223" s="4">
        <v>0.17100000000000001</v>
      </c>
      <c r="M223" s="4">
        <v>2.4E-2</v>
      </c>
      <c r="N223" s="4">
        <v>-1.84E-2</v>
      </c>
      <c r="O223" s="4">
        <v>2.0000000000000001E-4</v>
      </c>
      <c r="P223" s="4">
        <v>108.43</v>
      </c>
      <c r="Q223" s="4">
        <v>0.33</v>
      </c>
      <c r="R223" s="4">
        <f t="shared" si="0"/>
        <v>0.22310699588477367</v>
      </c>
      <c r="S223" s="22">
        <f t="shared" si="1"/>
        <v>6.7901234567901232E-4</v>
      </c>
    </row>
    <row r="224" spans="1:19" ht="16">
      <c r="A224" s="19" t="s">
        <v>243</v>
      </c>
      <c r="B224" s="80">
        <v>121121221121</v>
      </c>
      <c r="C224" s="80"/>
      <c r="D224" s="20">
        <v>0.25</v>
      </c>
      <c r="E224" s="82">
        <v>12</v>
      </c>
      <c r="F224" s="82">
        <v>5</v>
      </c>
      <c r="G224" s="82">
        <v>18</v>
      </c>
      <c r="H224" s="21">
        <v>5.4192</v>
      </c>
      <c r="I224" s="4">
        <v>5.9999999999999995E-4</v>
      </c>
      <c r="J224" s="20">
        <v>-30.6434</v>
      </c>
      <c r="K224" s="4">
        <v>1.1000000000000001E-3</v>
      </c>
      <c r="L224" s="4">
        <v>3.2000000000000001E-2</v>
      </c>
      <c r="M224" s="4">
        <v>3.0000000000000001E-3</v>
      </c>
      <c r="N224" s="4">
        <v>-7.0000000000000001E-3</v>
      </c>
      <c r="O224" s="4">
        <v>2.0000000000000001E-4</v>
      </c>
      <c r="P224" s="4">
        <v>132.84</v>
      </c>
      <c r="Q224" s="4">
        <v>0.23</v>
      </c>
      <c r="R224" s="20">
        <f t="shared" si="0"/>
        <v>0.27333333333333332</v>
      </c>
      <c r="S224" s="22">
        <f t="shared" si="1"/>
        <v>4.732510288065844E-4</v>
      </c>
    </row>
    <row r="225" spans="1:19" ht="16">
      <c r="A225" s="23" t="s">
        <v>243</v>
      </c>
      <c r="B225" s="82">
        <v>121121221121</v>
      </c>
      <c r="C225" s="82"/>
      <c r="D225" s="83">
        <v>0.5</v>
      </c>
      <c r="E225" s="82">
        <v>12</v>
      </c>
      <c r="F225" s="82">
        <v>5</v>
      </c>
      <c r="G225" s="82">
        <v>18</v>
      </c>
      <c r="H225" s="24">
        <v>4.3396999999999997</v>
      </c>
      <c r="I225" s="4">
        <v>2.9999999999999997E-4</v>
      </c>
      <c r="J225" s="4">
        <v>-24.756399999999999</v>
      </c>
      <c r="K225" s="4">
        <v>8.0000000000000004E-4</v>
      </c>
      <c r="L225" s="4">
        <v>4.2000000000000003E-2</v>
      </c>
      <c r="M225" s="4">
        <v>2E-3</v>
      </c>
      <c r="N225" s="4">
        <v>-8.8000000000000005E-3</v>
      </c>
      <c r="O225" s="4">
        <v>2.9999999999999997E-4</v>
      </c>
      <c r="P225" s="4">
        <v>131.66</v>
      </c>
      <c r="Q225" s="4">
        <v>0.11</v>
      </c>
      <c r="R225" s="4">
        <f t="shared" si="0"/>
        <v>0.27090534979423869</v>
      </c>
      <c r="S225" s="22">
        <f t="shared" si="1"/>
        <v>2.2633744855967078E-4</v>
      </c>
    </row>
    <row r="226" spans="1:19" ht="16">
      <c r="A226" s="19" t="s">
        <v>244</v>
      </c>
      <c r="B226" s="80">
        <v>112121122112</v>
      </c>
      <c r="C226" s="80"/>
      <c r="D226" s="20">
        <v>0.25</v>
      </c>
      <c r="E226" s="82">
        <v>12</v>
      </c>
      <c r="F226" s="82">
        <v>5</v>
      </c>
      <c r="G226" s="82">
        <v>18</v>
      </c>
      <c r="H226" s="21">
        <v>5.4333</v>
      </c>
      <c r="I226" s="4">
        <v>5.0000000000000001E-4</v>
      </c>
      <c r="J226" s="20">
        <v>-30.657599999999999</v>
      </c>
      <c r="K226" s="4">
        <v>2E-3</v>
      </c>
      <c r="L226" s="4">
        <v>2.9000000000000001E-2</v>
      </c>
      <c r="M226" s="4">
        <v>3.0000000000000001E-3</v>
      </c>
      <c r="N226" s="4">
        <v>-7.0000000000000001E-3</v>
      </c>
      <c r="O226" s="4">
        <v>2.9999999999999997E-4</v>
      </c>
      <c r="P226" s="4">
        <v>132.65</v>
      </c>
      <c r="Q226" s="4">
        <v>0.3</v>
      </c>
      <c r="R226" s="20">
        <f t="shared" si="0"/>
        <v>0.27294238683127575</v>
      </c>
      <c r="S226" s="22">
        <f t="shared" si="1"/>
        <v>6.1728395061728394E-4</v>
      </c>
    </row>
    <row r="227" spans="1:19" ht="16">
      <c r="A227" s="23" t="s">
        <v>244</v>
      </c>
      <c r="B227" s="82">
        <v>112121122112</v>
      </c>
      <c r="C227" s="82"/>
      <c r="D227" s="83">
        <v>0.5</v>
      </c>
      <c r="E227" s="82">
        <v>12</v>
      </c>
      <c r="F227" s="82">
        <v>5</v>
      </c>
      <c r="G227" s="82">
        <v>18</v>
      </c>
      <c r="H227" s="24">
        <v>4.3655999999999997</v>
      </c>
      <c r="I227" s="4">
        <v>6.9999999999999999E-4</v>
      </c>
      <c r="J227" s="4">
        <v>-24.796399999999998</v>
      </c>
      <c r="K227" s="4">
        <v>1.4E-3</v>
      </c>
      <c r="L227" s="4">
        <v>4.8000000000000001E-2</v>
      </c>
      <c r="M227" s="4">
        <v>8.0000000000000002E-3</v>
      </c>
      <c r="N227" s="4">
        <v>-9.2999999999999992E-3</v>
      </c>
      <c r="O227" s="4">
        <v>2.9999999999999997E-4</v>
      </c>
      <c r="P227" s="4">
        <v>131.04</v>
      </c>
      <c r="Q227" s="4">
        <v>0.35</v>
      </c>
      <c r="R227" s="4">
        <f t="shared" si="0"/>
        <v>0.26962962962962961</v>
      </c>
      <c r="S227" s="22">
        <f t="shared" si="1"/>
        <v>7.2016460905349787E-4</v>
      </c>
    </row>
    <row r="228" spans="1:19" ht="16">
      <c r="A228" s="19" t="s">
        <v>245</v>
      </c>
      <c r="B228" s="80">
        <v>111211121222</v>
      </c>
      <c r="C228" s="80"/>
      <c r="D228" s="20">
        <v>0.25</v>
      </c>
      <c r="E228" s="82">
        <v>12</v>
      </c>
      <c r="F228" s="82">
        <v>5</v>
      </c>
      <c r="G228" s="82">
        <v>18</v>
      </c>
      <c r="H228" s="21">
        <v>5.4478999999999997</v>
      </c>
      <c r="I228" s="4">
        <v>5.9999999999999995E-4</v>
      </c>
      <c r="J228" s="20">
        <v>-30.7407</v>
      </c>
      <c r="K228" s="4">
        <v>1.6999999999999999E-3</v>
      </c>
      <c r="L228" s="4">
        <v>3.2000000000000001E-2</v>
      </c>
      <c r="M228" s="4">
        <v>4.0000000000000001E-3</v>
      </c>
      <c r="N228" s="4">
        <v>-7.1999999999999998E-3</v>
      </c>
      <c r="O228" s="4">
        <v>2.0000000000000001E-4</v>
      </c>
      <c r="P228" s="4">
        <v>132.01</v>
      </c>
      <c r="Q228" s="4">
        <v>0.2</v>
      </c>
      <c r="R228" s="20">
        <f t="shared" si="0"/>
        <v>0.27162551440329219</v>
      </c>
      <c r="S228" s="22">
        <f t="shared" si="1"/>
        <v>4.1152263374485601E-4</v>
      </c>
    </row>
    <row r="229" spans="1:19" ht="16">
      <c r="A229" s="23" t="s">
        <v>245</v>
      </c>
      <c r="B229" s="82">
        <v>111211121222</v>
      </c>
      <c r="C229" s="82"/>
      <c r="D229" s="83">
        <v>0.5</v>
      </c>
      <c r="E229" s="82">
        <v>12</v>
      </c>
      <c r="F229" s="82">
        <v>5</v>
      </c>
      <c r="G229" s="82">
        <v>18</v>
      </c>
      <c r="H229" s="24">
        <v>4.3916000000000004</v>
      </c>
      <c r="I229" s="4">
        <v>8.9999999999999998E-4</v>
      </c>
      <c r="J229" s="4">
        <v>-25.152999999999999</v>
      </c>
      <c r="K229" s="4">
        <v>1.1999999999999999E-3</v>
      </c>
      <c r="L229" s="4">
        <v>7.5999999999999998E-2</v>
      </c>
      <c r="M229" s="4">
        <v>8.9999999999999993E-3</v>
      </c>
      <c r="N229" s="4">
        <v>-1.14E-2</v>
      </c>
      <c r="O229" s="4">
        <v>2.9999999999999997E-4</v>
      </c>
      <c r="P229" s="4">
        <v>125.21</v>
      </c>
      <c r="Q229" s="4">
        <v>0.11</v>
      </c>
      <c r="R229" s="4">
        <f t="shared" si="0"/>
        <v>0.25763374485596707</v>
      </c>
      <c r="S229" s="22">
        <f t="shared" si="1"/>
        <v>2.2633744855967078E-4</v>
      </c>
    </row>
    <row r="230" spans="1:19" ht="16">
      <c r="A230" s="19" t="s">
        <v>246</v>
      </c>
      <c r="B230" s="80">
        <v>111212121212</v>
      </c>
      <c r="C230" s="80"/>
      <c r="D230" s="20">
        <v>0.25</v>
      </c>
      <c r="E230" s="82">
        <v>12</v>
      </c>
      <c r="F230" s="82">
        <v>5</v>
      </c>
      <c r="G230" s="82">
        <v>18</v>
      </c>
      <c r="H230" s="21">
        <v>5.4272999999999998</v>
      </c>
      <c r="I230" s="4">
        <v>2.0000000000000001E-4</v>
      </c>
      <c r="J230" s="20">
        <v>-30.849299999999999</v>
      </c>
      <c r="K230" s="4">
        <v>1.6000000000000001E-3</v>
      </c>
      <c r="L230" s="4">
        <v>2.9000000000000001E-2</v>
      </c>
      <c r="M230" s="4">
        <v>5.0000000000000001E-3</v>
      </c>
      <c r="N230" s="4">
        <v>-6.7999999999999996E-3</v>
      </c>
      <c r="O230" s="4">
        <v>2.9999999999999997E-4</v>
      </c>
      <c r="P230" s="4">
        <v>132.9</v>
      </c>
      <c r="Q230" s="4">
        <v>0.32</v>
      </c>
      <c r="R230" s="20">
        <f t="shared" si="0"/>
        <v>0.27345679012345681</v>
      </c>
      <c r="S230" s="22">
        <f t="shared" si="1"/>
        <v>6.5843621399176949E-4</v>
      </c>
    </row>
    <row r="231" spans="1:19" ht="16">
      <c r="A231" s="23" t="s">
        <v>246</v>
      </c>
      <c r="B231" s="82">
        <v>111212121212</v>
      </c>
      <c r="C231" s="82"/>
      <c r="D231" s="83">
        <v>0.5</v>
      </c>
      <c r="E231" s="82">
        <v>12</v>
      </c>
      <c r="F231" s="82">
        <v>5</v>
      </c>
      <c r="G231" s="82">
        <v>18</v>
      </c>
      <c r="H231" s="24">
        <v>4.3555000000000001</v>
      </c>
      <c r="I231" s="4">
        <v>8.9999999999999998E-4</v>
      </c>
      <c r="J231" s="4">
        <v>-25.206399999999999</v>
      </c>
      <c r="K231" s="4">
        <v>5.9999999999999995E-4</v>
      </c>
      <c r="L231" s="4">
        <v>4.9000000000000002E-2</v>
      </c>
      <c r="M231" s="4">
        <v>1.2E-2</v>
      </c>
      <c r="N231" s="4">
        <v>-9.4999999999999998E-3</v>
      </c>
      <c r="O231" s="4">
        <v>5.0000000000000001E-4</v>
      </c>
      <c r="P231" s="4">
        <v>130.04</v>
      </c>
      <c r="Q231" s="4">
        <v>0.26</v>
      </c>
      <c r="R231" s="4">
        <f t="shared" si="0"/>
        <v>0.26757201646090534</v>
      </c>
      <c r="S231" s="22">
        <f t="shared" si="1"/>
        <v>5.3497942386831272E-4</v>
      </c>
    </row>
    <row r="232" spans="1:19" ht="16">
      <c r="A232" s="19" t="s">
        <v>247</v>
      </c>
      <c r="B232" s="80">
        <v>112112221121</v>
      </c>
      <c r="C232" s="87"/>
      <c r="D232" s="20">
        <v>0.25</v>
      </c>
      <c r="E232" s="82">
        <v>12</v>
      </c>
      <c r="F232" s="82">
        <v>5</v>
      </c>
      <c r="G232" s="82">
        <v>18</v>
      </c>
      <c r="H232" s="21">
        <v>5.4071999999999996</v>
      </c>
      <c r="I232" s="4">
        <v>8.9999999999999998E-4</v>
      </c>
      <c r="J232" s="20">
        <v>-30.599499999999999</v>
      </c>
      <c r="K232" s="4">
        <v>1.6000000000000001E-3</v>
      </c>
      <c r="L232" s="4">
        <v>4.8000000000000001E-2</v>
      </c>
      <c r="M232" s="4">
        <v>5.0000000000000001E-3</v>
      </c>
      <c r="N232" s="4">
        <v>-7.0000000000000001E-3</v>
      </c>
      <c r="O232" s="4">
        <v>2.0000000000000001E-4</v>
      </c>
      <c r="P232" s="4">
        <v>132.88</v>
      </c>
      <c r="Q232" s="4">
        <v>0.16</v>
      </c>
      <c r="R232" s="20">
        <f t="shared" si="0"/>
        <v>0.27341563786008227</v>
      </c>
      <c r="S232" s="22">
        <f t="shared" si="1"/>
        <v>3.2921810699588475E-4</v>
      </c>
    </row>
    <row r="233" spans="1:19" ht="16">
      <c r="A233" s="23" t="s">
        <v>247</v>
      </c>
      <c r="B233" s="82">
        <v>112112221121</v>
      </c>
      <c r="C233" s="82"/>
      <c r="D233" s="83">
        <v>0.5</v>
      </c>
      <c r="E233" s="82">
        <v>12</v>
      </c>
      <c r="F233" s="82">
        <v>5</v>
      </c>
      <c r="G233" s="82">
        <v>18</v>
      </c>
      <c r="H233" s="24">
        <v>4.3146000000000004</v>
      </c>
      <c r="I233" s="4">
        <v>2.9999999999999997E-4</v>
      </c>
      <c r="J233" s="4">
        <v>-24.724399999999999</v>
      </c>
      <c r="K233" s="4">
        <v>6.9999999999999999E-4</v>
      </c>
      <c r="L233" s="4">
        <v>6.3E-2</v>
      </c>
      <c r="M233" s="4">
        <v>7.0000000000000001E-3</v>
      </c>
      <c r="N233" s="4">
        <v>-9.4999999999999998E-3</v>
      </c>
      <c r="O233" s="4">
        <v>1E-4</v>
      </c>
      <c r="P233" s="4">
        <v>130.29</v>
      </c>
      <c r="Q233" s="4">
        <v>0.22</v>
      </c>
      <c r="R233" s="4">
        <f t="shared" si="0"/>
        <v>0.26808641975308645</v>
      </c>
      <c r="S233" s="22">
        <f t="shared" si="1"/>
        <v>4.5267489711934157E-4</v>
      </c>
    </row>
    <row r="234" spans="1:19" ht="16">
      <c r="A234" s="19" t="s">
        <v>248</v>
      </c>
      <c r="B234" s="80">
        <v>112111221122</v>
      </c>
      <c r="C234" s="87"/>
      <c r="D234" s="20">
        <v>0.25</v>
      </c>
      <c r="E234" s="82">
        <v>12</v>
      </c>
      <c r="F234" s="82">
        <v>5</v>
      </c>
      <c r="G234" s="82">
        <v>18</v>
      </c>
      <c r="H234" s="21">
        <v>5.4466000000000001</v>
      </c>
      <c r="I234" s="4">
        <v>1E-3</v>
      </c>
      <c r="J234" s="20">
        <v>-30.582899999999999</v>
      </c>
      <c r="K234" s="4">
        <v>6.9999999999999999E-4</v>
      </c>
      <c r="L234" s="4">
        <v>3.7999999999999999E-2</v>
      </c>
      <c r="M234" s="4">
        <v>0.01</v>
      </c>
      <c r="N234" s="4">
        <v>-7.1999999999999998E-3</v>
      </c>
      <c r="O234" s="4">
        <v>4.0000000000000002E-4</v>
      </c>
      <c r="P234" s="4">
        <v>132.03</v>
      </c>
      <c r="Q234" s="4">
        <v>0.09</v>
      </c>
      <c r="R234" s="20">
        <f t="shared" si="0"/>
        <v>0.27166666666666667</v>
      </c>
      <c r="S234" s="22">
        <f t="shared" si="1"/>
        <v>1.851851851851852E-4</v>
      </c>
    </row>
    <row r="235" spans="1:19" ht="16">
      <c r="A235" s="23" t="s">
        <v>248</v>
      </c>
      <c r="B235" s="82">
        <v>112111221122</v>
      </c>
      <c r="C235" s="82"/>
      <c r="D235" s="83">
        <v>0.5</v>
      </c>
      <c r="E235" s="82">
        <v>12</v>
      </c>
      <c r="F235" s="82">
        <v>5</v>
      </c>
      <c r="G235" s="82">
        <v>18</v>
      </c>
      <c r="H235" s="24">
        <v>4.3880999999999997</v>
      </c>
      <c r="I235" s="4">
        <v>8.9999999999999998E-4</v>
      </c>
      <c r="J235" s="4">
        <v>-24.704799999999999</v>
      </c>
      <c r="K235" s="4">
        <v>5.0000000000000001E-4</v>
      </c>
      <c r="L235" s="4">
        <v>4.1000000000000002E-2</v>
      </c>
      <c r="M235" s="4">
        <v>8.9999999999999993E-3</v>
      </c>
      <c r="N235" s="4">
        <v>-9.5999999999999992E-3</v>
      </c>
      <c r="O235" s="4">
        <v>1E-4</v>
      </c>
      <c r="P235" s="4">
        <v>129.09</v>
      </c>
      <c r="Q235" s="4">
        <v>0.09</v>
      </c>
      <c r="R235" s="4">
        <f t="shared" si="0"/>
        <v>0.26561728395061729</v>
      </c>
      <c r="S235" s="22">
        <f t="shared" si="1"/>
        <v>1.851851851851852E-4</v>
      </c>
    </row>
    <row r="236" spans="1:19" ht="16">
      <c r="A236" s="19" t="s">
        <v>249</v>
      </c>
      <c r="B236" s="80">
        <v>211111221212</v>
      </c>
      <c r="C236" s="80"/>
      <c r="D236" s="20">
        <v>0.25</v>
      </c>
      <c r="E236" s="82">
        <v>12</v>
      </c>
      <c r="F236" s="82">
        <v>5</v>
      </c>
      <c r="G236" s="82">
        <v>18</v>
      </c>
      <c r="H236" s="21">
        <v>5.4615999999999998</v>
      </c>
      <c r="I236" s="4">
        <v>8.0000000000000004E-4</v>
      </c>
      <c r="J236" s="20">
        <v>-30.749700000000001</v>
      </c>
      <c r="K236" s="4">
        <v>6.9999999999999999E-4</v>
      </c>
      <c r="L236" s="4">
        <v>2.1999999999999999E-2</v>
      </c>
      <c r="M236" s="4">
        <v>4.0000000000000001E-3</v>
      </c>
      <c r="N236" s="4">
        <v>-7.1000000000000004E-3</v>
      </c>
      <c r="O236" s="4">
        <v>1E-4</v>
      </c>
      <c r="P236" s="4">
        <v>132.37</v>
      </c>
      <c r="Q236" s="4">
        <v>0.08</v>
      </c>
      <c r="R236" s="20">
        <f t="shared" si="0"/>
        <v>0.27236625514403295</v>
      </c>
      <c r="S236" s="22">
        <f t="shared" si="1"/>
        <v>1.6460905349794237E-4</v>
      </c>
    </row>
    <row r="237" spans="1:19" ht="16">
      <c r="A237" s="23" t="s">
        <v>249</v>
      </c>
      <c r="B237" s="82">
        <v>211111221212</v>
      </c>
      <c r="C237" s="82"/>
      <c r="D237" s="83">
        <v>0.5</v>
      </c>
      <c r="E237" s="82">
        <v>12</v>
      </c>
      <c r="F237" s="82">
        <v>5</v>
      </c>
      <c r="G237" s="82">
        <v>18</v>
      </c>
      <c r="H237" s="24">
        <v>4.4269999999999996</v>
      </c>
      <c r="I237" s="4">
        <v>1E-3</v>
      </c>
      <c r="J237" s="4">
        <v>-25.035</v>
      </c>
      <c r="K237" s="4">
        <v>8.0000000000000004E-4</v>
      </c>
      <c r="L237" s="4">
        <v>0.03</v>
      </c>
      <c r="M237" s="4">
        <v>3.0000000000000001E-3</v>
      </c>
      <c r="N237" s="4">
        <v>-9.1000000000000004E-3</v>
      </c>
      <c r="O237" s="4">
        <v>2.0000000000000001E-4</v>
      </c>
      <c r="P237" s="4">
        <v>129.56</v>
      </c>
      <c r="Q237" s="4">
        <v>0.14000000000000001</v>
      </c>
      <c r="R237" s="4">
        <f t="shared" si="0"/>
        <v>0.26658436213991771</v>
      </c>
      <c r="S237" s="22">
        <f t="shared" si="1"/>
        <v>2.8806584362139919E-4</v>
      </c>
    </row>
    <row r="238" spans="1:19" ht="16">
      <c r="A238" s="19" t="s">
        <v>250</v>
      </c>
      <c r="B238" s="80">
        <v>121112212121</v>
      </c>
      <c r="C238" s="80"/>
      <c r="D238" s="20">
        <v>0.25</v>
      </c>
      <c r="E238" s="82">
        <v>12</v>
      </c>
      <c r="F238" s="82">
        <v>5</v>
      </c>
      <c r="G238" s="82">
        <v>18</v>
      </c>
      <c r="H238" s="21">
        <v>5.4211</v>
      </c>
      <c r="I238" s="4">
        <v>5.9999999999999995E-4</v>
      </c>
      <c r="J238" s="20">
        <v>-30.6631</v>
      </c>
      <c r="K238" s="4">
        <v>1.1000000000000001E-3</v>
      </c>
      <c r="L238" s="4">
        <v>2.5000000000000001E-2</v>
      </c>
      <c r="M238" s="4">
        <v>4.0000000000000001E-3</v>
      </c>
      <c r="N238" s="4">
        <v>-6.8999999999999999E-3</v>
      </c>
      <c r="O238" s="4">
        <v>1E-4</v>
      </c>
      <c r="P238" s="4">
        <v>132.91</v>
      </c>
      <c r="Q238" s="4">
        <v>0.09</v>
      </c>
      <c r="R238" s="20">
        <f t="shared" si="0"/>
        <v>0.27347736625514407</v>
      </c>
      <c r="S238" s="22">
        <f t="shared" si="1"/>
        <v>1.851851851851852E-4</v>
      </c>
    </row>
    <row r="239" spans="1:19" ht="16">
      <c r="A239" s="23" t="s">
        <v>250</v>
      </c>
      <c r="B239" s="82">
        <v>121112212121</v>
      </c>
      <c r="C239" s="82"/>
      <c r="D239" s="83">
        <v>0.5</v>
      </c>
      <c r="E239" s="82">
        <v>12</v>
      </c>
      <c r="F239" s="82">
        <v>5</v>
      </c>
      <c r="G239" s="82">
        <v>18</v>
      </c>
      <c r="H239" s="24">
        <v>4.3425000000000002</v>
      </c>
      <c r="I239" s="4">
        <v>8.9999999999999998E-4</v>
      </c>
      <c r="J239" s="4">
        <v>-24.813199999999998</v>
      </c>
      <c r="K239" s="4">
        <v>8.9999999999999998E-4</v>
      </c>
      <c r="L239" s="4">
        <v>4.4999999999999998E-2</v>
      </c>
      <c r="M239" s="4">
        <v>7.0000000000000001E-3</v>
      </c>
      <c r="N239" s="4">
        <v>-8.9999999999999993E-3</v>
      </c>
      <c r="O239" s="4">
        <v>4.0000000000000002E-4</v>
      </c>
      <c r="P239" s="4">
        <v>131.18</v>
      </c>
      <c r="Q239" s="4">
        <v>0.23</v>
      </c>
      <c r="R239" s="4">
        <f t="shared" si="0"/>
        <v>0.26991769547325106</v>
      </c>
      <c r="S239" s="22">
        <f t="shared" si="1"/>
        <v>4.732510288065844E-4</v>
      </c>
    </row>
    <row r="240" spans="1:19" ht="16">
      <c r="A240" s="19" t="s">
        <v>251</v>
      </c>
      <c r="B240" s="80">
        <v>112111112222</v>
      </c>
      <c r="C240" s="80"/>
      <c r="D240" s="20">
        <v>0.25</v>
      </c>
      <c r="E240" s="82">
        <v>12</v>
      </c>
      <c r="F240" s="82">
        <v>5</v>
      </c>
      <c r="G240" s="82">
        <v>18</v>
      </c>
      <c r="H240" s="21">
        <v>5.4591000000000003</v>
      </c>
      <c r="I240" s="4">
        <v>8.0000000000000004E-4</v>
      </c>
      <c r="J240" s="20">
        <v>-30.706900000000001</v>
      </c>
      <c r="K240" s="4">
        <v>1.2999999999999999E-3</v>
      </c>
      <c r="L240" s="4">
        <v>0.03</v>
      </c>
      <c r="M240" s="4">
        <v>5.0000000000000001E-3</v>
      </c>
      <c r="N240" s="4">
        <v>-7.1000000000000004E-3</v>
      </c>
      <c r="O240" s="4">
        <v>1E-4</v>
      </c>
      <c r="P240" s="4">
        <v>131.74</v>
      </c>
      <c r="Q240" s="4">
        <v>0.08</v>
      </c>
      <c r="R240" s="20">
        <f t="shared" si="0"/>
        <v>0.27106995884773666</v>
      </c>
      <c r="S240" s="22">
        <f t="shared" si="1"/>
        <v>1.6460905349794237E-4</v>
      </c>
    </row>
    <row r="241" spans="1:19" ht="16">
      <c r="A241" s="23" t="s">
        <v>251</v>
      </c>
      <c r="B241" s="82">
        <v>112111112222</v>
      </c>
      <c r="C241" s="82"/>
      <c r="D241" s="83">
        <v>0.5</v>
      </c>
      <c r="E241" s="82">
        <v>12</v>
      </c>
      <c r="F241" s="82">
        <v>5</v>
      </c>
      <c r="G241" s="82">
        <v>18</v>
      </c>
      <c r="H241" s="24">
        <v>4.4255000000000004</v>
      </c>
      <c r="I241" s="4">
        <v>5.9999999999999995E-4</v>
      </c>
      <c r="J241" s="4">
        <v>-25.196899999999999</v>
      </c>
      <c r="K241" s="4">
        <v>6.9999999999999999E-4</v>
      </c>
      <c r="L241" s="4">
        <v>6.6000000000000003E-2</v>
      </c>
      <c r="M241" s="4">
        <v>6.0000000000000001E-3</v>
      </c>
      <c r="N241" s="4">
        <v>-1.18E-2</v>
      </c>
      <c r="O241" s="4">
        <v>1E-4</v>
      </c>
      <c r="P241" s="4">
        <v>123.13</v>
      </c>
      <c r="Q241" s="4">
        <v>0.15</v>
      </c>
      <c r="R241" s="4">
        <f t="shared" si="0"/>
        <v>0.25335390946502057</v>
      </c>
      <c r="S241" s="22">
        <f t="shared" si="1"/>
        <v>3.0864197530864197E-4</v>
      </c>
    </row>
    <row r="242" spans="1:19" ht="16">
      <c r="A242" s="19" t="s">
        <v>252</v>
      </c>
      <c r="B242" s="80">
        <v>122111221112</v>
      </c>
      <c r="C242" s="80"/>
      <c r="D242" s="20">
        <v>0.25</v>
      </c>
      <c r="E242" s="82">
        <v>12</v>
      </c>
      <c r="F242" s="82">
        <v>5</v>
      </c>
      <c r="G242" s="82">
        <v>18</v>
      </c>
      <c r="H242" s="21">
        <v>5.4467999999999996</v>
      </c>
      <c r="I242" s="4">
        <v>5.9999999999999995E-4</v>
      </c>
      <c r="J242" s="20">
        <v>-30.510300000000001</v>
      </c>
      <c r="K242" s="4">
        <v>1.1000000000000001E-3</v>
      </c>
      <c r="L242" s="4">
        <v>2.8000000000000001E-2</v>
      </c>
      <c r="M242" s="4">
        <v>3.0000000000000001E-3</v>
      </c>
      <c r="N242" s="4">
        <v>-6.7999999999999996E-3</v>
      </c>
      <c r="O242" s="4">
        <v>1E-4</v>
      </c>
      <c r="P242" s="4">
        <v>132.78</v>
      </c>
      <c r="Q242" s="4">
        <v>0.13</v>
      </c>
      <c r="R242" s="20">
        <f t="shared" si="0"/>
        <v>0.27320987654320988</v>
      </c>
      <c r="S242" s="22">
        <f t="shared" si="1"/>
        <v>2.6748971193415636E-4</v>
      </c>
    </row>
    <row r="243" spans="1:19" ht="16">
      <c r="A243" s="23" t="s">
        <v>252</v>
      </c>
      <c r="B243" s="82">
        <v>122111221112</v>
      </c>
      <c r="C243" s="82"/>
      <c r="D243" s="83">
        <v>0.5</v>
      </c>
      <c r="E243" s="82">
        <v>12</v>
      </c>
      <c r="F243" s="82">
        <v>5</v>
      </c>
      <c r="G243" s="82">
        <v>18</v>
      </c>
      <c r="H243" s="24">
        <v>4.399</v>
      </c>
      <c r="I243" s="4">
        <v>5.9999999999999995E-4</v>
      </c>
      <c r="J243" s="4">
        <v>-24.511399999999998</v>
      </c>
      <c r="K243" s="4">
        <v>1.1000000000000001E-3</v>
      </c>
      <c r="L243" s="4">
        <v>3.7999999999999999E-2</v>
      </c>
      <c r="M243" s="4">
        <v>7.0000000000000001E-3</v>
      </c>
      <c r="N243" s="4">
        <v>-8.9999999999999993E-3</v>
      </c>
      <c r="O243" s="4">
        <v>2.0000000000000001E-4</v>
      </c>
      <c r="P243" s="4">
        <v>130.72</v>
      </c>
      <c r="Q243" s="4">
        <v>0.15</v>
      </c>
      <c r="R243" s="4">
        <f t="shared" si="0"/>
        <v>0.26897119341563785</v>
      </c>
      <c r="S243" s="22">
        <f t="shared" si="1"/>
        <v>3.0864197530864197E-4</v>
      </c>
    </row>
    <row r="244" spans="1:19" ht="16">
      <c r="A244" s="19" t="s">
        <v>253</v>
      </c>
      <c r="B244" s="80">
        <v>112112211212</v>
      </c>
      <c r="C244" s="80"/>
      <c r="D244" s="20">
        <v>0.25</v>
      </c>
      <c r="E244" s="82">
        <v>12</v>
      </c>
      <c r="F244" s="82">
        <v>5</v>
      </c>
      <c r="G244" s="82">
        <v>18</v>
      </c>
      <c r="H244" s="21">
        <v>5.4332000000000003</v>
      </c>
      <c r="I244" s="4">
        <v>6.9999999999999999E-4</v>
      </c>
      <c r="J244" s="20">
        <v>-30.666699999999999</v>
      </c>
      <c r="K244" s="4">
        <v>2.5000000000000001E-3</v>
      </c>
      <c r="L244" s="4">
        <v>2.9000000000000001E-2</v>
      </c>
      <c r="M244" s="4">
        <v>5.0000000000000001E-3</v>
      </c>
      <c r="N244" s="4">
        <v>-7.0000000000000001E-3</v>
      </c>
      <c r="O244" s="4">
        <v>2.9999999999999997E-4</v>
      </c>
      <c r="P244" s="4">
        <v>132.75</v>
      </c>
      <c r="Q244" s="4">
        <v>0.28999999999999998</v>
      </c>
      <c r="R244" s="20">
        <f t="shared" si="0"/>
        <v>0.27314814814814814</v>
      </c>
      <c r="S244" s="22">
        <f t="shared" si="1"/>
        <v>5.9670781893004111E-4</v>
      </c>
    </row>
    <row r="245" spans="1:19" ht="16">
      <c r="A245" s="23" t="s">
        <v>253</v>
      </c>
      <c r="B245" s="82">
        <v>112112211212</v>
      </c>
      <c r="C245" s="82"/>
      <c r="D245" s="83">
        <v>0.5</v>
      </c>
      <c r="E245" s="82">
        <v>12</v>
      </c>
      <c r="F245" s="82">
        <v>5</v>
      </c>
      <c r="G245" s="82">
        <v>18</v>
      </c>
      <c r="H245" s="24">
        <v>4.3700999999999999</v>
      </c>
      <c r="I245" s="4">
        <v>5.0000000000000001E-4</v>
      </c>
      <c r="J245" s="4">
        <v>-24.8187</v>
      </c>
      <c r="K245" s="4">
        <v>2.0000000000000001E-4</v>
      </c>
      <c r="L245" s="4">
        <v>0.04</v>
      </c>
      <c r="M245" s="4">
        <v>2.4E-2</v>
      </c>
      <c r="N245" s="4">
        <v>-8.9999999999999993E-3</v>
      </c>
      <c r="O245" s="4">
        <v>2.0000000000000001E-4</v>
      </c>
      <c r="P245" s="4">
        <v>130.88</v>
      </c>
      <c r="Q245" s="4">
        <v>0.16</v>
      </c>
      <c r="R245" s="4">
        <f t="shared" si="0"/>
        <v>0.26930041152263373</v>
      </c>
      <c r="S245" s="22">
        <f t="shared" si="1"/>
        <v>3.2921810699588475E-4</v>
      </c>
    </row>
    <row r="246" spans="1:19" ht="16">
      <c r="A246" s="19" t="s">
        <v>254</v>
      </c>
      <c r="B246" s="80">
        <v>111212212121</v>
      </c>
      <c r="C246" s="80"/>
      <c r="D246" s="20">
        <v>0.25</v>
      </c>
      <c r="E246" s="82">
        <v>12</v>
      </c>
      <c r="F246" s="82">
        <v>5</v>
      </c>
      <c r="G246" s="82">
        <v>18</v>
      </c>
      <c r="H246" s="21">
        <v>5.4043999999999999</v>
      </c>
      <c r="I246" s="4">
        <v>8.0000000000000004E-4</v>
      </c>
      <c r="J246" s="20">
        <v>-30.7514</v>
      </c>
      <c r="K246" s="4">
        <v>5.0000000000000001E-4</v>
      </c>
      <c r="L246" s="4">
        <v>0.04</v>
      </c>
      <c r="M246" s="4">
        <v>8.9999999999999993E-3</v>
      </c>
      <c r="N246" s="4">
        <v>-6.7999999999999996E-3</v>
      </c>
      <c r="O246" s="4">
        <v>2.9999999999999997E-4</v>
      </c>
      <c r="P246" s="4">
        <v>132.85</v>
      </c>
      <c r="Q246" s="4">
        <v>0.1</v>
      </c>
      <c r="R246" s="20">
        <f t="shared" si="0"/>
        <v>0.27335390946502053</v>
      </c>
      <c r="S246" s="22">
        <f t="shared" si="1"/>
        <v>2.0576131687242801E-4</v>
      </c>
    </row>
    <row r="247" spans="1:19" ht="16">
      <c r="A247" s="23" t="s">
        <v>254</v>
      </c>
      <c r="B247" s="82">
        <v>111212212121</v>
      </c>
      <c r="C247" s="82"/>
      <c r="D247" s="83">
        <v>0.5</v>
      </c>
      <c r="E247" s="82">
        <v>12</v>
      </c>
      <c r="F247" s="82">
        <v>5</v>
      </c>
      <c r="G247" s="82">
        <v>18</v>
      </c>
      <c r="H247" s="24">
        <v>4.3032000000000004</v>
      </c>
      <c r="I247" s="4">
        <v>5.0000000000000001E-4</v>
      </c>
      <c r="J247" s="4">
        <v>-25.035599999999999</v>
      </c>
      <c r="K247" s="4">
        <v>1.5E-3</v>
      </c>
      <c r="L247" s="4">
        <v>6.0999999999999999E-2</v>
      </c>
      <c r="M247" s="4">
        <v>1.2E-2</v>
      </c>
      <c r="N247" s="4">
        <v>-9.7000000000000003E-3</v>
      </c>
      <c r="O247" s="4">
        <v>4.0000000000000002E-4</v>
      </c>
      <c r="P247" s="4">
        <v>130.13</v>
      </c>
      <c r="Q247" s="4">
        <v>0.25</v>
      </c>
      <c r="R247" s="4">
        <f t="shared" si="0"/>
        <v>0.26775720164609051</v>
      </c>
      <c r="S247" s="22">
        <f t="shared" si="1"/>
        <v>5.1440329218107E-4</v>
      </c>
    </row>
    <row r="248" spans="1:19" ht="16">
      <c r="A248" s="19" t="s">
        <v>255</v>
      </c>
      <c r="B248" s="80">
        <v>121112112212</v>
      </c>
      <c r="C248" s="80"/>
      <c r="D248" s="20">
        <v>0.25</v>
      </c>
      <c r="E248" s="82">
        <v>12</v>
      </c>
      <c r="F248" s="82">
        <v>5</v>
      </c>
      <c r="G248" s="82">
        <v>18</v>
      </c>
      <c r="H248" s="21">
        <v>5.4484000000000004</v>
      </c>
      <c r="I248" s="4">
        <v>6.9999999999999999E-4</v>
      </c>
      <c r="J248" s="20">
        <v>-30.680399999999999</v>
      </c>
      <c r="K248" s="4">
        <v>2.3E-3</v>
      </c>
      <c r="L248" s="4">
        <v>3.9E-2</v>
      </c>
      <c r="M248" s="4">
        <v>7.0000000000000001E-3</v>
      </c>
      <c r="N248" s="4">
        <v>-6.7999999999999996E-3</v>
      </c>
      <c r="O248" s="4">
        <v>4.0000000000000002E-4</v>
      </c>
      <c r="P248" s="4">
        <v>132.66</v>
      </c>
      <c r="Q248" s="4">
        <v>0.45</v>
      </c>
      <c r="R248" s="20">
        <f t="shared" si="0"/>
        <v>0.27296296296296296</v>
      </c>
      <c r="S248" s="22">
        <f t="shared" si="1"/>
        <v>9.2592592592592596E-4</v>
      </c>
    </row>
    <row r="249" spans="1:19" ht="16">
      <c r="A249" s="23" t="s">
        <v>255</v>
      </c>
      <c r="B249" s="82">
        <v>121112112212</v>
      </c>
      <c r="C249" s="82"/>
      <c r="D249" s="83">
        <v>0.5</v>
      </c>
      <c r="E249" s="82">
        <v>12</v>
      </c>
      <c r="F249" s="82">
        <v>5</v>
      </c>
      <c r="G249" s="82">
        <v>18</v>
      </c>
      <c r="H249" s="24">
        <v>4.3964999999999996</v>
      </c>
      <c r="I249" s="4">
        <v>2.0000000000000001E-4</v>
      </c>
      <c r="J249" s="4">
        <v>-24.861899999999999</v>
      </c>
      <c r="K249" s="4">
        <v>1E-3</v>
      </c>
      <c r="L249" s="4">
        <v>3.5000000000000003E-2</v>
      </c>
      <c r="M249" s="4">
        <v>6.0000000000000001E-3</v>
      </c>
      <c r="N249" s="4">
        <v>-9.1999999999999998E-3</v>
      </c>
      <c r="O249" s="4">
        <v>2.9999999999999997E-4</v>
      </c>
      <c r="P249" s="4">
        <v>130.11000000000001</v>
      </c>
      <c r="Q249" s="4">
        <v>0.22</v>
      </c>
      <c r="R249" s="4">
        <f t="shared" si="0"/>
        <v>0.26771604938271609</v>
      </c>
      <c r="S249" s="22">
        <f t="shared" si="1"/>
        <v>4.5267489711934157E-4</v>
      </c>
    </row>
    <row r="250" spans="1:19" ht="16">
      <c r="A250" s="19" t="s">
        <v>256</v>
      </c>
      <c r="B250" s="80">
        <v>111121122212</v>
      </c>
      <c r="C250" s="80"/>
      <c r="D250" s="20">
        <v>0.25</v>
      </c>
      <c r="E250" s="82">
        <v>12</v>
      </c>
      <c r="F250" s="82">
        <v>5</v>
      </c>
      <c r="G250" s="82">
        <v>18</v>
      </c>
      <c r="H250" s="21">
        <v>5.4302000000000001</v>
      </c>
      <c r="I250" s="4">
        <v>1E-3</v>
      </c>
      <c r="J250" s="20">
        <v>-30.767700000000001</v>
      </c>
      <c r="K250" s="4">
        <v>2.5000000000000001E-3</v>
      </c>
      <c r="L250" s="4">
        <v>2.9000000000000001E-2</v>
      </c>
      <c r="M250" s="4">
        <v>7.0000000000000001E-3</v>
      </c>
      <c r="N250" s="4">
        <v>-7.1000000000000004E-3</v>
      </c>
      <c r="O250" s="4">
        <v>8.0000000000000004E-4</v>
      </c>
      <c r="P250" s="4">
        <v>132.12</v>
      </c>
      <c r="Q250" s="4">
        <v>0.61</v>
      </c>
      <c r="R250" s="20">
        <f t="shared" si="0"/>
        <v>0.27185185185185184</v>
      </c>
      <c r="S250" s="22">
        <f t="shared" si="1"/>
        <v>1.2551440329218108E-3</v>
      </c>
    </row>
    <row r="251" spans="1:19" ht="16">
      <c r="A251" s="23" t="s">
        <v>256</v>
      </c>
      <c r="B251" s="82">
        <v>111121122212</v>
      </c>
      <c r="C251" s="82"/>
      <c r="D251" s="83">
        <v>0.5</v>
      </c>
      <c r="E251" s="82">
        <v>12</v>
      </c>
      <c r="F251" s="82">
        <v>5</v>
      </c>
      <c r="G251" s="82">
        <v>18</v>
      </c>
      <c r="H251" s="24">
        <v>4.3503999999999996</v>
      </c>
      <c r="I251" s="4">
        <v>8.0000000000000004E-4</v>
      </c>
      <c r="J251" s="4">
        <v>-25.2073</v>
      </c>
      <c r="K251" s="4">
        <v>1.5E-3</v>
      </c>
      <c r="L251" s="4">
        <v>9.2999999999999999E-2</v>
      </c>
      <c r="M251" s="4">
        <v>8.9999999999999993E-3</v>
      </c>
      <c r="N251" s="4">
        <v>-1.14E-2</v>
      </c>
      <c r="O251" s="4">
        <v>5.9999999999999995E-4</v>
      </c>
      <c r="P251" s="4">
        <v>125.45</v>
      </c>
      <c r="Q251" s="4">
        <v>0.53</v>
      </c>
      <c r="R251" s="4">
        <f t="shared" si="0"/>
        <v>0.25812757201646092</v>
      </c>
      <c r="S251" s="22">
        <f t="shared" si="1"/>
        <v>1.0905349794238684E-3</v>
      </c>
    </row>
    <row r="252" spans="1:19" ht="16">
      <c r="A252" s="19" t="s">
        <v>257</v>
      </c>
      <c r="B252" s="80">
        <v>112211112122</v>
      </c>
      <c r="C252" s="80"/>
      <c r="D252" s="20">
        <v>0.25</v>
      </c>
      <c r="E252" s="82">
        <v>12</v>
      </c>
      <c r="F252" s="82">
        <v>5</v>
      </c>
      <c r="G252" s="82">
        <v>18</v>
      </c>
      <c r="H252" s="21">
        <v>5.4531999999999998</v>
      </c>
      <c r="I252" s="4">
        <v>4.0000000000000002E-4</v>
      </c>
      <c r="J252" s="20">
        <v>-30.5931</v>
      </c>
      <c r="K252" s="4">
        <v>1.5E-3</v>
      </c>
      <c r="L252" s="4">
        <v>2.9000000000000001E-2</v>
      </c>
      <c r="M252" s="4">
        <v>7.0000000000000001E-3</v>
      </c>
      <c r="N252" s="4">
        <v>-7.1000000000000004E-3</v>
      </c>
      <c r="O252" s="4">
        <v>1E-4</v>
      </c>
      <c r="P252" s="4">
        <v>132.29</v>
      </c>
      <c r="Q252" s="4">
        <v>0.16</v>
      </c>
      <c r="R252" s="20">
        <f t="shared" si="0"/>
        <v>0.27220164609053499</v>
      </c>
      <c r="S252" s="22">
        <f t="shared" si="1"/>
        <v>3.2921810699588475E-4</v>
      </c>
    </row>
    <row r="253" spans="1:19" ht="16">
      <c r="A253" s="23" t="s">
        <v>257</v>
      </c>
      <c r="B253" s="82">
        <v>112211112122</v>
      </c>
      <c r="C253" s="82"/>
      <c r="D253" s="83">
        <v>0.5</v>
      </c>
      <c r="E253" s="82">
        <v>12</v>
      </c>
      <c r="F253" s="82">
        <v>5</v>
      </c>
      <c r="G253" s="82">
        <v>18</v>
      </c>
      <c r="H253" s="24">
        <v>4.4112999999999998</v>
      </c>
      <c r="I253" s="4">
        <v>8.9999999999999998E-4</v>
      </c>
      <c r="J253" s="4">
        <v>-24.7258</v>
      </c>
      <c r="K253" s="4">
        <v>1.4E-3</v>
      </c>
      <c r="L253" s="4">
        <v>3.5999999999999997E-2</v>
      </c>
      <c r="M253" s="4">
        <v>7.0000000000000001E-3</v>
      </c>
      <c r="N253" s="4">
        <v>-9.4999999999999998E-3</v>
      </c>
      <c r="O253" s="4">
        <v>2.0000000000000001E-4</v>
      </c>
      <c r="P253" s="4">
        <v>129.21</v>
      </c>
      <c r="Q253" s="4">
        <v>0.22</v>
      </c>
      <c r="R253" s="4">
        <f t="shared" si="0"/>
        <v>0.26586419753086421</v>
      </c>
      <c r="S253" s="22">
        <f t="shared" si="1"/>
        <v>4.5267489711934157E-4</v>
      </c>
    </row>
    <row r="254" spans="1:19" ht="16">
      <c r="A254" s="19" t="s">
        <v>258</v>
      </c>
      <c r="B254" s="80">
        <v>211111212212</v>
      </c>
      <c r="C254" s="80"/>
      <c r="D254" s="20">
        <v>0.25</v>
      </c>
      <c r="E254" s="82">
        <v>12</v>
      </c>
      <c r="F254" s="82">
        <v>5</v>
      </c>
      <c r="G254" s="82">
        <v>18</v>
      </c>
      <c r="H254" s="21">
        <v>5.4660000000000002</v>
      </c>
      <c r="I254" s="4">
        <v>6.9999999999999999E-4</v>
      </c>
      <c r="J254" s="20">
        <v>-30.776700000000002</v>
      </c>
      <c r="K254" s="4">
        <v>1.1999999999999999E-3</v>
      </c>
      <c r="L254" s="4">
        <v>3.2000000000000001E-2</v>
      </c>
      <c r="M254" s="4">
        <v>7.0000000000000001E-3</v>
      </c>
      <c r="N254" s="4">
        <v>-6.6E-3</v>
      </c>
      <c r="O254" s="4">
        <v>2.0000000000000001E-4</v>
      </c>
      <c r="P254" s="4">
        <v>132.58000000000001</v>
      </c>
      <c r="Q254" s="4">
        <v>0.28000000000000003</v>
      </c>
      <c r="R254" s="20">
        <f t="shared" si="0"/>
        <v>0.27279835390946505</v>
      </c>
      <c r="S254" s="22">
        <f t="shared" si="1"/>
        <v>5.7613168724279839E-4</v>
      </c>
    </row>
    <row r="255" spans="1:19" ht="16">
      <c r="A255" s="23" t="s">
        <v>258</v>
      </c>
      <c r="B255" s="82">
        <v>211111212212</v>
      </c>
      <c r="C255" s="82"/>
      <c r="D255" s="83">
        <v>0.5</v>
      </c>
      <c r="E255" s="82">
        <v>12</v>
      </c>
      <c r="F255" s="82">
        <v>5</v>
      </c>
      <c r="G255" s="82">
        <v>18</v>
      </c>
      <c r="H255" s="24">
        <v>4.4321000000000002</v>
      </c>
      <c r="I255" s="4">
        <v>6.9999999999999999E-4</v>
      </c>
      <c r="J255" s="4">
        <v>-25.111999999999998</v>
      </c>
      <c r="K255" s="4">
        <v>1.1999999999999999E-3</v>
      </c>
      <c r="L255" s="4">
        <v>3.1E-2</v>
      </c>
      <c r="M255" s="4">
        <v>5.0000000000000001E-3</v>
      </c>
      <c r="N255" s="4">
        <v>-9.4999999999999998E-3</v>
      </c>
      <c r="O255" s="4">
        <v>5.0000000000000001E-4</v>
      </c>
      <c r="P255" s="4">
        <v>128.83000000000001</v>
      </c>
      <c r="Q255" s="4">
        <v>0.36</v>
      </c>
      <c r="R255" s="4">
        <f t="shared" si="0"/>
        <v>0.26508230452674897</v>
      </c>
      <c r="S255" s="22">
        <f t="shared" si="1"/>
        <v>7.4074074074074081E-4</v>
      </c>
    </row>
    <row r="256" spans="1:19" ht="16">
      <c r="A256" s="19" t="s">
        <v>259</v>
      </c>
      <c r="B256" s="80">
        <v>112111121222</v>
      </c>
      <c r="C256" s="80"/>
      <c r="D256" s="20">
        <v>0.25</v>
      </c>
      <c r="E256" s="82">
        <v>12</v>
      </c>
      <c r="F256" s="82">
        <v>5</v>
      </c>
      <c r="G256" s="82">
        <v>18</v>
      </c>
      <c r="H256" s="21">
        <v>5.4550000000000001</v>
      </c>
      <c r="I256" s="4">
        <v>6.9999999999999999E-4</v>
      </c>
      <c r="J256" s="20">
        <v>-30.724599999999999</v>
      </c>
      <c r="K256" s="4">
        <v>1.1999999999999999E-3</v>
      </c>
      <c r="L256" s="4">
        <v>2.8000000000000001E-2</v>
      </c>
      <c r="M256" s="4">
        <v>6.0000000000000001E-3</v>
      </c>
      <c r="N256" s="4">
        <v>-6.8999999999999999E-3</v>
      </c>
      <c r="O256" s="4">
        <v>1E-4</v>
      </c>
      <c r="P256" s="4">
        <v>132.06</v>
      </c>
      <c r="Q256" s="4">
        <v>0.06</v>
      </c>
      <c r="R256" s="20">
        <f t="shared" si="0"/>
        <v>0.27172839506172841</v>
      </c>
      <c r="S256" s="22">
        <f t="shared" si="1"/>
        <v>1.2345679012345679E-4</v>
      </c>
    </row>
    <row r="257" spans="1:19" ht="16">
      <c r="A257" s="23" t="s">
        <v>259</v>
      </c>
      <c r="B257" s="82">
        <v>112111121222</v>
      </c>
      <c r="C257" s="82"/>
      <c r="D257" s="83">
        <v>0.5</v>
      </c>
      <c r="E257" s="82">
        <v>12</v>
      </c>
      <c r="F257" s="82">
        <v>5</v>
      </c>
      <c r="G257" s="82">
        <v>18</v>
      </c>
      <c r="H257" s="24">
        <v>4.4057000000000004</v>
      </c>
      <c r="I257" s="4">
        <v>1E-3</v>
      </c>
      <c r="J257" s="4">
        <v>-25.106999999999999</v>
      </c>
      <c r="K257" s="4">
        <v>1.1000000000000001E-3</v>
      </c>
      <c r="L257" s="4">
        <v>8.4000000000000005E-2</v>
      </c>
      <c r="M257" s="4">
        <v>1.2E-2</v>
      </c>
      <c r="N257" s="4">
        <v>-1.17E-2</v>
      </c>
      <c r="O257" s="4">
        <v>5.9999999999999995E-4</v>
      </c>
      <c r="P257" s="4">
        <v>125.69</v>
      </c>
      <c r="Q257" s="4">
        <v>0.49</v>
      </c>
      <c r="R257" s="4">
        <f t="shared" si="0"/>
        <v>0.2586213991769547</v>
      </c>
      <c r="S257" s="22">
        <f t="shared" si="1"/>
        <v>1.0082304526748971E-3</v>
      </c>
    </row>
    <row r="258" spans="1:19" ht="16">
      <c r="A258" s="19" t="s">
        <v>260</v>
      </c>
      <c r="B258" s="80">
        <v>112121221211</v>
      </c>
      <c r="C258" s="80"/>
      <c r="D258" s="20">
        <v>0.25</v>
      </c>
      <c r="E258" s="82">
        <v>12</v>
      </c>
      <c r="F258" s="82">
        <v>5</v>
      </c>
      <c r="G258" s="82">
        <v>18</v>
      </c>
      <c r="H258" s="21">
        <v>5.3993000000000002</v>
      </c>
      <c r="I258" s="4">
        <v>1E-3</v>
      </c>
      <c r="J258" s="20">
        <v>-30.735099999999999</v>
      </c>
      <c r="K258" s="4">
        <v>8.9999999999999998E-4</v>
      </c>
      <c r="L258" s="4">
        <v>3.6999999999999998E-2</v>
      </c>
      <c r="M258" s="4">
        <v>5.0000000000000001E-3</v>
      </c>
      <c r="N258" s="4">
        <v>-7.1000000000000004E-3</v>
      </c>
      <c r="O258" s="4">
        <v>2.0000000000000001E-4</v>
      </c>
      <c r="P258" s="4">
        <v>132.87</v>
      </c>
      <c r="Q258" s="4">
        <v>0.14000000000000001</v>
      </c>
      <c r="R258" s="20">
        <f t="shared" si="0"/>
        <v>0.27339506172839506</v>
      </c>
      <c r="S258" s="22">
        <f t="shared" si="1"/>
        <v>2.8806584362139919E-4</v>
      </c>
    </row>
    <row r="259" spans="1:19" ht="16">
      <c r="A259" s="23" t="s">
        <v>260</v>
      </c>
      <c r="B259" s="82">
        <v>112121221211</v>
      </c>
      <c r="C259" s="82"/>
      <c r="D259" s="83">
        <v>0.5</v>
      </c>
      <c r="E259" s="82">
        <v>12</v>
      </c>
      <c r="F259" s="82">
        <v>5</v>
      </c>
      <c r="G259" s="82">
        <v>18</v>
      </c>
      <c r="H259" s="24">
        <v>4.2938000000000001</v>
      </c>
      <c r="I259" s="4">
        <v>6.9999999999999999E-4</v>
      </c>
      <c r="J259" s="4">
        <v>-24.9879</v>
      </c>
      <c r="K259" s="4">
        <v>1E-3</v>
      </c>
      <c r="L259" s="4">
        <v>7.4999999999999997E-2</v>
      </c>
      <c r="M259" s="4">
        <v>1.4999999999999999E-2</v>
      </c>
      <c r="N259" s="4">
        <v>-9.1999999999999998E-3</v>
      </c>
      <c r="O259" s="4">
        <v>1E-3</v>
      </c>
      <c r="P259" s="4">
        <v>130.97</v>
      </c>
      <c r="Q259" s="4">
        <v>0.46</v>
      </c>
      <c r="R259" s="4">
        <f t="shared" si="0"/>
        <v>0.26948559670781891</v>
      </c>
      <c r="S259" s="22">
        <f t="shared" si="1"/>
        <v>9.4650205761316879E-4</v>
      </c>
    </row>
    <row r="260" spans="1:19" ht="16">
      <c r="A260" s="19" t="s">
        <v>261</v>
      </c>
      <c r="B260" s="80">
        <v>111112122122</v>
      </c>
      <c r="C260" s="80"/>
      <c r="D260" s="20">
        <v>0.25</v>
      </c>
      <c r="E260" s="82">
        <v>12</v>
      </c>
      <c r="F260" s="82">
        <v>5</v>
      </c>
      <c r="G260" s="82">
        <v>18</v>
      </c>
      <c r="H260" s="21">
        <v>5.4363999999999999</v>
      </c>
      <c r="I260" s="4">
        <v>5.9999999999999995E-4</v>
      </c>
      <c r="J260" s="20">
        <v>-30.8245</v>
      </c>
      <c r="K260" s="4">
        <v>1.6999999999999999E-3</v>
      </c>
      <c r="L260" s="4">
        <v>3.6999999999999998E-2</v>
      </c>
      <c r="M260" s="4">
        <v>6.0000000000000001E-3</v>
      </c>
      <c r="N260" s="4">
        <v>-7.0000000000000001E-3</v>
      </c>
      <c r="O260" s="4">
        <v>2.0000000000000001E-4</v>
      </c>
      <c r="P260" s="4">
        <v>131.97999999999999</v>
      </c>
      <c r="Q260" s="4">
        <v>0.25</v>
      </c>
      <c r="R260" s="20">
        <f t="shared" si="0"/>
        <v>0.27156378600823039</v>
      </c>
      <c r="S260" s="22">
        <f t="shared" si="1"/>
        <v>5.1440329218107E-4</v>
      </c>
    </row>
    <row r="261" spans="1:19" ht="16">
      <c r="A261" s="23" t="s">
        <v>261</v>
      </c>
      <c r="B261" s="82">
        <v>111112122122</v>
      </c>
      <c r="C261" s="82"/>
      <c r="D261" s="83">
        <v>0.5</v>
      </c>
      <c r="E261" s="82">
        <v>12</v>
      </c>
      <c r="F261" s="82">
        <v>5</v>
      </c>
      <c r="G261" s="82">
        <v>18</v>
      </c>
      <c r="H261" s="24">
        <v>4.3616999999999999</v>
      </c>
      <c r="I261" s="4">
        <v>5.0000000000000001E-4</v>
      </c>
      <c r="J261" s="4">
        <v>-25.389700000000001</v>
      </c>
      <c r="K261" s="4">
        <v>1.2999999999999999E-3</v>
      </c>
      <c r="L261" s="4">
        <v>8.8999999999999996E-2</v>
      </c>
      <c r="M261" s="4">
        <v>1.6E-2</v>
      </c>
      <c r="N261" s="4">
        <v>-1.26E-2</v>
      </c>
      <c r="O261" s="4">
        <v>2.9999999999999997E-4</v>
      </c>
      <c r="P261" s="4">
        <v>123.35</v>
      </c>
      <c r="Q261" s="4">
        <v>0.18</v>
      </c>
      <c r="R261" s="4">
        <f t="shared" si="0"/>
        <v>0.25380658436213988</v>
      </c>
      <c r="S261" s="22">
        <f t="shared" si="1"/>
        <v>3.7037037037037041E-4</v>
      </c>
    </row>
    <row r="262" spans="1:19" ht="16">
      <c r="A262" s="19" t="s">
        <v>262</v>
      </c>
      <c r="B262" s="80">
        <v>111112122212</v>
      </c>
      <c r="C262" s="80"/>
      <c r="D262" s="20">
        <v>0.25</v>
      </c>
      <c r="E262" s="82">
        <v>12</v>
      </c>
      <c r="F262" s="82">
        <v>5</v>
      </c>
      <c r="G262" s="82">
        <v>18</v>
      </c>
      <c r="H262" s="21">
        <v>5.4287999999999998</v>
      </c>
      <c r="I262" s="4">
        <v>5.9999999999999995E-4</v>
      </c>
      <c r="J262" s="20">
        <v>-30.855499999999999</v>
      </c>
      <c r="K262" s="4">
        <v>6.9999999999999999E-4</v>
      </c>
      <c r="L262" s="4">
        <v>3.3000000000000002E-2</v>
      </c>
      <c r="M262" s="4">
        <v>6.0000000000000001E-3</v>
      </c>
      <c r="N262" s="4">
        <v>-7.3000000000000001E-3</v>
      </c>
      <c r="O262" s="4">
        <v>1E-4</v>
      </c>
      <c r="P262" s="4">
        <v>131.83000000000001</v>
      </c>
      <c r="Q262" s="4">
        <v>0.2</v>
      </c>
      <c r="R262" s="20">
        <f t="shared" si="0"/>
        <v>0.27125514403292184</v>
      </c>
      <c r="S262" s="22">
        <f t="shared" si="1"/>
        <v>4.1152263374485601E-4</v>
      </c>
    </row>
    <row r="263" spans="1:19" ht="16">
      <c r="A263" s="23" t="s">
        <v>262</v>
      </c>
      <c r="B263" s="82">
        <v>111112122212</v>
      </c>
      <c r="C263" s="82"/>
      <c r="D263" s="83">
        <v>0.5</v>
      </c>
      <c r="E263" s="82">
        <v>12</v>
      </c>
      <c r="F263" s="82">
        <v>5</v>
      </c>
      <c r="G263" s="82">
        <v>18</v>
      </c>
      <c r="H263" s="24">
        <v>4.3448000000000002</v>
      </c>
      <c r="I263" s="4">
        <v>4.0000000000000002E-4</v>
      </c>
      <c r="J263" s="4">
        <v>-25.462399999999999</v>
      </c>
      <c r="K263" s="4">
        <v>1.2999999999999999E-3</v>
      </c>
      <c r="L263" s="4">
        <v>9.8000000000000004E-2</v>
      </c>
      <c r="M263" s="4">
        <v>0.01</v>
      </c>
      <c r="N263" s="4">
        <v>-1.2699999999999999E-2</v>
      </c>
      <c r="O263" s="4">
        <v>4.0000000000000002E-4</v>
      </c>
      <c r="P263" s="4">
        <v>123.35</v>
      </c>
      <c r="Q263" s="4">
        <v>0.32</v>
      </c>
      <c r="R263" s="4">
        <f t="shared" si="0"/>
        <v>0.25380658436213988</v>
      </c>
      <c r="S263" s="22">
        <f t="shared" si="1"/>
        <v>6.5843621399176949E-4</v>
      </c>
    </row>
    <row r="264" spans="1:19" ht="16">
      <c r="A264" s="19" t="s">
        <v>263</v>
      </c>
      <c r="B264" s="80">
        <v>111211212212</v>
      </c>
      <c r="C264" s="80"/>
      <c r="D264" s="20">
        <v>0.25</v>
      </c>
      <c r="E264" s="82">
        <v>12</v>
      </c>
      <c r="F264" s="82">
        <v>5</v>
      </c>
      <c r="G264" s="82">
        <v>18</v>
      </c>
      <c r="H264" s="21">
        <v>5.4321999999999999</v>
      </c>
      <c r="I264" s="4">
        <v>6.9999999999999999E-4</v>
      </c>
      <c r="J264" s="20">
        <v>-30.775300000000001</v>
      </c>
      <c r="K264" s="4">
        <v>8.9999999999999998E-4</v>
      </c>
      <c r="L264" s="4">
        <v>2.9000000000000001E-2</v>
      </c>
      <c r="M264" s="4">
        <v>7.0000000000000001E-3</v>
      </c>
      <c r="N264" s="4">
        <v>-7.0000000000000001E-3</v>
      </c>
      <c r="O264" s="4">
        <v>4.0000000000000002E-4</v>
      </c>
      <c r="P264" s="4">
        <v>132.37</v>
      </c>
      <c r="Q264" s="4">
        <v>0.39</v>
      </c>
      <c r="R264" s="20">
        <f t="shared" si="0"/>
        <v>0.27236625514403295</v>
      </c>
      <c r="S264" s="22">
        <f t="shared" si="1"/>
        <v>8.0246913580246909E-4</v>
      </c>
    </row>
    <row r="265" spans="1:19" ht="16">
      <c r="A265" s="23" t="s">
        <v>263</v>
      </c>
      <c r="B265" s="82">
        <v>111211212212</v>
      </c>
      <c r="C265" s="82"/>
      <c r="D265" s="83">
        <v>0.5</v>
      </c>
      <c r="E265" s="82">
        <v>12</v>
      </c>
      <c r="F265" s="82">
        <v>5</v>
      </c>
      <c r="G265" s="82">
        <v>18</v>
      </c>
      <c r="H265" s="24">
        <v>4.3586999999999998</v>
      </c>
      <c r="I265" s="4">
        <v>1E-3</v>
      </c>
      <c r="J265" s="4">
        <v>-25.107800000000001</v>
      </c>
      <c r="K265" s="4">
        <v>2.0999999999999999E-3</v>
      </c>
      <c r="L265" s="4">
        <v>6.8000000000000005E-2</v>
      </c>
      <c r="M265" s="4">
        <v>2E-3</v>
      </c>
      <c r="N265" s="4">
        <v>-1.01E-2</v>
      </c>
      <c r="O265" s="4">
        <v>2.9999999999999997E-4</v>
      </c>
      <c r="P265" s="4">
        <v>128.57</v>
      </c>
      <c r="Q265" s="4">
        <v>0.22</v>
      </c>
      <c r="R265" s="4">
        <f t="shared" si="0"/>
        <v>0.26454732510288065</v>
      </c>
      <c r="S265" s="22">
        <f t="shared" si="1"/>
        <v>4.5267489711934157E-4</v>
      </c>
    </row>
    <row r="266" spans="1:19" ht="16">
      <c r="A266" s="19" t="s">
        <v>264</v>
      </c>
      <c r="B266" s="80">
        <v>122111211221</v>
      </c>
      <c r="C266" s="80"/>
      <c r="D266" s="20">
        <v>0.25</v>
      </c>
      <c r="E266" s="82">
        <v>12</v>
      </c>
      <c r="F266" s="82">
        <v>5</v>
      </c>
      <c r="G266" s="82">
        <v>18</v>
      </c>
      <c r="H266" s="21">
        <v>5.4385000000000003</v>
      </c>
      <c r="I266" s="4">
        <v>8.0000000000000004E-4</v>
      </c>
      <c r="J266" s="20">
        <v>-30.491099999999999</v>
      </c>
      <c r="K266" s="4">
        <v>5.9999999999999995E-4</v>
      </c>
      <c r="L266" s="4">
        <v>2.5999999999999999E-2</v>
      </c>
      <c r="M266" s="4">
        <v>4.0000000000000001E-3</v>
      </c>
      <c r="N266" s="4">
        <v>-6.7999999999999996E-3</v>
      </c>
      <c r="O266" s="4">
        <v>2.0000000000000001E-4</v>
      </c>
      <c r="P266" s="4">
        <v>132.83000000000001</v>
      </c>
      <c r="Q266" s="4">
        <v>0.15</v>
      </c>
      <c r="R266" s="20">
        <f t="shared" si="0"/>
        <v>0.27331275720164611</v>
      </c>
      <c r="S266" s="22">
        <f t="shared" si="1"/>
        <v>3.0864197530864197E-4</v>
      </c>
    </row>
    <row r="267" spans="1:19" ht="16">
      <c r="A267" s="23" t="s">
        <v>264</v>
      </c>
      <c r="B267" s="82">
        <v>122111211221</v>
      </c>
      <c r="C267" s="82"/>
      <c r="D267" s="83">
        <v>0.5</v>
      </c>
      <c r="E267" s="82">
        <v>12</v>
      </c>
      <c r="F267" s="82">
        <v>5</v>
      </c>
      <c r="G267" s="82">
        <v>18</v>
      </c>
      <c r="H267" s="24">
        <v>4.3814000000000002</v>
      </c>
      <c r="I267" s="4">
        <v>5.9999999999999995E-4</v>
      </c>
      <c r="J267" s="4">
        <v>-24.468599999999999</v>
      </c>
      <c r="K267" s="4">
        <v>6.9999999999999999E-4</v>
      </c>
      <c r="L267" s="4">
        <v>3.6999999999999998E-2</v>
      </c>
      <c r="M267" s="4">
        <v>1.4999999999999999E-2</v>
      </c>
      <c r="N267" s="4">
        <v>-8.8999999999999999E-3</v>
      </c>
      <c r="O267" s="4">
        <v>6.9999999999999999E-4</v>
      </c>
      <c r="P267" s="4">
        <v>130.80000000000001</v>
      </c>
      <c r="Q267" s="4">
        <v>0.41</v>
      </c>
      <c r="R267" s="4">
        <f t="shared" si="0"/>
        <v>0.26913580246913582</v>
      </c>
      <c r="S267" s="22">
        <f t="shared" si="1"/>
        <v>8.4362139917695475E-4</v>
      </c>
    </row>
    <row r="268" spans="1:19" ht="16">
      <c r="A268" s="19" t="s">
        <v>265</v>
      </c>
      <c r="B268" s="80">
        <v>111221211122</v>
      </c>
      <c r="C268" s="80"/>
      <c r="D268" s="20">
        <v>0.25</v>
      </c>
      <c r="E268" s="82">
        <v>12</v>
      </c>
      <c r="F268" s="82">
        <v>5</v>
      </c>
      <c r="G268" s="82">
        <v>18</v>
      </c>
      <c r="H268" s="21">
        <v>5.4397000000000002</v>
      </c>
      <c r="I268" s="4">
        <v>2.9999999999999997E-4</v>
      </c>
      <c r="J268" s="20">
        <v>-30.599299999999999</v>
      </c>
      <c r="K268" s="4">
        <v>1.1000000000000001E-3</v>
      </c>
      <c r="L268" s="4">
        <v>3.2000000000000001E-2</v>
      </c>
      <c r="M268" s="4">
        <v>3.0000000000000001E-3</v>
      </c>
      <c r="N268" s="4">
        <v>-6.4999999999999997E-3</v>
      </c>
      <c r="O268" s="4">
        <v>2.9999999999999997E-4</v>
      </c>
      <c r="P268" s="4">
        <v>132.93</v>
      </c>
      <c r="Q268" s="4">
        <v>0.25</v>
      </c>
      <c r="R268" s="20">
        <f t="shared" si="0"/>
        <v>0.27351851851851855</v>
      </c>
      <c r="S268" s="22">
        <f t="shared" si="1"/>
        <v>5.1440329218107E-4</v>
      </c>
    </row>
    <row r="269" spans="1:19" ht="16">
      <c r="A269" s="23" t="s">
        <v>265</v>
      </c>
      <c r="B269" s="82">
        <v>111221211122</v>
      </c>
      <c r="C269" s="82"/>
      <c r="D269" s="83">
        <v>0.5</v>
      </c>
      <c r="E269" s="82">
        <v>12</v>
      </c>
      <c r="F269" s="82">
        <v>5</v>
      </c>
      <c r="G269" s="82">
        <v>18</v>
      </c>
      <c r="H269" s="24">
        <v>4.3813000000000004</v>
      </c>
      <c r="I269" s="4">
        <v>2.9999999999999997E-4</v>
      </c>
      <c r="J269" s="4">
        <v>-24.7422</v>
      </c>
      <c r="K269" s="4">
        <v>5.9999999999999995E-4</v>
      </c>
      <c r="L269" s="4">
        <v>4.7E-2</v>
      </c>
      <c r="M269" s="4">
        <v>8.0000000000000002E-3</v>
      </c>
      <c r="N269" s="4">
        <v>-9.2999999999999992E-3</v>
      </c>
      <c r="O269" s="4">
        <v>2.9999999999999997E-4</v>
      </c>
      <c r="P269" s="4">
        <v>129.6</v>
      </c>
      <c r="Q269" s="4">
        <v>0.18</v>
      </c>
      <c r="R269" s="4">
        <f t="shared" si="0"/>
        <v>0.26666666666666666</v>
      </c>
      <c r="S269" s="22">
        <f t="shared" si="1"/>
        <v>3.7037037037037041E-4</v>
      </c>
    </row>
    <row r="270" spans="1:19" ht="16">
      <c r="A270" s="19" t="s">
        <v>266</v>
      </c>
      <c r="B270" s="80">
        <v>121211121221</v>
      </c>
      <c r="C270" s="80"/>
      <c r="D270" s="20">
        <v>0.25</v>
      </c>
      <c r="E270" s="82">
        <v>12</v>
      </c>
      <c r="F270" s="82">
        <v>5</v>
      </c>
      <c r="G270" s="82">
        <v>18</v>
      </c>
      <c r="H270" s="21">
        <v>5.4337999999999997</v>
      </c>
      <c r="I270" s="4">
        <v>1E-3</v>
      </c>
      <c r="J270" s="20">
        <v>-30.6389</v>
      </c>
      <c r="K270" s="4">
        <v>8.9999999999999998E-4</v>
      </c>
      <c r="L270" s="4">
        <v>2.4E-2</v>
      </c>
      <c r="M270" s="4">
        <v>4.0000000000000001E-3</v>
      </c>
      <c r="N270" s="4">
        <v>-6.7999999999999996E-3</v>
      </c>
      <c r="O270" s="4">
        <v>1E-4</v>
      </c>
      <c r="P270" s="4">
        <v>132.84</v>
      </c>
      <c r="Q270" s="4">
        <v>0.11</v>
      </c>
      <c r="R270" s="20">
        <f t="shared" si="0"/>
        <v>0.27333333333333332</v>
      </c>
      <c r="S270" s="22">
        <f t="shared" si="1"/>
        <v>2.2633744855967078E-4</v>
      </c>
    </row>
    <row r="271" spans="1:19" ht="16">
      <c r="A271" s="23" t="s">
        <v>266</v>
      </c>
      <c r="B271" s="82">
        <v>121211121221</v>
      </c>
      <c r="C271" s="82"/>
      <c r="D271" s="83">
        <v>0.5</v>
      </c>
      <c r="E271" s="82">
        <v>12</v>
      </c>
      <c r="F271" s="82">
        <v>5</v>
      </c>
      <c r="G271" s="82">
        <v>18</v>
      </c>
      <c r="H271" s="24">
        <v>4.3703000000000003</v>
      </c>
      <c r="I271" s="4">
        <v>5.9999999999999995E-4</v>
      </c>
      <c r="J271" s="4">
        <v>-24.7577</v>
      </c>
      <c r="K271" s="4">
        <v>1E-3</v>
      </c>
      <c r="L271" s="4">
        <v>3.9E-2</v>
      </c>
      <c r="M271" s="4">
        <v>1.2999999999999999E-2</v>
      </c>
      <c r="N271" s="4">
        <v>-9.1999999999999998E-3</v>
      </c>
      <c r="O271" s="4">
        <v>6.9999999999999999E-4</v>
      </c>
      <c r="P271" s="4">
        <v>130.72</v>
      </c>
      <c r="Q271" s="4">
        <v>0.41</v>
      </c>
      <c r="R271" s="4">
        <f t="shared" si="0"/>
        <v>0.26897119341563785</v>
      </c>
      <c r="S271" s="22">
        <f t="shared" si="1"/>
        <v>8.4362139917695475E-4</v>
      </c>
    </row>
    <row r="272" spans="1:19" ht="16">
      <c r="A272" s="19" t="s">
        <v>267</v>
      </c>
      <c r="B272" s="80">
        <v>211211111222</v>
      </c>
      <c r="C272" s="80"/>
      <c r="D272" s="20">
        <v>0.25</v>
      </c>
      <c r="E272" s="82">
        <v>12</v>
      </c>
      <c r="F272" s="82">
        <v>5</v>
      </c>
      <c r="G272" s="82">
        <v>18</v>
      </c>
      <c r="H272" s="21">
        <v>5.4856999999999996</v>
      </c>
      <c r="I272" s="4">
        <v>8.9999999999999998E-4</v>
      </c>
      <c r="J272" s="20">
        <v>-30.650400000000001</v>
      </c>
      <c r="K272" s="4">
        <v>1.2999999999999999E-3</v>
      </c>
      <c r="L272" s="4">
        <v>0.02</v>
      </c>
      <c r="M272" s="4">
        <v>2E-3</v>
      </c>
      <c r="N272" s="4">
        <v>-6.6E-3</v>
      </c>
      <c r="O272" s="4">
        <v>2.0000000000000001E-4</v>
      </c>
      <c r="P272" s="4">
        <v>132.29</v>
      </c>
      <c r="Q272" s="4">
        <v>0.12</v>
      </c>
      <c r="R272" s="20">
        <f t="shared" si="0"/>
        <v>0.27220164609053499</v>
      </c>
      <c r="S272" s="22">
        <f t="shared" si="1"/>
        <v>2.4691358024691359E-4</v>
      </c>
    </row>
    <row r="273" spans="1:19" ht="16">
      <c r="A273" s="23" t="s">
        <v>267</v>
      </c>
      <c r="B273" s="82">
        <v>211211111222</v>
      </c>
      <c r="C273" s="82"/>
      <c r="D273" s="83">
        <v>0.5</v>
      </c>
      <c r="E273" s="82">
        <v>12</v>
      </c>
      <c r="F273" s="82">
        <v>5</v>
      </c>
      <c r="G273" s="82">
        <v>18</v>
      </c>
      <c r="H273" s="24">
        <v>4.4786000000000001</v>
      </c>
      <c r="I273" s="4">
        <v>6.9999999999999999E-4</v>
      </c>
      <c r="J273" s="4">
        <v>-24.889099999999999</v>
      </c>
      <c r="K273" s="4">
        <v>1E-3</v>
      </c>
      <c r="L273" s="4">
        <v>2.7E-2</v>
      </c>
      <c r="M273" s="4">
        <v>7.0000000000000001E-3</v>
      </c>
      <c r="N273" s="4">
        <v>-9.2999999999999992E-3</v>
      </c>
      <c r="O273" s="4">
        <v>4.0000000000000002E-4</v>
      </c>
      <c r="P273" s="4">
        <v>128.19</v>
      </c>
      <c r="Q273" s="4">
        <v>0.35</v>
      </c>
      <c r="R273" s="4">
        <f t="shared" si="0"/>
        <v>0.26376543209876541</v>
      </c>
      <c r="S273" s="22">
        <f t="shared" si="1"/>
        <v>7.2016460905349787E-4</v>
      </c>
    </row>
    <row r="274" spans="1:19" ht="16">
      <c r="A274" s="19" t="s">
        <v>268</v>
      </c>
      <c r="B274" s="87">
        <v>222111111122</v>
      </c>
      <c r="C274" s="87" t="s">
        <v>30</v>
      </c>
      <c r="D274" s="20">
        <v>0.25</v>
      </c>
      <c r="E274" s="82">
        <v>12</v>
      </c>
      <c r="F274" s="82">
        <v>5</v>
      </c>
      <c r="G274" s="82">
        <v>18</v>
      </c>
      <c r="H274" s="21">
        <v>5.5007999999999999</v>
      </c>
      <c r="I274" s="4">
        <v>8.0000000000000004E-4</v>
      </c>
      <c r="J274" s="20">
        <v>-30.611000000000001</v>
      </c>
      <c r="K274" s="4">
        <v>8.9999999999999998E-4</v>
      </c>
      <c r="L274" s="4">
        <v>2.5000000000000001E-2</v>
      </c>
      <c r="M274" s="4">
        <v>6.0000000000000001E-3</v>
      </c>
      <c r="N274" s="4">
        <v>-6.7999999999999996E-3</v>
      </c>
      <c r="O274" s="4">
        <v>2.0000000000000001E-4</v>
      </c>
      <c r="P274" s="4">
        <v>131.94999999999999</v>
      </c>
      <c r="Q274" s="4">
        <v>0.11</v>
      </c>
      <c r="R274" s="20">
        <f t="shared" si="0"/>
        <v>0.2715020576131687</v>
      </c>
      <c r="S274" s="22">
        <f t="shared" si="1"/>
        <v>2.2633744855967078E-4</v>
      </c>
    </row>
    <row r="275" spans="1:19" ht="16">
      <c r="A275" s="23" t="s">
        <v>268</v>
      </c>
      <c r="B275" s="90">
        <v>222111111122</v>
      </c>
      <c r="C275" s="90" t="s">
        <v>30</v>
      </c>
      <c r="D275" s="83">
        <v>0.5</v>
      </c>
      <c r="E275" s="82">
        <v>12</v>
      </c>
      <c r="F275" s="82">
        <v>5</v>
      </c>
      <c r="G275" s="82">
        <v>18</v>
      </c>
      <c r="H275" s="24">
        <v>4.5217000000000001</v>
      </c>
      <c r="I275" s="4">
        <v>5.0000000000000001E-4</v>
      </c>
      <c r="J275" s="4">
        <v>-24.9009</v>
      </c>
      <c r="K275" s="4">
        <v>5.9999999999999995E-4</v>
      </c>
      <c r="L275" s="4">
        <v>2.1000000000000001E-2</v>
      </c>
      <c r="M275" s="4">
        <v>4.0000000000000001E-3</v>
      </c>
      <c r="N275" s="4">
        <v>-9.2999999999999992E-3</v>
      </c>
      <c r="O275" s="4">
        <v>2.0000000000000001E-4</v>
      </c>
      <c r="P275" s="4">
        <v>126.98</v>
      </c>
      <c r="Q275" s="4">
        <v>0.21</v>
      </c>
      <c r="R275" s="4">
        <f t="shared" si="0"/>
        <v>0.26127572016460904</v>
      </c>
      <c r="S275" s="22">
        <f t="shared" si="1"/>
        <v>4.3209876543209879E-4</v>
      </c>
    </row>
    <row r="276" spans="1:19" ht="16">
      <c r="A276" s="19" t="s">
        <v>269</v>
      </c>
      <c r="B276" s="87">
        <v>111122222111</v>
      </c>
      <c r="C276" s="87" t="s">
        <v>19</v>
      </c>
      <c r="D276" s="20">
        <v>0.25</v>
      </c>
      <c r="E276" s="82">
        <v>12</v>
      </c>
      <c r="F276" s="82">
        <v>5</v>
      </c>
      <c r="G276" s="82">
        <v>18</v>
      </c>
      <c r="H276" s="21">
        <v>5.3815</v>
      </c>
      <c r="I276" s="4">
        <v>8.0000000000000004E-4</v>
      </c>
      <c r="J276" s="20">
        <v>-30.700299999999999</v>
      </c>
      <c r="K276" s="4">
        <v>1E-3</v>
      </c>
      <c r="L276" s="4">
        <v>7.8E-2</v>
      </c>
      <c r="M276" s="4">
        <v>3.0000000000000001E-3</v>
      </c>
      <c r="N276" s="4">
        <v>-7.6E-3</v>
      </c>
      <c r="O276" s="4">
        <v>2.0000000000000001E-4</v>
      </c>
      <c r="P276" s="4">
        <v>131.96</v>
      </c>
      <c r="Q276" s="4">
        <v>0.13</v>
      </c>
      <c r="R276" s="20">
        <f t="shared" si="0"/>
        <v>0.27152263374485597</v>
      </c>
      <c r="S276" s="22">
        <f t="shared" si="1"/>
        <v>2.6748971193415636E-4</v>
      </c>
    </row>
    <row r="277" spans="1:19" ht="17" thickBot="1">
      <c r="A277" s="37" t="s">
        <v>269</v>
      </c>
      <c r="B277" s="64">
        <v>111122222111</v>
      </c>
      <c r="C277" s="64" t="s">
        <v>19</v>
      </c>
      <c r="D277" s="65">
        <v>0.5</v>
      </c>
      <c r="E277" s="72">
        <v>12</v>
      </c>
      <c r="F277" s="72">
        <v>5</v>
      </c>
      <c r="G277" s="72">
        <v>18</v>
      </c>
      <c r="H277" s="13">
        <v>4.2523999999999997</v>
      </c>
      <c r="I277" s="10">
        <v>6.9999999999999999E-4</v>
      </c>
      <c r="J277" s="10">
        <v>-25.280799999999999</v>
      </c>
      <c r="K277" s="10">
        <v>1.4E-3</v>
      </c>
      <c r="L277" s="10">
        <v>0.14299999999999999</v>
      </c>
      <c r="M277" s="10">
        <v>0.01</v>
      </c>
      <c r="N277" s="10">
        <v>-1.2800000000000001E-2</v>
      </c>
      <c r="O277" s="10">
        <v>2.9999999999999997E-4</v>
      </c>
      <c r="P277" s="10">
        <v>123.25</v>
      </c>
      <c r="Q277" s="10">
        <v>0.42</v>
      </c>
      <c r="R277" s="10">
        <f t="shared" si="0"/>
        <v>0.25360082304526749</v>
      </c>
      <c r="S277" s="26">
        <f t="shared" si="1"/>
        <v>8.6419753086419758E-4</v>
      </c>
    </row>
    <row r="278" spans="1:19" ht="17" thickTop="1">
      <c r="A278" s="27" t="s">
        <v>270</v>
      </c>
      <c r="B278" s="73">
        <v>121212121212</v>
      </c>
      <c r="C278" s="73" t="s">
        <v>78</v>
      </c>
      <c r="D278" s="74">
        <v>0.25</v>
      </c>
      <c r="E278" s="69">
        <v>12</v>
      </c>
      <c r="F278" s="69">
        <v>6</v>
      </c>
      <c r="G278" s="69">
        <v>18</v>
      </c>
      <c r="H278" s="12">
        <v>5.6851000000000003</v>
      </c>
      <c r="I278" s="7">
        <v>4.0000000000000002E-4</v>
      </c>
      <c r="J278" s="5">
        <v>-32.250100000000003</v>
      </c>
      <c r="K278" s="7">
        <v>1.4E-3</v>
      </c>
      <c r="L278" s="7">
        <v>2.8000000000000001E-2</v>
      </c>
      <c r="M278" s="7">
        <v>3.0000000000000001E-3</v>
      </c>
      <c r="N278" s="7">
        <v>-6.4000000000000003E-3</v>
      </c>
      <c r="O278" s="7">
        <v>2.0000000000000001E-4</v>
      </c>
      <c r="P278" s="7">
        <v>133.05000000000001</v>
      </c>
      <c r="Q278" s="7">
        <v>0.16</v>
      </c>
      <c r="R278" s="5">
        <f t="shared" si="0"/>
        <v>0.27376543209876547</v>
      </c>
      <c r="S278" s="18">
        <f t="shared" si="1"/>
        <v>3.2921810699588475E-4</v>
      </c>
    </row>
    <row r="279" spans="1:19" ht="16">
      <c r="A279" s="23" t="s">
        <v>270</v>
      </c>
      <c r="B279" s="82">
        <v>121212121212</v>
      </c>
      <c r="C279" s="82" t="s">
        <v>78</v>
      </c>
      <c r="D279" s="83">
        <v>0.5</v>
      </c>
      <c r="E279" s="82">
        <v>12</v>
      </c>
      <c r="F279" s="82">
        <v>6</v>
      </c>
      <c r="G279" s="82">
        <v>18</v>
      </c>
      <c r="H279" s="24">
        <v>4.8737000000000004</v>
      </c>
      <c r="I279" s="4">
        <v>4.0000000000000002E-4</v>
      </c>
      <c r="J279" s="4">
        <v>-27.9604</v>
      </c>
      <c r="K279" s="4">
        <v>8.0000000000000004E-4</v>
      </c>
      <c r="L279" s="4">
        <v>0.03</v>
      </c>
      <c r="M279" s="4">
        <v>3.0000000000000001E-3</v>
      </c>
      <c r="N279" s="4">
        <v>-7.9000000000000008E-3</v>
      </c>
      <c r="O279" s="4">
        <v>2.9999999999999997E-4</v>
      </c>
      <c r="P279" s="4">
        <v>131.74</v>
      </c>
      <c r="Q279" s="4">
        <v>0.25</v>
      </c>
      <c r="R279" s="4">
        <f t="shared" si="0"/>
        <v>0.27106995884773666</v>
      </c>
      <c r="S279" s="22">
        <f t="shared" si="1"/>
        <v>5.1440329218107E-4</v>
      </c>
    </row>
    <row r="280" spans="1:19" ht="16">
      <c r="A280" s="28" t="s">
        <v>270</v>
      </c>
      <c r="B280" s="84">
        <v>121212121212</v>
      </c>
      <c r="C280" s="84" t="s">
        <v>78</v>
      </c>
      <c r="D280" s="85">
        <v>0.75</v>
      </c>
      <c r="E280" s="82">
        <v>12</v>
      </c>
      <c r="F280" s="82">
        <v>6</v>
      </c>
      <c r="G280" s="82">
        <v>18</v>
      </c>
      <c r="H280" s="30">
        <v>4.0613999999999999</v>
      </c>
      <c r="I280" s="4">
        <v>5.9999999999999995E-4</v>
      </c>
      <c r="J280" s="29">
        <v>-23.837800000000001</v>
      </c>
      <c r="K280" s="4">
        <v>1E-3</v>
      </c>
      <c r="L280" s="4">
        <v>3.9E-2</v>
      </c>
      <c r="M280" s="4">
        <v>0.01</v>
      </c>
      <c r="N280" s="4">
        <v>-1.0699999999999999E-2</v>
      </c>
      <c r="O280" s="4">
        <v>2.0000000000000001E-4</v>
      </c>
      <c r="P280" s="4">
        <v>128.04</v>
      </c>
      <c r="Q280" s="4">
        <v>0.08</v>
      </c>
      <c r="R280" s="29">
        <f t="shared" si="0"/>
        <v>0.2634567901234568</v>
      </c>
      <c r="S280" s="22">
        <f t="shared" si="1"/>
        <v>1.6460905349794237E-4</v>
      </c>
    </row>
    <row r="281" spans="1:19" ht="16">
      <c r="A281" s="33" t="s">
        <v>270</v>
      </c>
      <c r="B281" s="97">
        <v>121212121212</v>
      </c>
      <c r="C281" s="97" t="s">
        <v>78</v>
      </c>
      <c r="D281" s="98">
        <v>1</v>
      </c>
      <c r="E281" s="82">
        <v>12</v>
      </c>
      <c r="F281" s="82">
        <v>6</v>
      </c>
      <c r="G281" s="82">
        <v>18</v>
      </c>
      <c r="H281" s="34">
        <v>3.2471999999999999</v>
      </c>
      <c r="I281" s="4">
        <v>2.9999999999999997E-4</v>
      </c>
      <c r="J281" s="34">
        <v>-20.042000000000002</v>
      </c>
      <c r="K281" s="4">
        <v>8.0000000000000004E-4</v>
      </c>
      <c r="L281" s="4">
        <v>9.1999999999999998E-2</v>
      </c>
      <c r="M281" s="4">
        <v>2.7E-2</v>
      </c>
      <c r="N281" s="4">
        <v>-1.7299999999999999E-2</v>
      </c>
      <c r="O281" s="4">
        <v>1E-3</v>
      </c>
      <c r="P281" s="4">
        <v>118.05</v>
      </c>
      <c r="Q281" s="4">
        <v>0.4</v>
      </c>
      <c r="R281" s="34">
        <f t="shared" si="0"/>
        <v>0.24290123456790122</v>
      </c>
      <c r="S281" s="22">
        <f t="shared" si="1"/>
        <v>8.2304526748971203E-4</v>
      </c>
    </row>
    <row r="282" spans="1:19" ht="16">
      <c r="A282" s="19" t="s">
        <v>271</v>
      </c>
      <c r="B282" s="80">
        <v>112122211212</v>
      </c>
      <c r="C282" s="80"/>
      <c r="D282" s="81">
        <v>0.25</v>
      </c>
      <c r="E282" s="82">
        <v>12</v>
      </c>
      <c r="F282" s="82">
        <v>6</v>
      </c>
      <c r="G282" s="82">
        <v>18</v>
      </c>
      <c r="H282" s="21">
        <v>5.6689999999999996</v>
      </c>
      <c r="I282" s="4">
        <v>8.0000000000000004E-4</v>
      </c>
      <c r="J282" s="20">
        <v>-32.1111</v>
      </c>
      <c r="K282" s="4">
        <v>8.9999999999999998E-4</v>
      </c>
      <c r="L282" s="4">
        <v>2.8000000000000001E-2</v>
      </c>
      <c r="M282" s="4">
        <v>2E-3</v>
      </c>
      <c r="N282" s="4">
        <v>-6.6E-3</v>
      </c>
      <c r="O282" s="4">
        <v>1E-4</v>
      </c>
      <c r="P282" s="4">
        <v>132.69999999999999</v>
      </c>
      <c r="Q282" s="4">
        <v>0.08</v>
      </c>
      <c r="R282" s="20">
        <f t="shared" si="0"/>
        <v>0.27304526748971192</v>
      </c>
      <c r="S282" s="22">
        <f t="shared" si="1"/>
        <v>1.6460905349794237E-4</v>
      </c>
    </row>
    <row r="283" spans="1:19" ht="16">
      <c r="A283" s="23" t="s">
        <v>271</v>
      </c>
      <c r="B283" s="82">
        <v>112122211212</v>
      </c>
      <c r="C283" s="82"/>
      <c r="D283" s="83">
        <v>0.5</v>
      </c>
      <c r="E283" s="82">
        <v>12</v>
      </c>
      <c r="F283" s="82">
        <v>6</v>
      </c>
      <c r="G283" s="82">
        <v>18</v>
      </c>
      <c r="H283" s="24">
        <v>4.8357000000000001</v>
      </c>
      <c r="I283" s="4">
        <v>6.9999999999999999E-4</v>
      </c>
      <c r="J283" s="4">
        <v>-27.755199999999999</v>
      </c>
      <c r="K283" s="4">
        <v>3.3999999999999998E-3</v>
      </c>
      <c r="L283" s="4">
        <v>5.3999999999999999E-2</v>
      </c>
      <c r="M283" s="4">
        <v>1.2E-2</v>
      </c>
      <c r="N283" s="4">
        <v>-9.1000000000000004E-3</v>
      </c>
      <c r="O283" s="4">
        <v>6.9999999999999999E-4</v>
      </c>
      <c r="P283" s="4">
        <v>129.47999999999999</v>
      </c>
      <c r="Q283" s="4">
        <v>0.62</v>
      </c>
      <c r="R283" s="4">
        <f t="shared" si="0"/>
        <v>0.26641975308641969</v>
      </c>
      <c r="S283" s="22">
        <f t="shared" si="1"/>
        <v>1.2757201646090533E-3</v>
      </c>
    </row>
    <row r="284" spans="1:19" ht="16">
      <c r="A284" s="28" t="s">
        <v>271</v>
      </c>
      <c r="B284" s="84">
        <v>112122211212</v>
      </c>
      <c r="C284" s="84"/>
      <c r="D284" s="85">
        <v>0.75</v>
      </c>
      <c r="E284" s="82">
        <v>12</v>
      </c>
      <c r="F284" s="82">
        <v>6</v>
      </c>
      <c r="G284" s="82">
        <v>18</v>
      </c>
      <c r="H284" s="30">
        <v>3.988</v>
      </c>
      <c r="I284" s="4">
        <v>8.0000000000000004E-4</v>
      </c>
      <c r="J284" s="29">
        <v>-23.749400000000001</v>
      </c>
      <c r="K284" s="4">
        <v>1E-3</v>
      </c>
      <c r="L284" s="4">
        <v>0.111</v>
      </c>
      <c r="M284" s="4">
        <v>1.0999999999999999E-2</v>
      </c>
      <c r="N284" s="4">
        <v>-1.46E-2</v>
      </c>
      <c r="O284" s="4">
        <v>2.0000000000000001E-4</v>
      </c>
      <c r="P284" s="4">
        <v>120.2</v>
      </c>
      <c r="Q284" s="4">
        <v>0.21</v>
      </c>
      <c r="R284" s="29">
        <f t="shared" si="0"/>
        <v>0.24732510288065845</v>
      </c>
      <c r="S284" s="22">
        <f t="shared" si="1"/>
        <v>4.3209876543209879E-4</v>
      </c>
    </row>
    <row r="285" spans="1:19" ht="16">
      <c r="A285" s="19" t="s">
        <v>272</v>
      </c>
      <c r="B285" s="80">
        <v>112112221122</v>
      </c>
      <c r="C285" s="80"/>
      <c r="D285" s="81">
        <v>0.25</v>
      </c>
      <c r="E285" s="82">
        <v>12</v>
      </c>
      <c r="F285" s="82">
        <v>6</v>
      </c>
      <c r="G285" s="82">
        <v>18</v>
      </c>
      <c r="H285" s="21">
        <v>5.6780999999999997</v>
      </c>
      <c r="I285" s="4">
        <v>2.0000000000000001E-4</v>
      </c>
      <c r="J285" s="20">
        <v>-32.000300000000003</v>
      </c>
      <c r="K285" s="4">
        <v>1.9E-3</v>
      </c>
      <c r="L285" s="4">
        <v>2.7E-2</v>
      </c>
      <c r="M285" s="4">
        <v>3.0000000000000001E-3</v>
      </c>
      <c r="N285" s="4">
        <v>-6.6E-3</v>
      </c>
      <c r="O285" s="4">
        <v>2.0000000000000001E-4</v>
      </c>
      <c r="P285" s="4">
        <v>132.47999999999999</v>
      </c>
      <c r="Q285" s="4">
        <v>0.31</v>
      </c>
      <c r="R285" s="20">
        <f t="shared" si="0"/>
        <v>0.27259259259259255</v>
      </c>
      <c r="S285" s="22">
        <f t="shared" si="1"/>
        <v>6.3786008230452666E-4</v>
      </c>
    </row>
    <row r="286" spans="1:19" ht="16">
      <c r="A286" s="23" t="s">
        <v>272</v>
      </c>
      <c r="B286" s="82">
        <v>112112221122</v>
      </c>
      <c r="C286" s="82"/>
      <c r="D286" s="83">
        <v>0.5</v>
      </c>
      <c r="E286" s="82">
        <v>12</v>
      </c>
      <c r="F286" s="82">
        <v>6</v>
      </c>
      <c r="G286" s="82">
        <v>18</v>
      </c>
      <c r="H286" s="24">
        <v>4.8479999999999999</v>
      </c>
      <c r="I286" s="4">
        <v>8.0000000000000004E-4</v>
      </c>
      <c r="J286" s="4">
        <v>-27.584700000000002</v>
      </c>
      <c r="K286" s="4">
        <v>6.9999999999999999E-4</v>
      </c>
      <c r="L286" s="4">
        <v>5.8999999999999997E-2</v>
      </c>
      <c r="M286" s="4">
        <v>8.9999999999999993E-3</v>
      </c>
      <c r="N286" s="4">
        <v>-8.9999999999999993E-3</v>
      </c>
      <c r="O286" s="4">
        <v>2.0000000000000001E-4</v>
      </c>
      <c r="P286" s="4">
        <v>128.27000000000001</v>
      </c>
      <c r="Q286" s="4">
        <v>0.19</v>
      </c>
      <c r="R286" s="4">
        <f t="shared" si="0"/>
        <v>0.26393004115226343</v>
      </c>
      <c r="S286" s="22">
        <f t="shared" si="1"/>
        <v>3.9094650205761324E-4</v>
      </c>
    </row>
    <row r="287" spans="1:19" ht="16">
      <c r="A287" s="28" t="s">
        <v>272</v>
      </c>
      <c r="B287" s="84">
        <v>112112221122</v>
      </c>
      <c r="C287" s="84"/>
      <c r="D287" s="85">
        <v>0.75</v>
      </c>
      <c r="E287" s="82">
        <v>12</v>
      </c>
      <c r="F287" s="82">
        <v>6</v>
      </c>
      <c r="G287" s="82">
        <v>18</v>
      </c>
      <c r="H287" s="32">
        <v>3.9982000000000002</v>
      </c>
      <c r="I287" s="4">
        <v>5.9999999999999995E-4</v>
      </c>
      <c r="J287" s="29">
        <v>-23.6525</v>
      </c>
      <c r="K287" s="4">
        <v>5.0000000000000001E-4</v>
      </c>
      <c r="L287" s="4">
        <v>0.158</v>
      </c>
      <c r="M287" s="4">
        <v>8.0000000000000002E-3</v>
      </c>
      <c r="N287" s="4">
        <v>-1.7899999999999999E-2</v>
      </c>
      <c r="O287" s="4" t="s">
        <v>273</v>
      </c>
      <c r="P287" s="4">
        <v>112.59</v>
      </c>
      <c r="Q287" s="4">
        <v>0.42</v>
      </c>
      <c r="R287" s="29">
        <f t="shared" si="0"/>
        <v>0.23166666666666666</v>
      </c>
      <c r="S287" s="22">
        <f t="shared" si="1"/>
        <v>8.6419753086419758E-4</v>
      </c>
    </row>
    <row r="288" spans="1:19" ht="16">
      <c r="A288" s="19" t="s">
        <v>274</v>
      </c>
      <c r="B288" s="80">
        <v>111221121222</v>
      </c>
      <c r="C288" s="80"/>
      <c r="D288" s="81">
        <v>0.25</v>
      </c>
      <c r="E288" s="82">
        <v>12</v>
      </c>
      <c r="F288" s="82">
        <v>6</v>
      </c>
      <c r="G288" s="82">
        <v>18</v>
      </c>
      <c r="H288" s="21">
        <v>5.6840999999999999</v>
      </c>
      <c r="I288" s="4">
        <v>8.9999999999999998E-4</v>
      </c>
      <c r="J288" s="20">
        <v>-32.0715</v>
      </c>
      <c r="K288" s="4">
        <v>1.9E-3</v>
      </c>
      <c r="L288" s="4">
        <v>3.2000000000000001E-2</v>
      </c>
      <c r="M288" s="4">
        <v>8.9999999999999993E-3</v>
      </c>
      <c r="N288" s="4">
        <v>-6.7000000000000002E-3</v>
      </c>
      <c r="O288" s="4">
        <v>2.0000000000000001E-4</v>
      </c>
      <c r="P288" s="4">
        <v>132.12</v>
      </c>
      <c r="Q288" s="4">
        <v>0.19</v>
      </c>
      <c r="R288" s="20">
        <f t="shared" si="0"/>
        <v>0.27185185185185184</v>
      </c>
      <c r="S288" s="22">
        <f t="shared" si="1"/>
        <v>3.9094650205761324E-4</v>
      </c>
    </row>
    <row r="289" spans="1:19" ht="16">
      <c r="A289" s="23" t="s">
        <v>274</v>
      </c>
      <c r="B289" s="82">
        <v>111221121222</v>
      </c>
      <c r="C289" s="82"/>
      <c r="D289" s="83">
        <v>0.5</v>
      </c>
      <c r="E289" s="82">
        <v>12</v>
      </c>
      <c r="F289" s="82">
        <v>6</v>
      </c>
      <c r="G289" s="82">
        <v>18</v>
      </c>
      <c r="H289" s="24">
        <v>4.8555000000000001</v>
      </c>
      <c r="I289" s="4">
        <v>5.0000000000000001E-4</v>
      </c>
      <c r="J289" s="4">
        <v>-27.794799999999999</v>
      </c>
      <c r="K289" s="4">
        <v>1E-3</v>
      </c>
      <c r="L289" s="4">
        <v>7.5999999999999998E-2</v>
      </c>
      <c r="M289" s="4">
        <v>5.0000000000000001E-3</v>
      </c>
      <c r="N289" s="4">
        <v>-1.01E-2</v>
      </c>
      <c r="O289" s="4">
        <v>2.9999999999999997E-4</v>
      </c>
      <c r="P289" s="4">
        <v>125.99</v>
      </c>
      <c r="Q289" s="4">
        <v>0.42</v>
      </c>
      <c r="R289" s="4">
        <f t="shared" si="0"/>
        <v>0.25923868312757198</v>
      </c>
      <c r="S289" s="22">
        <f t="shared" si="1"/>
        <v>8.6419753086419758E-4</v>
      </c>
    </row>
    <row r="290" spans="1:19" ht="16">
      <c r="A290" s="28" t="s">
        <v>274</v>
      </c>
      <c r="B290" s="84">
        <v>111221121222</v>
      </c>
      <c r="C290" s="84"/>
      <c r="D290" s="85">
        <v>0.75</v>
      </c>
      <c r="E290" s="82">
        <v>12</v>
      </c>
      <c r="F290" s="82">
        <v>6</v>
      </c>
      <c r="G290" s="82">
        <v>18</v>
      </c>
      <c r="H290" s="30">
        <v>3.9843000000000002</v>
      </c>
      <c r="I290" s="4">
        <v>8.9999999999999998E-4</v>
      </c>
      <c r="J290" s="29">
        <v>-24.236699999999999</v>
      </c>
      <c r="K290" s="4">
        <v>1.9E-3</v>
      </c>
      <c r="L290" s="4">
        <v>9.8000000000000004E-2</v>
      </c>
      <c r="M290" s="4">
        <v>7.0000000000000001E-3</v>
      </c>
      <c r="N290" s="4">
        <v>-2.35E-2</v>
      </c>
      <c r="O290" s="4">
        <v>0</v>
      </c>
      <c r="P290" s="4">
        <v>99.18</v>
      </c>
      <c r="Q290" s="4">
        <v>7.0000000000000007E-2</v>
      </c>
      <c r="R290" s="29">
        <f t="shared" si="0"/>
        <v>0.20407407407407407</v>
      </c>
      <c r="S290" s="22">
        <f t="shared" si="1"/>
        <v>1.440329218106996E-4</v>
      </c>
    </row>
    <row r="291" spans="1:19" ht="16">
      <c r="A291" s="19" t="s">
        <v>275</v>
      </c>
      <c r="B291" s="80">
        <v>211121212212</v>
      </c>
      <c r="C291" s="80"/>
      <c r="D291" s="81">
        <v>0.25</v>
      </c>
      <c r="E291" s="82">
        <v>12</v>
      </c>
      <c r="F291" s="82">
        <v>6</v>
      </c>
      <c r="G291" s="82">
        <v>18</v>
      </c>
      <c r="H291" s="21">
        <v>5.7051999999999996</v>
      </c>
      <c r="I291" s="4">
        <v>4.0000000000000002E-4</v>
      </c>
      <c r="J291" s="20">
        <v>-32.203800000000001</v>
      </c>
      <c r="K291" s="4">
        <v>1.1000000000000001E-3</v>
      </c>
      <c r="L291" s="4">
        <v>2.4E-2</v>
      </c>
      <c r="M291" s="4">
        <v>3.0000000000000001E-3</v>
      </c>
      <c r="N291" s="4">
        <v>-6.4000000000000003E-3</v>
      </c>
      <c r="O291" s="4">
        <v>1E-4</v>
      </c>
      <c r="P291" s="4">
        <v>132.69</v>
      </c>
      <c r="Q291" s="4">
        <v>0.16</v>
      </c>
      <c r="R291" s="20">
        <f t="shared" si="0"/>
        <v>0.27302469135802471</v>
      </c>
      <c r="S291" s="22">
        <f t="shared" si="1"/>
        <v>3.2921810699588475E-4</v>
      </c>
    </row>
    <row r="292" spans="1:19" ht="16">
      <c r="A292" s="23" t="s">
        <v>275</v>
      </c>
      <c r="B292" s="82">
        <v>211121212212</v>
      </c>
      <c r="C292" s="82"/>
      <c r="D292" s="83">
        <v>0.5</v>
      </c>
      <c r="E292" s="82">
        <v>12</v>
      </c>
      <c r="F292" s="82">
        <v>6</v>
      </c>
      <c r="G292" s="82">
        <v>18</v>
      </c>
      <c r="H292" s="24">
        <v>4.9089999999999998</v>
      </c>
      <c r="I292" s="4">
        <v>5.0000000000000001E-4</v>
      </c>
      <c r="J292" s="4">
        <v>-27.918800000000001</v>
      </c>
      <c r="K292" s="4">
        <v>1.1000000000000001E-3</v>
      </c>
      <c r="L292" s="4">
        <v>3.1E-2</v>
      </c>
      <c r="M292" s="4">
        <v>5.0000000000000001E-3</v>
      </c>
      <c r="N292" s="4">
        <v>-7.7999999999999996E-3</v>
      </c>
      <c r="O292" s="4">
        <v>2.0000000000000001E-4</v>
      </c>
      <c r="P292" s="4">
        <v>130.36000000000001</v>
      </c>
      <c r="Q292" s="4">
        <v>0.09</v>
      </c>
      <c r="R292" s="4">
        <f t="shared" si="0"/>
        <v>0.26823045267489715</v>
      </c>
      <c r="S292" s="22">
        <f t="shared" si="1"/>
        <v>1.851851851851852E-4</v>
      </c>
    </row>
    <row r="293" spans="1:19" ht="16">
      <c r="A293" s="28" t="s">
        <v>275</v>
      </c>
      <c r="B293" s="84">
        <v>211121212212</v>
      </c>
      <c r="C293" s="84"/>
      <c r="D293" s="85">
        <v>0.75</v>
      </c>
      <c r="E293" s="82">
        <v>12</v>
      </c>
      <c r="F293" s="82">
        <v>6</v>
      </c>
      <c r="G293" s="82">
        <v>18</v>
      </c>
      <c r="H293" s="30">
        <v>4.1109999999999998</v>
      </c>
      <c r="I293" s="4">
        <v>4.0000000000000002E-4</v>
      </c>
      <c r="J293" s="29">
        <v>-23.9087</v>
      </c>
      <c r="K293" s="4">
        <v>5.0000000000000001E-4</v>
      </c>
      <c r="L293" s="4">
        <v>6.5000000000000002E-2</v>
      </c>
      <c r="M293" s="4">
        <v>8.0000000000000002E-3</v>
      </c>
      <c r="N293" s="4">
        <v>-1.2E-2</v>
      </c>
      <c r="O293" s="4">
        <v>2.0000000000000001E-4</v>
      </c>
      <c r="P293" s="4">
        <v>122.94</v>
      </c>
      <c r="Q293" s="4">
        <v>0.15</v>
      </c>
      <c r="R293" s="29">
        <f t="shared" si="0"/>
        <v>0.25296296296296295</v>
      </c>
      <c r="S293" s="22">
        <f t="shared" si="1"/>
        <v>3.0864197530864197E-4</v>
      </c>
    </row>
    <row r="294" spans="1:19" ht="16">
      <c r="A294" s="33" t="s">
        <v>275</v>
      </c>
      <c r="B294" s="97">
        <v>211121212212</v>
      </c>
      <c r="C294" s="97"/>
      <c r="D294" s="98">
        <v>1</v>
      </c>
      <c r="E294" s="82">
        <v>12</v>
      </c>
      <c r="F294" s="82">
        <v>6</v>
      </c>
      <c r="G294" s="82">
        <v>18</v>
      </c>
      <c r="H294" s="34">
        <v>3.3117000000000001</v>
      </c>
      <c r="I294" s="4">
        <v>6.9999999999999999E-4</v>
      </c>
      <c r="J294" s="34">
        <v>-20.5152</v>
      </c>
      <c r="K294" s="4">
        <v>1.1999999999999999E-3</v>
      </c>
      <c r="L294" s="4">
        <v>0.124</v>
      </c>
      <c r="M294" s="4">
        <v>4.0000000000000001E-3</v>
      </c>
      <c r="N294" s="4">
        <v>-2.4500000000000001E-2</v>
      </c>
      <c r="O294" s="4">
        <v>1E-4</v>
      </c>
      <c r="P294" s="4">
        <v>101.15</v>
      </c>
      <c r="Q294" s="4">
        <v>7.0000000000000007E-2</v>
      </c>
      <c r="R294" s="34">
        <f t="shared" si="0"/>
        <v>0.20812757201646093</v>
      </c>
      <c r="S294" s="22">
        <f t="shared" si="1"/>
        <v>1.440329218106996E-4</v>
      </c>
    </row>
    <row r="295" spans="1:19" ht="16">
      <c r="A295" s="19" t="s">
        <v>276</v>
      </c>
      <c r="B295" s="80">
        <v>211211122212</v>
      </c>
      <c r="C295" s="20"/>
      <c r="D295" s="81">
        <v>0.25</v>
      </c>
      <c r="E295" s="82">
        <v>12</v>
      </c>
      <c r="F295" s="82">
        <v>6</v>
      </c>
      <c r="G295" s="82">
        <v>18</v>
      </c>
      <c r="H295" s="21">
        <v>5.7119</v>
      </c>
      <c r="I295" s="4">
        <v>5.0000000000000001E-4</v>
      </c>
      <c r="J295" s="20">
        <v>-32.109099999999998</v>
      </c>
      <c r="K295" s="4">
        <v>1E-3</v>
      </c>
      <c r="L295" s="4">
        <v>2.5999999999999999E-2</v>
      </c>
      <c r="M295" s="4">
        <v>2E-3</v>
      </c>
      <c r="N295" s="4">
        <v>-6.4000000000000003E-3</v>
      </c>
      <c r="O295" s="4">
        <v>2.0000000000000001E-4</v>
      </c>
      <c r="P295" s="4">
        <v>132.5</v>
      </c>
      <c r="Q295" s="4">
        <v>0.25</v>
      </c>
      <c r="R295" s="20">
        <f t="shared" si="0"/>
        <v>0.27263374485596709</v>
      </c>
      <c r="S295" s="22">
        <f t="shared" si="1"/>
        <v>5.1440329218107E-4</v>
      </c>
    </row>
    <row r="296" spans="1:19" ht="16">
      <c r="A296" s="23" t="s">
        <v>276</v>
      </c>
      <c r="B296" s="82">
        <v>211211122212</v>
      </c>
      <c r="C296" s="82"/>
      <c r="D296" s="83">
        <v>0.5</v>
      </c>
      <c r="E296" s="82">
        <v>12</v>
      </c>
      <c r="F296" s="82">
        <v>6</v>
      </c>
      <c r="G296" s="82">
        <v>18</v>
      </c>
      <c r="H296" s="24">
        <v>4.9230999999999998</v>
      </c>
      <c r="I296" s="4">
        <v>6.9999999999999999E-4</v>
      </c>
      <c r="J296" s="4">
        <v>-27.7666</v>
      </c>
      <c r="K296" s="4">
        <v>1.1000000000000001E-3</v>
      </c>
      <c r="L296" s="4">
        <v>2.9000000000000001E-2</v>
      </c>
      <c r="M296" s="4">
        <v>2E-3</v>
      </c>
      <c r="N296" s="4">
        <v>-8.3999999999999995E-3</v>
      </c>
      <c r="O296" s="4">
        <v>1E-4</v>
      </c>
      <c r="P296" s="4">
        <v>129.19</v>
      </c>
      <c r="Q296" s="4">
        <v>0.12</v>
      </c>
      <c r="R296" s="4">
        <f t="shared" si="0"/>
        <v>0.26582304526748973</v>
      </c>
      <c r="S296" s="22">
        <f t="shared" si="1"/>
        <v>2.4691358024691359E-4</v>
      </c>
    </row>
    <row r="297" spans="1:19" ht="16">
      <c r="A297" s="28" t="s">
        <v>276</v>
      </c>
      <c r="B297" s="84">
        <v>211211122212</v>
      </c>
      <c r="C297" s="84"/>
      <c r="D297" s="85">
        <v>0.75</v>
      </c>
      <c r="E297" s="82">
        <v>12</v>
      </c>
      <c r="F297" s="82">
        <v>6</v>
      </c>
      <c r="G297" s="82">
        <v>18</v>
      </c>
      <c r="H297" s="30">
        <v>4.1360999999999999</v>
      </c>
      <c r="I297" s="4">
        <v>8.9999999999999998E-4</v>
      </c>
      <c r="J297" s="29">
        <v>-23.784700000000001</v>
      </c>
      <c r="K297" s="4">
        <v>1E-3</v>
      </c>
      <c r="L297" s="4">
        <v>6.2E-2</v>
      </c>
      <c r="M297" s="4">
        <v>6.0000000000000001E-3</v>
      </c>
      <c r="N297" s="4">
        <v>-1.29E-2</v>
      </c>
      <c r="O297" s="4">
        <v>2.0000000000000001E-4</v>
      </c>
      <c r="P297" s="4">
        <v>119.72</v>
      </c>
      <c r="Q297" s="4">
        <v>0.16</v>
      </c>
      <c r="R297" s="29">
        <f t="shared" ref="R297:R360" si="9">P297*E297/G297^3</f>
        <v>0.24633744855967077</v>
      </c>
      <c r="S297" s="22">
        <f t="shared" ref="S297:S360" si="10">Q297*E297/G297^3</f>
        <v>3.2921810699588475E-4</v>
      </c>
    </row>
    <row r="298" spans="1:19" ht="16">
      <c r="A298" s="33" t="s">
        <v>276</v>
      </c>
      <c r="B298" s="97">
        <v>211211122212</v>
      </c>
      <c r="C298" s="97"/>
      <c r="D298" s="98">
        <v>1</v>
      </c>
      <c r="E298" s="82">
        <v>12</v>
      </c>
      <c r="F298" s="82">
        <v>6</v>
      </c>
      <c r="G298" s="82">
        <v>18</v>
      </c>
      <c r="H298" s="38">
        <v>3.3323</v>
      </c>
      <c r="I298" s="4">
        <v>5.8999999999999999E-3</v>
      </c>
      <c r="J298" s="34">
        <v>-20.784400000000002</v>
      </c>
      <c r="K298" s="4">
        <v>1.17E-2</v>
      </c>
      <c r="L298" s="4">
        <v>4.4999999999999998E-2</v>
      </c>
      <c r="M298" s="4">
        <v>1.4E-2</v>
      </c>
      <c r="N298" s="4">
        <v>-2.8000000000000001E-2</v>
      </c>
      <c r="O298" s="4">
        <v>4.0000000000000002E-4</v>
      </c>
      <c r="P298" s="4">
        <v>90.69</v>
      </c>
      <c r="Q298" s="4">
        <v>0.55000000000000004</v>
      </c>
      <c r="R298" s="34">
        <f t="shared" si="9"/>
        <v>0.18660493827160493</v>
      </c>
      <c r="S298" s="22">
        <f t="shared" si="10"/>
        <v>1.131687242798354E-3</v>
      </c>
    </row>
    <row r="299" spans="1:19" ht="16">
      <c r="A299" s="19" t="s">
        <v>277</v>
      </c>
      <c r="B299" s="80">
        <v>112221221121</v>
      </c>
      <c r="C299" s="20"/>
      <c r="D299" s="81">
        <v>0.25</v>
      </c>
      <c r="E299" s="82">
        <v>12</v>
      </c>
      <c r="F299" s="82">
        <v>6</v>
      </c>
      <c r="G299" s="82">
        <v>18</v>
      </c>
      <c r="H299" s="21">
        <v>5.6412000000000004</v>
      </c>
      <c r="I299" s="4">
        <v>1E-3</v>
      </c>
      <c r="J299" s="20">
        <v>-32.008699999999997</v>
      </c>
      <c r="K299" s="4">
        <v>1.6999999999999999E-3</v>
      </c>
      <c r="L299" s="4">
        <v>3.7999999999999999E-2</v>
      </c>
      <c r="M299" s="4">
        <v>0.01</v>
      </c>
      <c r="N299" s="4">
        <v>-6.6E-3</v>
      </c>
      <c r="O299" s="4">
        <v>4.0000000000000002E-4</v>
      </c>
      <c r="P299" s="4">
        <v>132.74</v>
      </c>
      <c r="Q299" s="4">
        <v>0.31</v>
      </c>
      <c r="R299" s="20">
        <f t="shared" si="9"/>
        <v>0.27312757201646093</v>
      </c>
      <c r="S299" s="22">
        <f t="shared" si="10"/>
        <v>6.3786008230452666E-4</v>
      </c>
    </row>
    <row r="300" spans="1:19" ht="16">
      <c r="A300" s="23" t="s">
        <v>277</v>
      </c>
      <c r="B300" s="82">
        <v>112221221121</v>
      </c>
      <c r="C300" s="82"/>
      <c r="D300" s="83">
        <v>0.5</v>
      </c>
      <c r="E300" s="82">
        <v>12</v>
      </c>
      <c r="F300" s="82">
        <v>6</v>
      </c>
      <c r="G300" s="82">
        <v>18</v>
      </c>
      <c r="H300" s="24">
        <v>4.7746000000000004</v>
      </c>
      <c r="I300" s="4">
        <v>1E-3</v>
      </c>
      <c r="J300" s="4">
        <v>-27.585000000000001</v>
      </c>
      <c r="K300" s="4">
        <v>1.6000000000000001E-3</v>
      </c>
      <c r="L300" s="4">
        <v>0.08</v>
      </c>
      <c r="M300" s="4">
        <v>1.0999999999999999E-2</v>
      </c>
      <c r="N300" s="4">
        <v>-9.1000000000000004E-3</v>
      </c>
      <c r="O300" s="4">
        <v>4.0000000000000002E-4</v>
      </c>
      <c r="P300" s="4">
        <v>129.47999999999999</v>
      </c>
      <c r="Q300" s="4">
        <v>0.26</v>
      </c>
      <c r="R300" s="4">
        <f t="shared" si="9"/>
        <v>0.26641975308641969</v>
      </c>
      <c r="S300" s="22">
        <f t="shared" si="10"/>
        <v>5.3497942386831272E-4</v>
      </c>
    </row>
    <row r="301" spans="1:19" ht="16">
      <c r="A301" s="28" t="s">
        <v>277</v>
      </c>
      <c r="B301" s="84">
        <v>112221221121</v>
      </c>
      <c r="C301" s="84"/>
      <c r="D301" s="85">
        <v>0.75</v>
      </c>
      <c r="E301" s="82">
        <v>12</v>
      </c>
      <c r="F301" s="82">
        <v>6</v>
      </c>
      <c r="G301" s="82">
        <v>18</v>
      </c>
      <c r="H301" s="32">
        <v>3.8778000000000001</v>
      </c>
      <c r="I301" s="4">
        <v>6.9999999999999999E-4</v>
      </c>
      <c r="J301" s="29">
        <v>-23.628799999999998</v>
      </c>
      <c r="K301" s="4">
        <v>2.9999999999999997E-4</v>
      </c>
      <c r="L301" s="4">
        <v>0.186</v>
      </c>
      <c r="M301" s="4">
        <v>0.02</v>
      </c>
      <c r="N301" s="4">
        <v>-1.72E-2</v>
      </c>
      <c r="O301" s="4">
        <v>4.0000000000000002E-4</v>
      </c>
      <c r="P301" s="4">
        <v>116.36</v>
      </c>
      <c r="Q301" s="4">
        <v>0.47</v>
      </c>
      <c r="R301" s="29">
        <f t="shared" si="9"/>
        <v>0.23942386831275719</v>
      </c>
      <c r="S301" s="22">
        <f t="shared" si="10"/>
        <v>9.6707818930041151E-4</v>
      </c>
    </row>
    <row r="302" spans="1:19" ht="16">
      <c r="A302" s="19" t="s">
        <v>278</v>
      </c>
      <c r="B302" s="80">
        <v>112211211222</v>
      </c>
      <c r="C302" s="20"/>
      <c r="D302" s="81">
        <v>0.25</v>
      </c>
      <c r="E302" s="82">
        <v>12</v>
      </c>
      <c r="F302" s="82">
        <v>6</v>
      </c>
      <c r="G302" s="82">
        <v>18</v>
      </c>
      <c r="H302" s="21">
        <v>5.6951999999999998</v>
      </c>
      <c r="I302" s="4">
        <v>5.0000000000000001E-4</v>
      </c>
      <c r="J302" s="20">
        <v>-31.9739</v>
      </c>
      <c r="K302" s="4">
        <v>1.5E-3</v>
      </c>
      <c r="L302" s="4">
        <v>2.1000000000000001E-2</v>
      </c>
      <c r="M302" s="4">
        <v>3.0000000000000001E-3</v>
      </c>
      <c r="N302" s="4">
        <v>-6.6E-3</v>
      </c>
      <c r="O302" s="4">
        <v>1E-4</v>
      </c>
      <c r="P302" s="4">
        <v>132.24</v>
      </c>
      <c r="Q302" s="4">
        <v>0.2</v>
      </c>
      <c r="R302" s="20">
        <f t="shared" si="9"/>
        <v>0.27209876543209877</v>
      </c>
      <c r="S302" s="22">
        <f t="shared" si="10"/>
        <v>4.1152263374485601E-4</v>
      </c>
    </row>
    <row r="303" spans="1:19" ht="16">
      <c r="A303" s="23" t="s">
        <v>278</v>
      </c>
      <c r="B303" s="82">
        <v>112211211222</v>
      </c>
      <c r="C303" s="82"/>
      <c r="D303" s="83">
        <v>0.5</v>
      </c>
      <c r="E303" s="82">
        <v>12</v>
      </c>
      <c r="F303" s="82">
        <v>6</v>
      </c>
      <c r="G303" s="82">
        <v>18</v>
      </c>
      <c r="H303" s="24">
        <v>4.8876999999999997</v>
      </c>
      <c r="I303" s="4">
        <v>5.9999999999999995E-4</v>
      </c>
      <c r="J303" s="4">
        <v>-27.52</v>
      </c>
      <c r="K303" s="4">
        <v>1.5E-3</v>
      </c>
      <c r="L303" s="4">
        <v>3.5999999999999997E-2</v>
      </c>
      <c r="M303" s="4">
        <v>7.0000000000000001E-3</v>
      </c>
      <c r="N303" s="4">
        <v>-9.1000000000000004E-3</v>
      </c>
      <c r="O303" s="4">
        <v>1E-4</v>
      </c>
      <c r="P303" s="4">
        <v>128.01</v>
      </c>
      <c r="Q303" s="4">
        <v>0.13</v>
      </c>
      <c r="R303" s="4">
        <f t="shared" si="9"/>
        <v>0.26339506172839505</v>
      </c>
      <c r="S303" s="22">
        <f t="shared" si="10"/>
        <v>2.6748971193415636E-4</v>
      </c>
    </row>
    <row r="304" spans="1:19" ht="16">
      <c r="A304" s="28" t="s">
        <v>278</v>
      </c>
      <c r="B304" s="84">
        <v>112211211222</v>
      </c>
      <c r="C304" s="84"/>
      <c r="D304" s="85">
        <v>0.75</v>
      </c>
      <c r="E304" s="82">
        <v>12</v>
      </c>
      <c r="F304" s="82">
        <v>6</v>
      </c>
      <c r="G304" s="82">
        <v>18</v>
      </c>
      <c r="H304" s="30">
        <v>4.0739999999999998</v>
      </c>
      <c r="I304" s="4">
        <v>1E-3</v>
      </c>
      <c r="J304" s="29">
        <v>-23.507899999999999</v>
      </c>
      <c r="K304" s="4">
        <v>1.1999999999999999E-3</v>
      </c>
      <c r="L304" s="4">
        <v>0.112</v>
      </c>
      <c r="M304" s="4">
        <v>1.4E-2</v>
      </c>
      <c r="N304" s="4">
        <v>-1.5599999999999999E-2</v>
      </c>
      <c r="O304" s="4">
        <v>5.0000000000000001E-4</v>
      </c>
      <c r="P304" s="4">
        <v>115.22</v>
      </c>
      <c r="Q304" s="4">
        <v>0.32</v>
      </c>
      <c r="R304" s="29">
        <f t="shared" si="9"/>
        <v>0.2370781893004115</v>
      </c>
      <c r="S304" s="22">
        <f t="shared" si="10"/>
        <v>6.5843621399176949E-4</v>
      </c>
    </row>
    <row r="305" spans="1:19" ht="16">
      <c r="A305" s="19" t="s">
        <v>279</v>
      </c>
      <c r="B305" s="80">
        <v>112221112212</v>
      </c>
      <c r="C305" s="20"/>
      <c r="D305" s="81">
        <v>0.25</v>
      </c>
      <c r="E305" s="82">
        <v>12</v>
      </c>
      <c r="F305" s="82">
        <v>6</v>
      </c>
      <c r="G305" s="82">
        <v>18</v>
      </c>
      <c r="H305" s="21">
        <v>5.681</v>
      </c>
      <c r="I305" s="4">
        <v>6.9999999999999999E-4</v>
      </c>
      <c r="J305" s="20">
        <v>-31.9664</v>
      </c>
      <c r="K305" s="4">
        <v>3.2000000000000002E-3</v>
      </c>
      <c r="L305" s="4">
        <v>0.03</v>
      </c>
      <c r="M305" s="4">
        <v>7.0000000000000001E-3</v>
      </c>
      <c r="N305" s="4">
        <v>-6.4999999999999997E-3</v>
      </c>
      <c r="O305" s="4">
        <v>2.9999999999999997E-4</v>
      </c>
      <c r="P305" s="4">
        <v>132.57</v>
      </c>
      <c r="Q305" s="4">
        <v>0.32</v>
      </c>
      <c r="R305" s="20">
        <f t="shared" si="9"/>
        <v>0.27277777777777779</v>
      </c>
      <c r="S305" s="22">
        <f t="shared" si="10"/>
        <v>6.5843621399176949E-4</v>
      </c>
    </row>
    <row r="306" spans="1:19" ht="16">
      <c r="A306" s="23" t="s">
        <v>279</v>
      </c>
      <c r="B306" s="82">
        <v>112221112212</v>
      </c>
      <c r="C306" s="82"/>
      <c r="D306" s="83">
        <v>0.5</v>
      </c>
      <c r="E306" s="82">
        <v>12</v>
      </c>
      <c r="F306" s="82">
        <v>6</v>
      </c>
      <c r="G306" s="82">
        <v>18</v>
      </c>
      <c r="H306" s="24">
        <v>4.8639000000000001</v>
      </c>
      <c r="I306" s="4">
        <v>5.9999999999999995E-4</v>
      </c>
      <c r="J306" s="4">
        <v>-27.4815</v>
      </c>
      <c r="K306" s="4">
        <v>1.4E-3</v>
      </c>
      <c r="L306" s="4">
        <v>3.7999999999999999E-2</v>
      </c>
      <c r="M306" s="4">
        <v>8.9999999999999993E-3</v>
      </c>
      <c r="N306" s="4">
        <v>-8.6E-3</v>
      </c>
      <c r="O306" s="4">
        <v>4.0000000000000002E-4</v>
      </c>
      <c r="P306" s="4">
        <v>129.37</v>
      </c>
      <c r="Q306" s="4">
        <v>0.24</v>
      </c>
      <c r="R306" s="4">
        <f t="shared" si="9"/>
        <v>0.26619341563786009</v>
      </c>
      <c r="S306" s="22">
        <f t="shared" si="10"/>
        <v>4.9382716049382717E-4</v>
      </c>
    </row>
    <row r="307" spans="1:19" ht="16">
      <c r="A307" s="28" t="s">
        <v>279</v>
      </c>
      <c r="B307" s="84">
        <v>112221112212</v>
      </c>
      <c r="C307" s="84"/>
      <c r="D307" s="85">
        <v>0.75</v>
      </c>
      <c r="E307" s="82">
        <v>12</v>
      </c>
      <c r="F307" s="82">
        <v>6</v>
      </c>
      <c r="G307" s="82">
        <v>18</v>
      </c>
      <c r="H307" s="30">
        <v>4.0486000000000004</v>
      </c>
      <c r="I307" s="4">
        <v>6.9999999999999999E-4</v>
      </c>
      <c r="J307" s="29">
        <v>-23.3687</v>
      </c>
      <c r="K307" s="4">
        <v>6.9999999999999999E-4</v>
      </c>
      <c r="L307" s="4">
        <v>6.8000000000000005E-2</v>
      </c>
      <c r="M307" s="4">
        <v>8.9999999999999993E-3</v>
      </c>
      <c r="N307" s="4">
        <v>-1.35E-2</v>
      </c>
      <c r="O307" s="4">
        <v>2.0000000000000001E-4</v>
      </c>
      <c r="P307" s="4">
        <v>119.89</v>
      </c>
      <c r="Q307" s="4">
        <v>0.24</v>
      </c>
      <c r="R307" s="29">
        <f t="shared" si="9"/>
        <v>0.24668724279835391</v>
      </c>
      <c r="S307" s="22">
        <f t="shared" si="10"/>
        <v>4.9382716049382717E-4</v>
      </c>
    </row>
    <row r="308" spans="1:19" ht="16">
      <c r="A308" s="33" t="s">
        <v>279</v>
      </c>
      <c r="B308" s="97">
        <v>112221112212</v>
      </c>
      <c r="C308" s="97"/>
      <c r="D308" s="98">
        <v>1</v>
      </c>
      <c r="E308" s="82">
        <v>12</v>
      </c>
      <c r="F308" s="82">
        <v>6</v>
      </c>
      <c r="G308" s="82">
        <v>18</v>
      </c>
      <c r="H308" s="38">
        <v>3.2431999999999999</v>
      </c>
      <c r="I308" s="4">
        <v>2.5000000000000001E-3</v>
      </c>
      <c r="J308" s="34">
        <v>-20.264800000000001</v>
      </c>
      <c r="K308" s="4">
        <v>3.5000000000000001E-3</v>
      </c>
      <c r="L308" s="4">
        <v>3.9E-2</v>
      </c>
      <c r="M308" s="4">
        <v>1.0999999999999999E-2</v>
      </c>
      <c r="N308" s="4">
        <v>-2.7099999999999999E-2</v>
      </c>
      <c r="O308" s="4">
        <v>2.9999999999999997E-4</v>
      </c>
      <c r="P308" s="4">
        <v>92.89</v>
      </c>
      <c r="Q308" s="4">
        <v>0.43</v>
      </c>
      <c r="R308" s="34">
        <f t="shared" si="9"/>
        <v>0.19113168724279836</v>
      </c>
      <c r="S308" s="22">
        <f t="shared" si="10"/>
        <v>8.847736625514403E-4</v>
      </c>
    </row>
    <row r="309" spans="1:19" ht="16">
      <c r="A309" s="19" t="s">
        <v>280</v>
      </c>
      <c r="B309" s="80">
        <v>121112212221</v>
      </c>
      <c r="C309" s="20"/>
      <c r="D309" s="81">
        <v>0.25</v>
      </c>
      <c r="E309" s="82">
        <v>12</v>
      </c>
      <c r="F309" s="82">
        <v>6</v>
      </c>
      <c r="G309" s="82">
        <v>18</v>
      </c>
      <c r="H309" s="21">
        <v>5.6616999999999997</v>
      </c>
      <c r="I309" s="4">
        <v>5.9999999999999995E-4</v>
      </c>
      <c r="J309" s="20">
        <v>-32.009799999999998</v>
      </c>
      <c r="K309" s="4">
        <v>5.9999999999999995E-4</v>
      </c>
      <c r="L309" s="4">
        <v>3.3000000000000002E-2</v>
      </c>
      <c r="M309" s="4">
        <v>7.0000000000000001E-3</v>
      </c>
      <c r="N309" s="4">
        <v>-6.7999999999999996E-3</v>
      </c>
      <c r="O309" s="4">
        <v>2.0000000000000001E-4</v>
      </c>
      <c r="P309" s="4">
        <v>132.43</v>
      </c>
      <c r="Q309" s="4">
        <v>0.21</v>
      </c>
      <c r="R309" s="20">
        <f t="shared" si="9"/>
        <v>0.27248971193415639</v>
      </c>
      <c r="S309" s="22">
        <f t="shared" si="10"/>
        <v>4.3209876543209879E-4</v>
      </c>
    </row>
    <row r="310" spans="1:19" ht="16">
      <c r="A310" s="23" t="s">
        <v>280</v>
      </c>
      <c r="B310" s="82">
        <v>121112212221</v>
      </c>
      <c r="C310" s="82"/>
      <c r="D310" s="83">
        <v>0.5</v>
      </c>
      <c r="E310" s="82">
        <v>12</v>
      </c>
      <c r="F310" s="82">
        <v>6</v>
      </c>
      <c r="G310" s="82">
        <v>18</v>
      </c>
      <c r="H310" s="24">
        <v>4.8148</v>
      </c>
      <c r="I310" s="4">
        <v>6.9999999999999999E-4</v>
      </c>
      <c r="J310" s="4">
        <v>-27.6053</v>
      </c>
      <c r="K310" s="4">
        <v>1.2999999999999999E-3</v>
      </c>
      <c r="L310" s="4">
        <v>5.6000000000000001E-2</v>
      </c>
      <c r="M310" s="4">
        <v>1.2E-2</v>
      </c>
      <c r="N310" s="4">
        <v>-9.1999999999999998E-3</v>
      </c>
      <c r="O310" s="4">
        <v>2.9999999999999997E-4</v>
      </c>
      <c r="P310" s="4">
        <v>128.38</v>
      </c>
      <c r="Q310" s="4">
        <v>0.38</v>
      </c>
      <c r="R310" s="4">
        <f t="shared" si="9"/>
        <v>0.26415637860082303</v>
      </c>
      <c r="S310" s="22">
        <f t="shared" si="10"/>
        <v>7.8189300411522647E-4</v>
      </c>
    </row>
    <row r="311" spans="1:19" ht="16">
      <c r="A311" s="28" t="s">
        <v>280</v>
      </c>
      <c r="B311" s="84">
        <v>121112212221</v>
      </c>
      <c r="C311" s="84"/>
      <c r="D311" s="85">
        <v>0.75</v>
      </c>
      <c r="E311" s="82">
        <v>12</v>
      </c>
      <c r="F311" s="82">
        <v>6</v>
      </c>
      <c r="G311" s="82">
        <v>18</v>
      </c>
      <c r="H311" s="32">
        <v>3.9424000000000001</v>
      </c>
      <c r="I311" s="4">
        <v>2.0000000000000001E-4</v>
      </c>
      <c r="J311" s="29">
        <v>-23.703099999999999</v>
      </c>
      <c r="K311" s="4">
        <v>2.0000000000000001E-4</v>
      </c>
      <c r="L311" s="4">
        <v>0.17299999999999999</v>
      </c>
      <c r="M311" s="4">
        <v>7.0000000000000001E-3</v>
      </c>
      <c r="N311" s="4">
        <v>-1.72E-2</v>
      </c>
      <c r="O311" s="4">
        <v>1E-4</v>
      </c>
      <c r="P311" s="4">
        <v>113.41</v>
      </c>
      <c r="Q311" s="4">
        <v>0.1</v>
      </c>
      <c r="R311" s="29">
        <f t="shared" si="9"/>
        <v>0.23335390946502058</v>
      </c>
      <c r="S311" s="22">
        <f t="shared" si="10"/>
        <v>2.0576131687242801E-4</v>
      </c>
    </row>
    <row r="312" spans="1:19" ht="16">
      <c r="A312" s="19" t="s">
        <v>281</v>
      </c>
      <c r="B312" s="80">
        <v>112211222112</v>
      </c>
      <c r="C312" s="20"/>
      <c r="D312" s="81">
        <v>0.25</v>
      </c>
      <c r="E312" s="82">
        <v>12</v>
      </c>
      <c r="F312" s="82">
        <v>6</v>
      </c>
      <c r="G312" s="82">
        <v>18</v>
      </c>
      <c r="H312" s="21">
        <v>5.6676000000000002</v>
      </c>
      <c r="I312" s="4">
        <v>8.9999999999999998E-4</v>
      </c>
      <c r="J312" s="20">
        <v>-31.964500000000001</v>
      </c>
      <c r="K312" s="4">
        <v>8.9999999999999998E-4</v>
      </c>
      <c r="L312" s="4">
        <v>3.5999999999999997E-2</v>
      </c>
      <c r="M312" s="4">
        <v>6.0000000000000001E-3</v>
      </c>
      <c r="N312" s="4">
        <v>-6.4000000000000003E-3</v>
      </c>
      <c r="O312" s="4">
        <v>1E-4</v>
      </c>
      <c r="P312" s="4">
        <v>132.83000000000001</v>
      </c>
      <c r="Q312" s="4">
        <v>0.19</v>
      </c>
      <c r="R312" s="20">
        <f t="shared" si="9"/>
        <v>0.27331275720164611</v>
      </c>
      <c r="S312" s="22">
        <f t="shared" si="10"/>
        <v>3.9094650205761324E-4</v>
      </c>
    </row>
    <row r="313" spans="1:19" ht="16">
      <c r="A313" s="23" t="s">
        <v>281</v>
      </c>
      <c r="B313" s="82">
        <v>112211222112</v>
      </c>
      <c r="C313" s="82"/>
      <c r="D313" s="83">
        <v>0.5</v>
      </c>
      <c r="E313" s="82">
        <v>12</v>
      </c>
      <c r="F313" s="82">
        <v>6</v>
      </c>
      <c r="G313" s="82">
        <v>18</v>
      </c>
      <c r="H313" s="24">
        <v>4.8337000000000003</v>
      </c>
      <c r="I313" s="4">
        <v>5.9999999999999995E-4</v>
      </c>
      <c r="J313" s="4">
        <v>-27.466699999999999</v>
      </c>
      <c r="K313" s="4">
        <v>1.5E-3</v>
      </c>
      <c r="L313" s="4">
        <v>5.1999999999999998E-2</v>
      </c>
      <c r="M313" s="4">
        <v>8.9999999999999993E-3</v>
      </c>
      <c r="N313" s="4">
        <v>-8.9999999999999993E-3</v>
      </c>
      <c r="O313" s="4">
        <v>4.0000000000000002E-4</v>
      </c>
      <c r="P313" s="4">
        <v>129.58000000000001</v>
      </c>
      <c r="Q313" s="4">
        <v>0.25</v>
      </c>
      <c r="R313" s="4">
        <f t="shared" si="9"/>
        <v>0.26662551440329219</v>
      </c>
      <c r="S313" s="22">
        <f t="shared" si="10"/>
        <v>5.1440329218107E-4</v>
      </c>
    </row>
    <row r="314" spans="1:19" ht="16">
      <c r="A314" s="28" t="s">
        <v>281</v>
      </c>
      <c r="B314" s="84">
        <v>112211222112</v>
      </c>
      <c r="C314" s="84"/>
      <c r="D314" s="85">
        <v>0.75</v>
      </c>
      <c r="E314" s="82">
        <v>12</v>
      </c>
      <c r="F314" s="82">
        <v>6</v>
      </c>
      <c r="G314" s="82">
        <v>18</v>
      </c>
      <c r="H314" s="30">
        <v>3.9876999999999998</v>
      </c>
      <c r="I314" s="4">
        <v>8.9999999999999998E-4</v>
      </c>
      <c r="J314" s="29">
        <v>-23.336300000000001</v>
      </c>
      <c r="K314" s="4">
        <v>1E-3</v>
      </c>
      <c r="L314" s="4">
        <v>0.124</v>
      </c>
      <c r="M314" s="4">
        <v>1.7000000000000001E-2</v>
      </c>
      <c r="N314" s="4">
        <v>-1.4999999999999999E-2</v>
      </c>
      <c r="O314" s="4">
        <v>4.0000000000000002E-4</v>
      </c>
      <c r="P314" s="4">
        <v>119.82</v>
      </c>
      <c r="Q314" s="4">
        <v>0.31</v>
      </c>
      <c r="R314" s="29">
        <f t="shared" si="9"/>
        <v>0.24654320987654318</v>
      </c>
      <c r="S314" s="22">
        <f t="shared" si="10"/>
        <v>6.3786008230452666E-4</v>
      </c>
    </row>
    <row r="315" spans="1:19" ht="16">
      <c r="A315" s="19" t="s">
        <v>282</v>
      </c>
      <c r="B315" s="80">
        <v>121121212122</v>
      </c>
      <c r="C315" s="20"/>
      <c r="D315" s="81">
        <v>0.25</v>
      </c>
      <c r="E315" s="82">
        <v>12</v>
      </c>
      <c r="F315" s="82">
        <v>6</v>
      </c>
      <c r="G315" s="82">
        <v>18</v>
      </c>
      <c r="H315" s="21">
        <v>5.6948999999999996</v>
      </c>
      <c r="I315" s="4">
        <v>2.0000000000000001E-4</v>
      </c>
      <c r="J315" s="20">
        <v>-32.167700000000004</v>
      </c>
      <c r="K315" s="4">
        <v>6.9999999999999999E-4</v>
      </c>
      <c r="L315" s="4">
        <v>2.5999999999999999E-2</v>
      </c>
      <c r="M315" s="4">
        <v>2E-3</v>
      </c>
      <c r="N315" s="4">
        <v>-6.6E-3</v>
      </c>
      <c r="O315" s="4">
        <v>1E-4</v>
      </c>
      <c r="P315" s="4">
        <v>132.58000000000001</v>
      </c>
      <c r="Q315" s="4">
        <v>0.05</v>
      </c>
      <c r="R315" s="20">
        <f t="shared" si="9"/>
        <v>0.27279835390946505</v>
      </c>
      <c r="S315" s="22">
        <f t="shared" si="10"/>
        <v>1.02880658436214E-4</v>
      </c>
    </row>
    <row r="316" spans="1:19" ht="16">
      <c r="A316" s="23" t="s">
        <v>282</v>
      </c>
      <c r="B316" s="82">
        <v>121121212122</v>
      </c>
      <c r="C316" s="82"/>
      <c r="D316" s="83">
        <v>0.5</v>
      </c>
      <c r="E316" s="82">
        <v>12</v>
      </c>
      <c r="F316" s="82">
        <v>6</v>
      </c>
      <c r="G316" s="82">
        <v>18</v>
      </c>
      <c r="H316" s="24">
        <v>4.8864999999999998</v>
      </c>
      <c r="I316" s="4">
        <v>8.9999999999999998E-4</v>
      </c>
      <c r="J316" s="4">
        <v>-27.841999999999999</v>
      </c>
      <c r="K316" s="4">
        <v>1.5E-3</v>
      </c>
      <c r="L316" s="4">
        <v>3.7999999999999999E-2</v>
      </c>
      <c r="M316" s="4">
        <v>8.0000000000000002E-3</v>
      </c>
      <c r="N316" s="4">
        <v>-8.3999999999999995E-3</v>
      </c>
      <c r="O316" s="4">
        <v>2.0000000000000001E-4</v>
      </c>
      <c r="P316" s="4">
        <v>129.94</v>
      </c>
      <c r="Q316" s="4">
        <v>0.28000000000000003</v>
      </c>
      <c r="R316" s="4">
        <f t="shared" si="9"/>
        <v>0.26736625514403289</v>
      </c>
      <c r="S316" s="22">
        <f t="shared" si="10"/>
        <v>5.7613168724279839E-4</v>
      </c>
    </row>
    <row r="317" spans="1:19" ht="16">
      <c r="A317" s="28" t="s">
        <v>282</v>
      </c>
      <c r="B317" s="84">
        <v>121121212122</v>
      </c>
      <c r="C317" s="84"/>
      <c r="D317" s="85">
        <v>0.75</v>
      </c>
      <c r="E317" s="82">
        <v>12</v>
      </c>
      <c r="F317" s="82">
        <v>6</v>
      </c>
      <c r="G317" s="82">
        <v>18</v>
      </c>
      <c r="H317" s="30">
        <v>4.0686</v>
      </c>
      <c r="I317" s="4">
        <v>8.9999999999999998E-4</v>
      </c>
      <c r="J317" s="29">
        <v>-23.785</v>
      </c>
      <c r="K317" s="4">
        <v>1E-3</v>
      </c>
      <c r="L317" s="4">
        <v>0.08</v>
      </c>
      <c r="M317" s="4">
        <v>6.0000000000000001E-3</v>
      </c>
      <c r="N317" s="4">
        <v>-1.32E-2</v>
      </c>
      <c r="O317" s="4">
        <v>2.9999999999999997E-4</v>
      </c>
      <c r="P317" s="4">
        <v>121.89</v>
      </c>
      <c r="Q317" s="4">
        <v>0.2</v>
      </c>
      <c r="R317" s="29">
        <f t="shared" si="9"/>
        <v>0.25080246913580245</v>
      </c>
      <c r="S317" s="22">
        <f t="shared" si="10"/>
        <v>4.1152263374485601E-4</v>
      </c>
    </row>
    <row r="318" spans="1:19" ht="16">
      <c r="A318" s="33" t="s">
        <v>282</v>
      </c>
      <c r="B318" s="97">
        <v>121121212122</v>
      </c>
      <c r="C318" s="97"/>
      <c r="D318" s="98">
        <v>1</v>
      </c>
      <c r="E318" s="82">
        <v>12</v>
      </c>
      <c r="F318" s="82">
        <v>6</v>
      </c>
      <c r="G318" s="82">
        <v>18</v>
      </c>
      <c r="H318" s="34">
        <v>3.1953999999999998</v>
      </c>
      <c r="I318" s="4">
        <v>6.9999999999999999E-4</v>
      </c>
      <c r="J318" s="34">
        <v>-20.4282</v>
      </c>
      <c r="K318" s="4">
        <v>5.9999999999999995E-4</v>
      </c>
      <c r="L318" s="4">
        <v>3.6999999999999998E-2</v>
      </c>
      <c r="M318" s="4">
        <v>4.2000000000000003E-2</v>
      </c>
      <c r="N318" s="4">
        <v>-3.04E-2</v>
      </c>
      <c r="O318" s="4">
        <v>5.0000000000000001E-4</v>
      </c>
      <c r="P318" s="4">
        <v>92.65</v>
      </c>
      <c r="Q318" s="4">
        <v>0.52</v>
      </c>
      <c r="R318" s="34">
        <f t="shared" si="9"/>
        <v>0.19063786008230454</v>
      </c>
      <c r="S318" s="22">
        <f t="shared" si="10"/>
        <v>1.0699588477366254E-3</v>
      </c>
    </row>
    <row r="319" spans="1:19" ht="16">
      <c r="A319" s="19" t="s">
        <v>283</v>
      </c>
      <c r="B319" s="80">
        <v>112122212121</v>
      </c>
      <c r="C319" s="20"/>
      <c r="D319" s="81">
        <v>0.25</v>
      </c>
      <c r="E319" s="82">
        <v>12</v>
      </c>
      <c r="F319" s="82">
        <v>6</v>
      </c>
      <c r="G319" s="82">
        <v>18</v>
      </c>
      <c r="H319" s="21">
        <v>5.6395</v>
      </c>
      <c r="I319" s="4">
        <v>4.0000000000000002E-4</v>
      </c>
      <c r="J319" s="20">
        <v>-32.1387</v>
      </c>
      <c r="K319" s="4">
        <v>1.8E-3</v>
      </c>
      <c r="L319" s="4">
        <v>3.2000000000000001E-2</v>
      </c>
      <c r="M319" s="4">
        <v>8.0000000000000002E-3</v>
      </c>
      <c r="N319" s="4">
        <v>-6.8999999999999999E-3</v>
      </c>
      <c r="O319" s="4">
        <v>2.0000000000000001E-4</v>
      </c>
      <c r="P319" s="4">
        <v>132.62</v>
      </c>
      <c r="Q319" s="4">
        <v>0.15</v>
      </c>
      <c r="R319" s="20">
        <f t="shared" si="9"/>
        <v>0.27288065843621401</v>
      </c>
      <c r="S319" s="22">
        <f t="shared" si="10"/>
        <v>3.0864197530864197E-4</v>
      </c>
    </row>
    <row r="320" spans="1:19" ht="16">
      <c r="A320" s="23" t="s">
        <v>283</v>
      </c>
      <c r="B320" s="82">
        <v>112122212121</v>
      </c>
      <c r="C320" s="82"/>
      <c r="D320" s="83">
        <v>0.5</v>
      </c>
      <c r="E320" s="82">
        <v>12</v>
      </c>
      <c r="F320" s="82">
        <v>6</v>
      </c>
      <c r="G320" s="82">
        <v>18</v>
      </c>
      <c r="H320" s="24">
        <v>4.7694000000000001</v>
      </c>
      <c r="I320" s="4">
        <v>6.9999999999999999E-4</v>
      </c>
      <c r="J320" s="4">
        <v>-27.828399999999998</v>
      </c>
      <c r="K320" s="4">
        <v>2.9999999999999997E-4</v>
      </c>
      <c r="L320" s="4">
        <v>7.1999999999999995E-2</v>
      </c>
      <c r="M320" s="4">
        <v>5.0000000000000001E-3</v>
      </c>
      <c r="N320" s="4">
        <v>-9.1000000000000004E-3</v>
      </c>
      <c r="O320" s="4">
        <v>2.0000000000000001E-4</v>
      </c>
      <c r="P320" s="4">
        <v>129.74</v>
      </c>
      <c r="Q320" s="4">
        <v>0.17</v>
      </c>
      <c r="R320" s="4">
        <f t="shared" si="9"/>
        <v>0.26695473251028806</v>
      </c>
      <c r="S320" s="22">
        <f t="shared" si="10"/>
        <v>3.4979423868312758E-4</v>
      </c>
    </row>
    <row r="321" spans="1:19" ht="16">
      <c r="A321" s="28" t="s">
        <v>283</v>
      </c>
      <c r="B321" s="84">
        <v>112122212121</v>
      </c>
      <c r="C321" s="84"/>
      <c r="D321" s="85">
        <v>0.75</v>
      </c>
      <c r="E321" s="82">
        <v>12</v>
      </c>
      <c r="F321" s="82">
        <v>6</v>
      </c>
      <c r="G321" s="82">
        <v>18</v>
      </c>
      <c r="H321" s="32">
        <v>3.8692000000000002</v>
      </c>
      <c r="I321" s="4">
        <v>1E-3</v>
      </c>
      <c r="J321" s="29">
        <v>-23.931999999999999</v>
      </c>
      <c r="K321" s="4">
        <v>1.5E-3</v>
      </c>
      <c r="L321" s="4">
        <v>0.188</v>
      </c>
      <c r="M321" s="4">
        <v>1.4999999999999999E-2</v>
      </c>
      <c r="N321" s="4">
        <v>-1.6400000000000001E-2</v>
      </c>
      <c r="O321" s="4">
        <v>2.9999999999999997E-4</v>
      </c>
      <c r="P321" s="4">
        <v>117.85</v>
      </c>
      <c r="Q321" s="4">
        <v>0.2</v>
      </c>
      <c r="R321" s="29">
        <f t="shared" si="9"/>
        <v>0.24248971193415636</v>
      </c>
      <c r="S321" s="22">
        <f t="shared" si="10"/>
        <v>4.1152263374485601E-4</v>
      </c>
    </row>
    <row r="322" spans="1:19" ht="16">
      <c r="A322" s="19" t="s">
        <v>284</v>
      </c>
      <c r="B322" s="80">
        <v>211121122122</v>
      </c>
      <c r="C322" s="20"/>
      <c r="D322" s="81">
        <v>0.25</v>
      </c>
      <c r="E322" s="82">
        <v>12</v>
      </c>
      <c r="F322" s="82">
        <v>6</v>
      </c>
      <c r="G322" s="82">
        <v>18</v>
      </c>
      <c r="H322" s="21">
        <v>5.7157</v>
      </c>
      <c r="I322" s="4">
        <v>8.0000000000000004E-4</v>
      </c>
      <c r="J322" s="20">
        <v>-32.104599999999998</v>
      </c>
      <c r="K322" s="4">
        <v>2.3999999999999998E-3</v>
      </c>
      <c r="L322" s="4">
        <v>3.3000000000000002E-2</v>
      </c>
      <c r="M322" s="4">
        <v>4.0000000000000001E-3</v>
      </c>
      <c r="N322" s="4">
        <v>-6.0000000000000001E-3</v>
      </c>
      <c r="O322" s="4">
        <v>2.9999999999999997E-4</v>
      </c>
      <c r="P322" s="4">
        <v>132.66999999999999</v>
      </c>
      <c r="Q322" s="4">
        <v>0.19</v>
      </c>
      <c r="R322" s="20">
        <f t="shared" si="9"/>
        <v>0.27298353909465017</v>
      </c>
      <c r="S322" s="22">
        <f t="shared" si="10"/>
        <v>3.9094650205761324E-4</v>
      </c>
    </row>
    <row r="323" spans="1:19" ht="16">
      <c r="A323" s="23" t="s">
        <v>284</v>
      </c>
      <c r="B323" s="82">
        <v>211121122122</v>
      </c>
      <c r="C323" s="82"/>
      <c r="D323" s="83">
        <v>0.5</v>
      </c>
      <c r="E323" s="82">
        <v>12</v>
      </c>
      <c r="F323" s="82">
        <v>6</v>
      </c>
      <c r="G323" s="82">
        <v>18</v>
      </c>
      <c r="H323" s="24">
        <v>4.9306000000000001</v>
      </c>
      <c r="I323" s="4">
        <v>5.9999999999999995E-4</v>
      </c>
      <c r="J323" s="4">
        <v>-27.766200000000001</v>
      </c>
      <c r="K323" s="4">
        <v>1.6999999999999999E-3</v>
      </c>
      <c r="L323" s="4">
        <v>3.2000000000000001E-2</v>
      </c>
      <c r="M323" s="4">
        <v>7.0000000000000001E-3</v>
      </c>
      <c r="N323" s="4">
        <v>-8.6999999999999994E-3</v>
      </c>
      <c r="O323" s="4">
        <v>2.0000000000000001E-4</v>
      </c>
      <c r="P323" s="4">
        <v>128.59</v>
      </c>
      <c r="Q323" s="4">
        <v>0.22</v>
      </c>
      <c r="R323" s="4">
        <f t="shared" si="9"/>
        <v>0.26458847736625513</v>
      </c>
      <c r="S323" s="22">
        <f t="shared" si="10"/>
        <v>4.5267489711934157E-4</v>
      </c>
    </row>
    <row r="324" spans="1:19" ht="16">
      <c r="A324" s="28" t="s">
        <v>284</v>
      </c>
      <c r="B324" s="84">
        <v>211121122122</v>
      </c>
      <c r="C324" s="84"/>
      <c r="D324" s="85">
        <v>0.75</v>
      </c>
      <c r="E324" s="82">
        <v>12</v>
      </c>
      <c r="F324" s="82">
        <v>6</v>
      </c>
      <c r="G324" s="82">
        <v>18</v>
      </c>
      <c r="H324" s="30">
        <v>4.141</v>
      </c>
      <c r="I324" s="4">
        <v>8.9999999999999998E-4</v>
      </c>
      <c r="J324" s="29">
        <v>-23.8096</v>
      </c>
      <c r="K324" s="4">
        <v>1.1999999999999999E-3</v>
      </c>
      <c r="L324" s="4">
        <v>9.9000000000000005E-2</v>
      </c>
      <c r="M324" s="4">
        <v>6.0000000000000001E-3</v>
      </c>
      <c r="N324" s="4">
        <v>-1.4200000000000001E-2</v>
      </c>
      <c r="O324" s="4">
        <v>4.0000000000000002E-4</v>
      </c>
      <c r="P324" s="4">
        <v>117.57</v>
      </c>
      <c r="Q324" s="4">
        <v>0.39</v>
      </c>
      <c r="R324" s="29">
        <f t="shared" si="9"/>
        <v>0.24191358024691356</v>
      </c>
      <c r="S324" s="22">
        <f t="shared" si="10"/>
        <v>8.0246913580246909E-4</v>
      </c>
    </row>
    <row r="325" spans="1:19" ht="16">
      <c r="A325" s="19" t="s">
        <v>285</v>
      </c>
      <c r="B325" s="80">
        <v>111222122211</v>
      </c>
      <c r="C325" s="20"/>
      <c r="D325" s="81">
        <v>0.25</v>
      </c>
      <c r="E325" s="82">
        <v>12</v>
      </c>
      <c r="F325" s="82">
        <v>6</v>
      </c>
      <c r="G325" s="82">
        <v>18</v>
      </c>
      <c r="H325" s="21">
        <v>5.6208999999999998</v>
      </c>
      <c r="I325" s="4">
        <v>1E-3</v>
      </c>
      <c r="J325" s="20">
        <v>-32.036200000000001</v>
      </c>
      <c r="K325" s="4">
        <v>1.8E-3</v>
      </c>
      <c r="L325" s="4">
        <v>4.2000000000000003E-2</v>
      </c>
      <c r="M325" s="4">
        <v>1.4E-2</v>
      </c>
      <c r="N325" s="4">
        <v>-6.8999999999999999E-3</v>
      </c>
      <c r="O325" s="4">
        <v>2.9999999999999997E-4</v>
      </c>
      <c r="P325" s="4">
        <v>132.27000000000001</v>
      </c>
      <c r="Q325" s="4">
        <v>0.34</v>
      </c>
      <c r="R325" s="20">
        <f t="shared" si="9"/>
        <v>0.27216049382716051</v>
      </c>
      <c r="S325" s="22">
        <f t="shared" si="10"/>
        <v>6.9958847736625515E-4</v>
      </c>
    </row>
    <row r="326" spans="1:19" ht="16">
      <c r="A326" s="23" t="s">
        <v>285</v>
      </c>
      <c r="B326" s="82">
        <v>111222122211</v>
      </c>
      <c r="C326" s="82"/>
      <c r="D326" s="83">
        <v>0.5</v>
      </c>
      <c r="E326" s="82">
        <v>12</v>
      </c>
      <c r="F326" s="82">
        <v>6</v>
      </c>
      <c r="G326" s="82">
        <v>18</v>
      </c>
      <c r="H326" s="24">
        <v>4.7202999999999999</v>
      </c>
      <c r="I326" s="4">
        <v>8.0000000000000004E-4</v>
      </c>
      <c r="J326" s="4">
        <v>-27.783200000000001</v>
      </c>
      <c r="K326" s="4">
        <v>1.6000000000000001E-3</v>
      </c>
      <c r="L326" s="4">
        <v>0.106</v>
      </c>
      <c r="M326" s="4">
        <v>0.01</v>
      </c>
      <c r="N326" s="4">
        <v>-1.06E-2</v>
      </c>
      <c r="O326" s="4">
        <v>5.0000000000000001E-4</v>
      </c>
      <c r="P326" s="4">
        <v>126.15</v>
      </c>
      <c r="Q326" s="4">
        <v>0.46</v>
      </c>
      <c r="R326" s="4">
        <f t="shared" si="9"/>
        <v>0.25956790123456791</v>
      </c>
      <c r="S326" s="22">
        <f t="shared" si="10"/>
        <v>9.4650205761316879E-4</v>
      </c>
    </row>
    <row r="327" spans="1:19" ht="16">
      <c r="A327" s="19" t="s">
        <v>286</v>
      </c>
      <c r="B327" s="80">
        <v>112211122122</v>
      </c>
      <c r="C327" s="20"/>
      <c r="D327" s="81">
        <v>0.25</v>
      </c>
      <c r="E327" s="82">
        <v>12</v>
      </c>
      <c r="F327" s="82">
        <v>6</v>
      </c>
      <c r="G327" s="82">
        <v>18</v>
      </c>
      <c r="H327" s="21">
        <v>5.69</v>
      </c>
      <c r="I327" s="4">
        <v>5.9999999999999995E-4</v>
      </c>
      <c r="J327" s="20">
        <v>-31.9773</v>
      </c>
      <c r="K327" s="4">
        <v>8.9999999999999998E-4</v>
      </c>
      <c r="L327" s="4">
        <v>0.03</v>
      </c>
      <c r="M327" s="4">
        <v>1.0999999999999999E-2</v>
      </c>
      <c r="N327" s="4">
        <v>-6.6E-3</v>
      </c>
      <c r="O327" s="4">
        <v>2.9999999999999997E-4</v>
      </c>
      <c r="P327" s="4">
        <v>132.35</v>
      </c>
      <c r="Q327" s="4">
        <v>0.2</v>
      </c>
      <c r="R327" s="20">
        <f t="shared" si="9"/>
        <v>0.27232510288065842</v>
      </c>
      <c r="S327" s="22">
        <f t="shared" si="10"/>
        <v>4.1152263374485601E-4</v>
      </c>
    </row>
    <row r="328" spans="1:19" ht="16">
      <c r="A328" s="23" t="s">
        <v>286</v>
      </c>
      <c r="B328" s="82">
        <v>112211122122</v>
      </c>
      <c r="C328" s="82"/>
      <c r="D328" s="83">
        <v>0.5</v>
      </c>
      <c r="E328" s="82">
        <v>12</v>
      </c>
      <c r="F328" s="82">
        <v>6</v>
      </c>
      <c r="G328" s="82">
        <v>18</v>
      </c>
      <c r="H328" s="24">
        <v>4.8746</v>
      </c>
      <c r="I328" s="4">
        <v>5.9999999999999995E-4</v>
      </c>
      <c r="J328" s="4">
        <v>-27.531700000000001</v>
      </c>
      <c r="K328" s="4">
        <v>5.0000000000000001E-4</v>
      </c>
      <c r="L328" s="4">
        <v>4.7E-2</v>
      </c>
      <c r="M328" s="4">
        <v>0.01</v>
      </c>
      <c r="N328" s="4">
        <v>-9.1000000000000004E-3</v>
      </c>
      <c r="O328" s="4">
        <v>2.9999999999999997E-4</v>
      </c>
      <c r="P328" s="4">
        <v>128.22</v>
      </c>
      <c r="Q328" s="4">
        <v>0.17</v>
      </c>
      <c r="R328" s="4">
        <f t="shared" si="9"/>
        <v>0.26382716049382715</v>
      </c>
      <c r="S328" s="22">
        <f t="shared" si="10"/>
        <v>3.4979423868312758E-4</v>
      </c>
    </row>
    <row r="329" spans="1:19" ht="16">
      <c r="A329" s="28" t="s">
        <v>286</v>
      </c>
      <c r="B329" s="84">
        <v>112211122122</v>
      </c>
      <c r="C329" s="84"/>
      <c r="D329" s="85">
        <v>0.75</v>
      </c>
      <c r="E329" s="82">
        <v>12</v>
      </c>
      <c r="F329" s="82">
        <v>6</v>
      </c>
      <c r="G329" s="82">
        <v>18</v>
      </c>
      <c r="H329" s="30">
        <v>4.0514000000000001</v>
      </c>
      <c r="I329" s="4">
        <v>8.9999999999999998E-4</v>
      </c>
      <c r="J329" s="29">
        <v>-23.526199999999999</v>
      </c>
      <c r="K329" s="4">
        <v>1E-3</v>
      </c>
      <c r="L329" s="4">
        <v>0.125</v>
      </c>
      <c r="M329" s="4">
        <v>0.01</v>
      </c>
      <c r="N329" s="4">
        <v>-1.61E-2</v>
      </c>
      <c r="O329" s="4">
        <v>4.0000000000000002E-4</v>
      </c>
      <c r="P329" s="4">
        <v>115.04</v>
      </c>
      <c r="Q329" s="4">
        <v>0.24</v>
      </c>
      <c r="R329" s="29">
        <f t="shared" si="9"/>
        <v>0.23670781893004114</v>
      </c>
      <c r="S329" s="22">
        <f t="shared" si="10"/>
        <v>4.9382716049382717E-4</v>
      </c>
    </row>
    <row r="330" spans="1:19" ht="16">
      <c r="A330" s="19" t="s">
        <v>287</v>
      </c>
      <c r="B330" s="80">
        <v>122111212212</v>
      </c>
      <c r="C330" s="20"/>
      <c r="D330" s="81">
        <v>0.25</v>
      </c>
      <c r="E330" s="82">
        <v>12</v>
      </c>
      <c r="F330" s="82">
        <v>6</v>
      </c>
      <c r="G330" s="82">
        <v>18</v>
      </c>
      <c r="H330" s="21">
        <v>5.6962999999999999</v>
      </c>
      <c r="I330" s="4">
        <v>5.0000000000000001E-4</v>
      </c>
      <c r="J330" s="20">
        <v>-32.040799999999997</v>
      </c>
      <c r="K330" s="4">
        <v>1.6999999999999999E-3</v>
      </c>
      <c r="L330" s="4">
        <v>2.5999999999999999E-2</v>
      </c>
      <c r="M330" s="4">
        <v>2E-3</v>
      </c>
      <c r="N330" s="4">
        <v>-6.4000000000000003E-3</v>
      </c>
      <c r="O330" s="4">
        <v>2.0000000000000001E-4</v>
      </c>
      <c r="P330" s="4">
        <v>132.69</v>
      </c>
      <c r="Q330" s="4">
        <v>0.18</v>
      </c>
      <c r="R330" s="20">
        <f t="shared" si="9"/>
        <v>0.27302469135802471</v>
      </c>
      <c r="S330" s="22">
        <f t="shared" si="10"/>
        <v>3.7037037037037041E-4</v>
      </c>
    </row>
    <row r="331" spans="1:19" ht="16">
      <c r="A331" s="23" t="s">
        <v>287</v>
      </c>
      <c r="B331" s="82">
        <v>122111212212</v>
      </c>
      <c r="C331" s="82"/>
      <c r="D331" s="83">
        <v>0.5</v>
      </c>
      <c r="E331" s="82">
        <v>12</v>
      </c>
      <c r="F331" s="82">
        <v>6</v>
      </c>
      <c r="G331" s="82">
        <v>18</v>
      </c>
      <c r="H331" s="24">
        <v>4.8933999999999997</v>
      </c>
      <c r="I331" s="4">
        <v>6.9999999999999999E-4</v>
      </c>
      <c r="J331" s="4">
        <v>-27.5945</v>
      </c>
      <c r="K331" s="4">
        <v>8.9999999999999998E-4</v>
      </c>
      <c r="L331" s="4">
        <v>0.03</v>
      </c>
      <c r="M331" s="4">
        <v>7.0000000000000001E-3</v>
      </c>
      <c r="N331" s="4">
        <v>-8.2000000000000007E-3</v>
      </c>
      <c r="O331" s="4">
        <v>2.9999999999999997E-4</v>
      </c>
      <c r="P331" s="4">
        <v>130.03</v>
      </c>
      <c r="Q331" s="4">
        <v>0.33</v>
      </c>
      <c r="R331" s="4">
        <f t="shared" si="9"/>
        <v>0.26755144032921813</v>
      </c>
      <c r="S331" s="22">
        <f t="shared" si="10"/>
        <v>6.7901234567901232E-4</v>
      </c>
    </row>
    <row r="332" spans="1:19" ht="16">
      <c r="A332" s="28" t="s">
        <v>287</v>
      </c>
      <c r="B332" s="84">
        <v>122111212212</v>
      </c>
      <c r="C332" s="84"/>
      <c r="D332" s="85">
        <v>0.75</v>
      </c>
      <c r="E332" s="82">
        <v>12</v>
      </c>
      <c r="F332" s="82">
        <v>6</v>
      </c>
      <c r="G332" s="82">
        <v>18</v>
      </c>
      <c r="H332" s="30">
        <v>4.0926</v>
      </c>
      <c r="I332" s="4">
        <v>1E-3</v>
      </c>
      <c r="J332" s="29">
        <v>-23.4267</v>
      </c>
      <c r="K332" s="4">
        <v>1E-3</v>
      </c>
      <c r="L332" s="4">
        <v>4.8000000000000001E-2</v>
      </c>
      <c r="M332" s="4">
        <v>1.2999999999999999E-2</v>
      </c>
      <c r="N332" s="4">
        <v>-1.2200000000000001E-2</v>
      </c>
      <c r="O332" s="4">
        <v>4.0000000000000002E-4</v>
      </c>
      <c r="P332" s="4">
        <v>122.75</v>
      </c>
      <c r="Q332" s="4">
        <v>0.25</v>
      </c>
      <c r="R332" s="29">
        <f t="shared" si="9"/>
        <v>0.25257201646090532</v>
      </c>
      <c r="S332" s="22">
        <f t="shared" si="10"/>
        <v>5.1440329218107E-4</v>
      </c>
    </row>
    <row r="333" spans="1:19" ht="16">
      <c r="A333" s="33" t="s">
        <v>287</v>
      </c>
      <c r="B333" s="97">
        <v>122111212212</v>
      </c>
      <c r="C333" s="97"/>
      <c r="D333" s="98">
        <v>1</v>
      </c>
      <c r="E333" s="82">
        <v>12</v>
      </c>
      <c r="F333" s="82">
        <v>6</v>
      </c>
      <c r="G333" s="82">
        <v>18</v>
      </c>
      <c r="H333" s="38">
        <v>3.3090000000000002</v>
      </c>
      <c r="I333" s="39">
        <v>6.9999999999999999E-4</v>
      </c>
      <c r="J333" s="38">
        <v>-19.884899999999998</v>
      </c>
      <c r="K333" s="39">
        <v>2.9999999999999997E-4</v>
      </c>
      <c r="L333" s="39">
        <v>0.12</v>
      </c>
      <c r="M333" s="39">
        <v>1.0999999999999999E-2</v>
      </c>
      <c r="N333" s="39">
        <v>-2.2599999999999999E-2</v>
      </c>
      <c r="O333" s="39">
        <v>2.9999999999999997E-4</v>
      </c>
      <c r="P333" s="39">
        <v>103.18</v>
      </c>
      <c r="Q333" s="39">
        <v>0.2</v>
      </c>
      <c r="R333" s="34">
        <f t="shared" si="9"/>
        <v>0.21230452674897121</v>
      </c>
      <c r="S333" s="22">
        <f t="shared" si="10"/>
        <v>4.1152263374485601E-4</v>
      </c>
    </row>
    <row r="334" spans="1:19" ht="16">
      <c r="A334" s="19" t="s">
        <v>288</v>
      </c>
      <c r="B334" s="80">
        <v>121122211212</v>
      </c>
      <c r="C334" s="20"/>
      <c r="D334" s="81">
        <v>0.25</v>
      </c>
      <c r="E334" s="82">
        <v>12</v>
      </c>
      <c r="F334" s="82">
        <v>6</v>
      </c>
      <c r="G334" s="82">
        <v>18</v>
      </c>
      <c r="H334" s="21">
        <v>5.6807999999999996</v>
      </c>
      <c r="I334" s="4">
        <v>4.0000000000000002E-4</v>
      </c>
      <c r="J334" s="20">
        <v>-32.052700000000002</v>
      </c>
      <c r="K334" s="4">
        <v>1E-3</v>
      </c>
      <c r="L334" s="4">
        <v>3.1E-2</v>
      </c>
      <c r="M334" s="4">
        <v>7.0000000000000001E-3</v>
      </c>
      <c r="N334" s="4">
        <v>-6.4000000000000003E-3</v>
      </c>
      <c r="O334" s="4">
        <v>1E-4</v>
      </c>
      <c r="P334" s="4">
        <v>132.91</v>
      </c>
      <c r="Q334" s="4">
        <v>0.1</v>
      </c>
      <c r="R334" s="20">
        <f t="shared" si="9"/>
        <v>0.27347736625514407</v>
      </c>
      <c r="S334" s="22">
        <f t="shared" si="10"/>
        <v>2.0576131687242801E-4</v>
      </c>
    </row>
    <row r="335" spans="1:19" ht="16">
      <c r="A335" s="23" t="s">
        <v>288</v>
      </c>
      <c r="B335" s="82">
        <v>121122211212</v>
      </c>
      <c r="C335" s="82"/>
      <c r="D335" s="83">
        <v>0.5</v>
      </c>
      <c r="E335" s="82">
        <v>12</v>
      </c>
      <c r="F335" s="82">
        <v>6</v>
      </c>
      <c r="G335" s="82">
        <v>18</v>
      </c>
      <c r="H335" s="24">
        <v>4.8605</v>
      </c>
      <c r="I335" s="4">
        <v>5.0000000000000001E-4</v>
      </c>
      <c r="J335" s="4">
        <v>-27.613</v>
      </c>
      <c r="K335" s="4">
        <v>1.4E-3</v>
      </c>
      <c r="L335" s="4">
        <v>3.9E-2</v>
      </c>
      <c r="M335" s="4">
        <v>1.4E-2</v>
      </c>
      <c r="N335" s="4">
        <v>-8.3000000000000001E-3</v>
      </c>
      <c r="O335" s="4">
        <v>2.0000000000000001E-4</v>
      </c>
      <c r="P335" s="4">
        <v>130.66</v>
      </c>
      <c r="Q335" s="4">
        <v>0.21</v>
      </c>
      <c r="R335" s="4">
        <f t="shared" si="9"/>
        <v>0.26884773662551442</v>
      </c>
      <c r="S335" s="22">
        <f t="shared" si="10"/>
        <v>4.3209876543209879E-4</v>
      </c>
    </row>
    <row r="336" spans="1:19" ht="16">
      <c r="A336" s="28" t="s">
        <v>288</v>
      </c>
      <c r="B336" s="84">
        <v>121122211212</v>
      </c>
      <c r="C336" s="84"/>
      <c r="D336" s="85">
        <v>0.75</v>
      </c>
      <c r="E336" s="82">
        <v>12</v>
      </c>
      <c r="F336" s="82">
        <v>6</v>
      </c>
      <c r="G336" s="82">
        <v>18</v>
      </c>
      <c r="H336" s="30">
        <v>4.0376000000000003</v>
      </c>
      <c r="I336" s="4">
        <v>2.0000000000000001E-4</v>
      </c>
      <c r="J336" s="29">
        <v>-23.447099999999999</v>
      </c>
      <c r="K336" s="4">
        <v>1.1000000000000001E-3</v>
      </c>
      <c r="L336" s="4">
        <v>7.3999999999999996E-2</v>
      </c>
      <c r="M336" s="4">
        <v>5.0000000000000001E-3</v>
      </c>
      <c r="N336" s="4">
        <v>-1.23E-2</v>
      </c>
      <c r="O336" s="4">
        <v>2.0000000000000001E-4</v>
      </c>
      <c r="P336" s="4">
        <v>123.84</v>
      </c>
      <c r="Q336" s="4">
        <v>0.18</v>
      </c>
      <c r="R336" s="29">
        <f t="shared" si="9"/>
        <v>0.25481481481481483</v>
      </c>
      <c r="S336" s="22">
        <f t="shared" si="10"/>
        <v>3.7037037037037041E-4</v>
      </c>
    </row>
    <row r="337" spans="1:19" ht="16">
      <c r="A337" s="33" t="s">
        <v>288</v>
      </c>
      <c r="B337" s="97">
        <v>121122211212</v>
      </c>
      <c r="C337" s="97"/>
      <c r="D337" s="98">
        <v>1</v>
      </c>
      <c r="E337" s="82">
        <v>12</v>
      </c>
      <c r="F337" s="82">
        <v>6</v>
      </c>
      <c r="G337" s="82">
        <v>18</v>
      </c>
      <c r="H337" s="38">
        <v>3.1985000000000001</v>
      </c>
      <c r="I337" s="4">
        <v>4.0000000000000002E-4</v>
      </c>
      <c r="J337" s="34">
        <v>-19.9666</v>
      </c>
      <c r="K337" s="4">
        <v>3.0999999999999999E-3</v>
      </c>
      <c r="L337" s="4">
        <v>0.157</v>
      </c>
      <c r="M337" s="4">
        <v>0.03</v>
      </c>
      <c r="N337" s="4">
        <v>-2.5000000000000001E-2</v>
      </c>
      <c r="O337" s="4">
        <v>6.9999999999999999E-4</v>
      </c>
      <c r="P337" s="4">
        <v>102.71</v>
      </c>
      <c r="Q337" s="4">
        <v>0.97</v>
      </c>
      <c r="R337" s="34">
        <f t="shared" si="9"/>
        <v>0.21133744855967077</v>
      </c>
      <c r="S337" s="22">
        <f t="shared" si="10"/>
        <v>1.9958847736625514E-3</v>
      </c>
    </row>
    <row r="338" spans="1:19" ht="16">
      <c r="A338" s="19" t="s">
        <v>289</v>
      </c>
      <c r="B338" s="80">
        <v>122211112122</v>
      </c>
      <c r="C338" s="20"/>
      <c r="D338" s="81">
        <v>0.25</v>
      </c>
      <c r="E338" s="82">
        <v>12</v>
      </c>
      <c r="F338" s="82">
        <v>6</v>
      </c>
      <c r="G338" s="82">
        <v>18</v>
      </c>
      <c r="H338" s="21">
        <v>5.7134</v>
      </c>
      <c r="I338" s="4">
        <v>8.0000000000000004E-4</v>
      </c>
      <c r="J338" s="20">
        <v>-31.975899999999999</v>
      </c>
      <c r="K338" s="4">
        <v>6.9999999999999999E-4</v>
      </c>
      <c r="L338" s="4">
        <v>2.1999999999999999E-2</v>
      </c>
      <c r="M338" s="4">
        <v>5.0000000000000001E-3</v>
      </c>
      <c r="N338" s="4">
        <v>-6.8999999999999999E-3</v>
      </c>
      <c r="O338" s="4">
        <v>2.9999999999999997E-4</v>
      </c>
      <c r="P338" s="4">
        <v>132.06</v>
      </c>
      <c r="Q338" s="4">
        <v>0.33</v>
      </c>
      <c r="R338" s="20">
        <f t="shared" si="9"/>
        <v>0.27172839506172841</v>
      </c>
      <c r="S338" s="22">
        <f t="shared" si="10"/>
        <v>6.7901234567901232E-4</v>
      </c>
    </row>
    <row r="339" spans="1:19" ht="16">
      <c r="A339" s="23" t="s">
        <v>289</v>
      </c>
      <c r="B339" s="82">
        <v>122211112122</v>
      </c>
      <c r="C339" s="82"/>
      <c r="D339" s="83">
        <v>0.5</v>
      </c>
      <c r="E339" s="82">
        <v>12</v>
      </c>
      <c r="F339" s="82">
        <v>6</v>
      </c>
      <c r="G339" s="82">
        <v>18</v>
      </c>
      <c r="H339" s="24">
        <v>4.9311999999999996</v>
      </c>
      <c r="I339" s="4">
        <v>1E-3</v>
      </c>
      <c r="J339" s="4">
        <v>-27.5261</v>
      </c>
      <c r="K339" s="4">
        <v>1.1999999999999999E-3</v>
      </c>
      <c r="L339" s="4">
        <v>2.3E-2</v>
      </c>
      <c r="M339" s="4">
        <v>6.0000000000000001E-3</v>
      </c>
      <c r="N339" s="4">
        <v>-8.5000000000000006E-3</v>
      </c>
      <c r="O339" s="4">
        <v>2.0000000000000001E-4</v>
      </c>
      <c r="P339" s="4">
        <v>128.58000000000001</v>
      </c>
      <c r="Q339" s="4">
        <v>0.14000000000000001</v>
      </c>
      <c r="R339" s="4">
        <f t="shared" si="9"/>
        <v>0.26456790123456791</v>
      </c>
      <c r="S339" s="22">
        <f t="shared" si="10"/>
        <v>2.8806584362139919E-4</v>
      </c>
    </row>
    <row r="340" spans="1:19" ht="16">
      <c r="A340" s="28" t="s">
        <v>289</v>
      </c>
      <c r="B340" s="84">
        <v>122211112122</v>
      </c>
      <c r="C340" s="84"/>
      <c r="D340" s="85">
        <v>0.75</v>
      </c>
      <c r="E340" s="82">
        <v>12</v>
      </c>
      <c r="F340" s="82">
        <v>6</v>
      </c>
      <c r="G340" s="82">
        <v>18</v>
      </c>
      <c r="H340" s="30">
        <v>4.1676000000000002</v>
      </c>
      <c r="I340" s="4">
        <v>5.0000000000000001E-4</v>
      </c>
      <c r="J340" s="29">
        <v>-23.490500000000001</v>
      </c>
      <c r="K340" s="4">
        <v>1E-3</v>
      </c>
      <c r="L340" s="4">
        <v>0.04</v>
      </c>
      <c r="M340" s="4">
        <v>8.0000000000000002E-3</v>
      </c>
      <c r="N340" s="4">
        <v>-1.26E-2</v>
      </c>
      <c r="O340" s="4">
        <v>5.0000000000000001E-4</v>
      </c>
      <c r="P340" s="4">
        <v>118.81</v>
      </c>
      <c r="Q340" s="4">
        <v>0.28000000000000003</v>
      </c>
      <c r="R340" s="29">
        <f t="shared" si="9"/>
        <v>0.2444650205761317</v>
      </c>
      <c r="S340" s="22">
        <f t="shared" si="10"/>
        <v>5.7613168724279839E-4</v>
      </c>
    </row>
    <row r="341" spans="1:19" ht="16">
      <c r="A341" s="33" t="s">
        <v>289</v>
      </c>
      <c r="B341" s="97">
        <v>122211112122</v>
      </c>
      <c r="C341" s="97"/>
      <c r="D341" s="98">
        <v>1</v>
      </c>
      <c r="E341" s="82">
        <v>12</v>
      </c>
      <c r="F341" s="82">
        <v>6</v>
      </c>
      <c r="G341" s="82">
        <v>18</v>
      </c>
      <c r="H341" s="34">
        <v>3.4973999999999998</v>
      </c>
      <c r="I341" s="4">
        <v>8.9999999999999998E-4</v>
      </c>
      <c r="J341" s="34">
        <v>-20.427700000000002</v>
      </c>
      <c r="K341" s="4">
        <v>1.5E-3</v>
      </c>
      <c r="L341" s="4">
        <v>4.1000000000000002E-2</v>
      </c>
      <c r="M341" s="4">
        <v>7.0000000000000001E-3</v>
      </c>
      <c r="N341" s="4">
        <v>-2.18E-2</v>
      </c>
      <c r="O341" s="4">
        <v>2.9999999999999997E-4</v>
      </c>
      <c r="P341" s="4">
        <v>95.68</v>
      </c>
      <c r="Q341" s="4">
        <v>0.24</v>
      </c>
      <c r="R341" s="34">
        <f t="shared" si="9"/>
        <v>0.1968724279835391</v>
      </c>
      <c r="S341" s="22">
        <f t="shared" si="10"/>
        <v>4.9382716049382717E-4</v>
      </c>
    </row>
    <row r="342" spans="1:19" ht="16">
      <c r="A342" s="19" t="s">
        <v>290</v>
      </c>
      <c r="B342" s="80">
        <v>112121112222</v>
      </c>
      <c r="C342" s="20"/>
      <c r="D342" s="81">
        <v>0.25</v>
      </c>
      <c r="E342" s="82">
        <v>12</v>
      </c>
      <c r="F342" s="82">
        <v>6</v>
      </c>
      <c r="G342" s="82">
        <v>18</v>
      </c>
      <c r="H342" s="21">
        <v>5.6952999999999996</v>
      </c>
      <c r="I342" s="4">
        <v>8.9999999999999998E-4</v>
      </c>
      <c r="J342" s="20">
        <v>-32.102699999999999</v>
      </c>
      <c r="K342" s="4">
        <v>5.9999999999999995E-4</v>
      </c>
      <c r="L342" s="4">
        <v>3.3000000000000002E-2</v>
      </c>
      <c r="M342" s="4">
        <v>3.0000000000000001E-3</v>
      </c>
      <c r="N342" s="4">
        <v>-6.7000000000000002E-3</v>
      </c>
      <c r="O342" s="4">
        <v>1E-4</v>
      </c>
      <c r="P342" s="4">
        <v>131.86000000000001</v>
      </c>
      <c r="Q342" s="4">
        <v>0.12</v>
      </c>
      <c r="R342" s="20">
        <f t="shared" si="9"/>
        <v>0.27131687242798358</v>
      </c>
      <c r="S342" s="22">
        <f t="shared" si="10"/>
        <v>2.4691358024691359E-4</v>
      </c>
    </row>
    <row r="343" spans="1:19" ht="16">
      <c r="A343" s="23" t="s">
        <v>290</v>
      </c>
      <c r="B343" s="82">
        <v>112121112222</v>
      </c>
      <c r="C343" s="82"/>
      <c r="D343" s="83">
        <v>0.5</v>
      </c>
      <c r="E343" s="82">
        <v>12</v>
      </c>
      <c r="F343" s="82">
        <v>6</v>
      </c>
      <c r="G343" s="82">
        <v>18</v>
      </c>
      <c r="H343" s="24">
        <v>4.8815999999999997</v>
      </c>
      <c r="I343" s="4">
        <v>1E-4</v>
      </c>
      <c r="J343" s="4">
        <v>-27.8857</v>
      </c>
      <c r="K343" s="4">
        <v>4.0000000000000002E-4</v>
      </c>
      <c r="L343" s="4">
        <v>6.2E-2</v>
      </c>
      <c r="M343" s="4">
        <v>1.6E-2</v>
      </c>
      <c r="N343" s="4">
        <v>-1.0200000000000001E-2</v>
      </c>
      <c r="O343" s="4">
        <v>2.0000000000000001E-4</v>
      </c>
      <c r="P343" s="4">
        <v>125.34</v>
      </c>
      <c r="Q343" s="4">
        <v>0.17</v>
      </c>
      <c r="R343" s="4">
        <f t="shared" si="9"/>
        <v>0.25790123456790121</v>
      </c>
      <c r="S343" s="22">
        <f t="shared" si="10"/>
        <v>3.4979423868312758E-4</v>
      </c>
    </row>
    <row r="344" spans="1:19" ht="16">
      <c r="A344" s="28" t="s">
        <v>290</v>
      </c>
      <c r="B344" s="84">
        <v>112121112222</v>
      </c>
      <c r="C344" s="84"/>
      <c r="D344" s="85">
        <v>0.75</v>
      </c>
      <c r="E344" s="82">
        <v>12</v>
      </c>
      <c r="F344" s="82">
        <v>6</v>
      </c>
      <c r="G344" s="82">
        <v>18</v>
      </c>
      <c r="H344" s="30">
        <v>3.9942000000000002</v>
      </c>
      <c r="I344" s="4">
        <v>5.0000000000000001E-4</v>
      </c>
      <c r="J344" s="29">
        <v>-24.589700000000001</v>
      </c>
      <c r="K344" s="4">
        <v>1.2999999999999999E-3</v>
      </c>
      <c r="L344" s="4">
        <v>6.5000000000000002E-2</v>
      </c>
      <c r="M344" s="4">
        <v>5.0000000000000001E-3</v>
      </c>
      <c r="N344" s="4">
        <v>-2.4899999999999999E-2</v>
      </c>
      <c r="O344" s="4">
        <v>1E-4</v>
      </c>
      <c r="P344" s="4">
        <v>94.77</v>
      </c>
      <c r="Q344" s="4">
        <v>0.09</v>
      </c>
      <c r="R344" s="29">
        <f t="shared" si="9"/>
        <v>0.19500000000000001</v>
      </c>
      <c r="S344" s="22">
        <f t="shared" si="10"/>
        <v>1.851851851851852E-4</v>
      </c>
    </row>
    <row r="345" spans="1:19" ht="16">
      <c r="A345" s="19" t="s">
        <v>291</v>
      </c>
      <c r="B345" s="80">
        <v>112211112222</v>
      </c>
      <c r="C345" s="20"/>
      <c r="D345" s="81">
        <v>0.25</v>
      </c>
      <c r="E345" s="82">
        <v>12</v>
      </c>
      <c r="F345" s="82">
        <v>6</v>
      </c>
      <c r="G345" s="82">
        <v>18</v>
      </c>
      <c r="H345" s="21">
        <v>5.7012</v>
      </c>
      <c r="I345" s="4">
        <v>4.0000000000000002E-4</v>
      </c>
      <c r="J345" s="20">
        <v>-31.990600000000001</v>
      </c>
      <c r="K345" s="4">
        <v>1.1999999999999999E-3</v>
      </c>
      <c r="L345" s="4">
        <v>2.9000000000000001E-2</v>
      </c>
      <c r="M345" s="4">
        <v>8.0000000000000002E-3</v>
      </c>
      <c r="N345" s="4">
        <v>-6.7000000000000002E-3</v>
      </c>
      <c r="O345" s="4">
        <v>1E-4</v>
      </c>
      <c r="P345" s="4">
        <v>131.77000000000001</v>
      </c>
      <c r="Q345" s="4">
        <v>0.16</v>
      </c>
      <c r="R345" s="20">
        <f t="shared" si="9"/>
        <v>0.2711316872427984</v>
      </c>
      <c r="S345" s="22">
        <f t="shared" si="10"/>
        <v>3.2921810699588475E-4</v>
      </c>
    </row>
    <row r="346" spans="1:19" ht="16">
      <c r="A346" s="23" t="s">
        <v>291</v>
      </c>
      <c r="B346" s="82">
        <v>112211112222</v>
      </c>
      <c r="C346" s="82"/>
      <c r="D346" s="83">
        <v>0.5</v>
      </c>
      <c r="E346" s="82">
        <v>12</v>
      </c>
      <c r="F346" s="82">
        <v>6</v>
      </c>
      <c r="G346" s="82">
        <v>18</v>
      </c>
      <c r="H346" s="24">
        <v>4.8986000000000001</v>
      </c>
      <c r="I346" s="4">
        <v>5.9999999999999995E-4</v>
      </c>
      <c r="J346" s="4">
        <v>-27.688099999999999</v>
      </c>
      <c r="K346" s="4">
        <v>2.0999999999999999E-3</v>
      </c>
      <c r="L346" s="4">
        <v>5.0999999999999997E-2</v>
      </c>
      <c r="M346" s="4">
        <v>8.0000000000000002E-3</v>
      </c>
      <c r="N346" s="4">
        <v>-9.7000000000000003E-3</v>
      </c>
      <c r="O346" s="4">
        <v>2.9999999999999997E-4</v>
      </c>
      <c r="P346" s="4">
        <v>125.34</v>
      </c>
      <c r="Q346" s="4">
        <v>0.32</v>
      </c>
      <c r="R346" s="4">
        <f t="shared" si="9"/>
        <v>0.25790123456790121</v>
      </c>
      <c r="S346" s="22">
        <f t="shared" si="10"/>
        <v>6.5843621399176949E-4</v>
      </c>
    </row>
    <row r="347" spans="1:19" ht="16">
      <c r="A347" s="28" t="s">
        <v>291</v>
      </c>
      <c r="B347" s="84">
        <v>112211112222</v>
      </c>
      <c r="C347" s="84"/>
      <c r="D347" s="85">
        <v>0.75</v>
      </c>
      <c r="E347" s="82">
        <v>12</v>
      </c>
      <c r="F347" s="82">
        <v>6</v>
      </c>
      <c r="G347" s="82">
        <v>18</v>
      </c>
      <c r="H347" s="30">
        <v>4.0731999999999999</v>
      </c>
      <c r="I347" s="4">
        <v>6.9999999999999999E-4</v>
      </c>
      <c r="J347" s="29">
        <v>-24.318899999999999</v>
      </c>
      <c r="K347" s="4">
        <v>1.4E-3</v>
      </c>
      <c r="L347" s="4">
        <v>8.5000000000000006E-2</v>
      </c>
      <c r="M347" s="4">
        <v>1.2E-2</v>
      </c>
      <c r="N347" s="4">
        <v>-2.29E-2</v>
      </c>
      <c r="O347" s="4">
        <v>1E-4</v>
      </c>
      <c r="P347" s="4">
        <v>97.38</v>
      </c>
      <c r="Q347" s="4">
        <v>0.16</v>
      </c>
      <c r="R347" s="29">
        <f t="shared" si="9"/>
        <v>0.20037037037037037</v>
      </c>
      <c r="S347" s="22">
        <f t="shared" si="10"/>
        <v>3.2921810699588475E-4</v>
      </c>
    </row>
    <row r="348" spans="1:19" ht="16">
      <c r="A348" s="19" t="s">
        <v>292</v>
      </c>
      <c r="B348" s="80">
        <v>111122221122</v>
      </c>
      <c r="C348" s="20"/>
      <c r="D348" s="81">
        <v>0.25</v>
      </c>
      <c r="E348" s="82">
        <v>12</v>
      </c>
      <c r="F348" s="82">
        <v>6</v>
      </c>
      <c r="G348" s="82">
        <v>18</v>
      </c>
      <c r="H348" s="21">
        <v>5.6651999999999996</v>
      </c>
      <c r="I348" s="4">
        <v>6.9999999999999999E-4</v>
      </c>
      <c r="J348" s="20">
        <v>-32.063499999999998</v>
      </c>
      <c r="K348" s="4">
        <v>1.1000000000000001E-3</v>
      </c>
      <c r="L348" s="4">
        <v>3.7999999999999999E-2</v>
      </c>
      <c r="M348" s="4">
        <v>7.0000000000000001E-3</v>
      </c>
      <c r="N348" s="4">
        <v>-6.7999999999999996E-3</v>
      </c>
      <c r="O348" s="4">
        <v>2.0000000000000001E-4</v>
      </c>
      <c r="P348" s="4">
        <v>132.06</v>
      </c>
      <c r="Q348" s="4">
        <v>0.19</v>
      </c>
      <c r="R348" s="20">
        <f t="shared" si="9"/>
        <v>0.27172839506172841</v>
      </c>
      <c r="S348" s="22">
        <f t="shared" si="10"/>
        <v>3.9094650205761324E-4</v>
      </c>
    </row>
    <row r="349" spans="1:19" ht="16">
      <c r="A349" s="23" t="s">
        <v>292</v>
      </c>
      <c r="B349" s="82">
        <v>111122221122</v>
      </c>
      <c r="C349" s="82"/>
      <c r="D349" s="83">
        <v>0.5</v>
      </c>
      <c r="E349" s="82">
        <v>12</v>
      </c>
      <c r="F349" s="82">
        <v>6</v>
      </c>
      <c r="G349" s="82">
        <v>18</v>
      </c>
      <c r="H349" s="24">
        <v>4.8163999999999998</v>
      </c>
      <c r="I349" s="4">
        <v>1E-3</v>
      </c>
      <c r="J349" s="4">
        <v>-27.880099999999999</v>
      </c>
      <c r="K349" s="4">
        <v>8.9999999999999998E-4</v>
      </c>
      <c r="L349" s="4">
        <v>9.9000000000000005E-2</v>
      </c>
      <c r="M349" s="4">
        <v>1.0999999999999999E-2</v>
      </c>
      <c r="N349" s="4">
        <v>-1.09E-2</v>
      </c>
      <c r="O349" s="4">
        <v>1E-4</v>
      </c>
      <c r="P349" s="4">
        <v>124.15</v>
      </c>
      <c r="Q349" s="4">
        <v>0.21</v>
      </c>
      <c r="R349" s="4">
        <f t="shared" si="9"/>
        <v>0.25545267489711937</v>
      </c>
      <c r="S349" s="22">
        <f t="shared" si="10"/>
        <v>4.3209876543209879E-4</v>
      </c>
    </row>
    <row r="350" spans="1:19" ht="16">
      <c r="A350" s="28" t="s">
        <v>292</v>
      </c>
      <c r="B350" s="84">
        <v>111122221122</v>
      </c>
      <c r="C350" s="84"/>
      <c r="D350" s="85">
        <v>0.75</v>
      </c>
      <c r="E350" s="82">
        <v>12</v>
      </c>
      <c r="F350" s="82">
        <v>6</v>
      </c>
      <c r="G350" s="82">
        <v>18</v>
      </c>
      <c r="H350" s="32">
        <v>3.8917000000000002</v>
      </c>
      <c r="I350" s="4">
        <v>8.0000000000000004E-4</v>
      </c>
      <c r="J350" s="29">
        <v>-24.863700000000001</v>
      </c>
      <c r="K350" s="4">
        <v>1.1000000000000001E-3</v>
      </c>
      <c r="L350" s="4">
        <v>0.34300000000000003</v>
      </c>
      <c r="M350" s="4">
        <v>4.5999999999999999E-2</v>
      </c>
      <c r="N350" s="4">
        <v>-2.52E-2</v>
      </c>
      <c r="O350" s="4">
        <v>1E-4</v>
      </c>
      <c r="P350" s="4">
        <v>88.77</v>
      </c>
      <c r="Q350" s="4">
        <v>0.53</v>
      </c>
      <c r="R350" s="29">
        <f t="shared" si="9"/>
        <v>0.18265432098765433</v>
      </c>
      <c r="S350" s="22">
        <f t="shared" si="10"/>
        <v>1.0905349794238684E-3</v>
      </c>
    </row>
    <row r="351" spans="1:19" ht="16">
      <c r="A351" s="19" t="s">
        <v>293</v>
      </c>
      <c r="B351" s="80">
        <v>211211212122</v>
      </c>
      <c r="C351" s="20"/>
      <c r="D351" s="81">
        <v>0.25</v>
      </c>
      <c r="E351" s="82">
        <v>12</v>
      </c>
      <c r="F351" s="82">
        <v>6</v>
      </c>
      <c r="G351" s="82">
        <v>18</v>
      </c>
      <c r="H351" s="21">
        <v>5.7195999999999998</v>
      </c>
      <c r="I351" s="4">
        <v>1E-3</v>
      </c>
      <c r="J351" s="20">
        <v>-32.163400000000003</v>
      </c>
      <c r="K351" s="4">
        <v>8.9999999999999998E-4</v>
      </c>
      <c r="L351" s="4">
        <v>2.7E-2</v>
      </c>
      <c r="M351" s="4">
        <v>2E-3</v>
      </c>
      <c r="N351" s="4">
        <v>-6.4000000000000003E-3</v>
      </c>
      <c r="O351" s="4">
        <v>2.0000000000000001E-4</v>
      </c>
      <c r="P351" s="4">
        <v>132.69</v>
      </c>
      <c r="Q351" s="4">
        <v>0.26</v>
      </c>
      <c r="R351" s="20">
        <f t="shared" si="9"/>
        <v>0.27302469135802471</v>
      </c>
      <c r="S351" s="22">
        <f t="shared" si="10"/>
        <v>5.3497942386831272E-4</v>
      </c>
    </row>
    <row r="352" spans="1:19" ht="16">
      <c r="A352" s="23" t="s">
        <v>293</v>
      </c>
      <c r="B352" s="82">
        <v>211211212122</v>
      </c>
      <c r="C352" s="82"/>
      <c r="D352" s="83">
        <v>0.5</v>
      </c>
      <c r="E352" s="82">
        <v>12</v>
      </c>
      <c r="F352" s="82">
        <v>6</v>
      </c>
      <c r="G352" s="82">
        <v>18</v>
      </c>
      <c r="H352" s="24">
        <v>4.9383999999999997</v>
      </c>
      <c r="I352" s="4">
        <v>8.0000000000000004E-4</v>
      </c>
      <c r="J352" s="4">
        <v>-27.8294</v>
      </c>
      <c r="K352" s="4">
        <v>1.2999999999999999E-3</v>
      </c>
      <c r="L352" s="4">
        <v>2.7E-2</v>
      </c>
      <c r="M352" s="4">
        <v>5.0000000000000001E-3</v>
      </c>
      <c r="N352" s="4">
        <v>-8.0000000000000002E-3</v>
      </c>
      <c r="O352" s="4">
        <v>1E-4</v>
      </c>
      <c r="P352" s="4">
        <v>130.16</v>
      </c>
      <c r="Q352" s="4">
        <v>0.15</v>
      </c>
      <c r="R352" s="4">
        <f t="shared" si="9"/>
        <v>0.26781893004115226</v>
      </c>
      <c r="S352" s="22">
        <f t="shared" si="10"/>
        <v>3.0864197530864197E-4</v>
      </c>
    </row>
    <row r="353" spans="1:19" ht="16">
      <c r="A353" s="19" t="s">
        <v>294</v>
      </c>
      <c r="B353" s="80">
        <v>111222211221</v>
      </c>
      <c r="C353" s="20"/>
      <c r="D353" s="81">
        <v>0.25</v>
      </c>
      <c r="E353" s="82">
        <v>12</v>
      </c>
      <c r="F353" s="82">
        <v>6</v>
      </c>
      <c r="G353" s="82">
        <v>18</v>
      </c>
      <c r="H353" s="21">
        <v>5.6395999999999997</v>
      </c>
      <c r="I353" s="4">
        <v>6.9999999999999999E-4</v>
      </c>
      <c r="J353" s="20">
        <v>-31.9574</v>
      </c>
      <c r="K353" s="4">
        <v>1E-3</v>
      </c>
      <c r="L353" s="4">
        <v>0.04</v>
      </c>
      <c r="M353" s="4">
        <v>8.9999999999999993E-3</v>
      </c>
      <c r="N353" s="4">
        <v>-6.8999999999999999E-3</v>
      </c>
      <c r="O353" s="4">
        <v>2.0000000000000001E-4</v>
      </c>
      <c r="P353" s="4">
        <v>132.34</v>
      </c>
      <c r="Q353" s="4">
        <v>0.04</v>
      </c>
      <c r="R353" s="20">
        <f t="shared" si="9"/>
        <v>0.27230452674897115</v>
      </c>
      <c r="S353" s="22">
        <f t="shared" si="10"/>
        <v>8.2304526748971186E-5</v>
      </c>
    </row>
    <row r="354" spans="1:19" ht="16">
      <c r="A354" s="23" t="s">
        <v>294</v>
      </c>
      <c r="B354" s="82">
        <v>111222211221</v>
      </c>
      <c r="C354" s="82"/>
      <c r="D354" s="83">
        <v>0.5</v>
      </c>
      <c r="E354" s="82">
        <v>12</v>
      </c>
      <c r="F354" s="82">
        <v>6</v>
      </c>
      <c r="G354" s="82">
        <v>18</v>
      </c>
      <c r="H354" s="24">
        <v>4.7685000000000004</v>
      </c>
      <c r="I354" s="4">
        <v>6.9999999999999999E-4</v>
      </c>
      <c r="J354" s="4">
        <v>-27.560300000000002</v>
      </c>
      <c r="K354" s="4">
        <v>8.9999999999999998E-4</v>
      </c>
      <c r="L354" s="4">
        <v>7.8E-2</v>
      </c>
      <c r="M354" s="4">
        <v>0.01</v>
      </c>
      <c r="N354" s="4">
        <v>-1.01E-2</v>
      </c>
      <c r="O354" s="4">
        <v>2.0000000000000001E-4</v>
      </c>
      <c r="P354" s="4">
        <v>127.28</v>
      </c>
      <c r="Q354" s="4">
        <v>0.27</v>
      </c>
      <c r="R354" s="4">
        <f t="shared" si="9"/>
        <v>0.26189300411522637</v>
      </c>
      <c r="S354" s="22">
        <f t="shared" si="10"/>
        <v>5.5555555555555556E-4</v>
      </c>
    </row>
    <row r="355" spans="1:19" ht="16">
      <c r="A355" s="19" t="s">
        <v>295</v>
      </c>
      <c r="B355" s="80">
        <v>111122112222</v>
      </c>
      <c r="C355" s="20"/>
      <c r="D355" s="81">
        <v>0.25</v>
      </c>
      <c r="E355" s="82">
        <v>12</v>
      </c>
      <c r="F355" s="82">
        <v>6</v>
      </c>
      <c r="G355" s="82">
        <v>18</v>
      </c>
      <c r="H355" s="21">
        <v>5.68</v>
      </c>
      <c r="I355" s="4">
        <v>8.9999999999999998E-4</v>
      </c>
      <c r="J355" s="20">
        <v>-32.113300000000002</v>
      </c>
      <c r="K355" s="4">
        <v>1E-3</v>
      </c>
      <c r="L355" s="4">
        <v>3.9E-2</v>
      </c>
      <c r="M355" s="4">
        <v>6.0000000000000001E-3</v>
      </c>
      <c r="N355" s="4">
        <v>-6.7999999999999996E-3</v>
      </c>
      <c r="O355" s="4">
        <v>2.0000000000000001E-4</v>
      </c>
      <c r="P355" s="4">
        <v>131.63999999999999</v>
      </c>
      <c r="Q355" s="4">
        <v>0.2</v>
      </c>
      <c r="R355" s="20">
        <f t="shared" si="9"/>
        <v>0.27086419753086416</v>
      </c>
      <c r="S355" s="22">
        <f t="shared" si="10"/>
        <v>4.1152263374485601E-4</v>
      </c>
    </row>
    <row r="356" spans="1:19" ht="16">
      <c r="A356" s="23" t="s">
        <v>295</v>
      </c>
      <c r="B356" s="82">
        <v>111122112222</v>
      </c>
      <c r="C356" s="82"/>
      <c r="D356" s="83">
        <v>0.5</v>
      </c>
      <c r="E356" s="82">
        <v>12</v>
      </c>
      <c r="F356" s="82">
        <v>6</v>
      </c>
      <c r="G356" s="82">
        <v>18</v>
      </c>
      <c r="H356" s="24">
        <v>4.8400999999999996</v>
      </c>
      <c r="I356" s="4">
        <v>8.0000000000000004E-4</v>
      </c>
      <c r="J356" s="4">
        <v>-28.067799999999998</v>
      </c>
      <c r="K356" s="4">
        <v>8.0000000000000004E-4</v>
      </c>
      <c r="L356" s="4">
        <v>9.6000000000000002E-2</v>
      </c>
      <c r="M356" s="4">
        <v>8.9999999999999993E-3</v>
      </c>
      <c r="N356" s="4">
        <v>-1.2200000000000001E-2</v>
      </c>
      <c r="O356" s="4">
        <v>2.9999999999999997E-4</v>
      </c>
      <c r="P356" s="4">
        <v>120.47</v>
      </c>
      <c r="Q356" s="4">
        <v>0.31</v>
      </c>
      <c r="R356" s="4">
        <f t="shared" si="9"/>
        <v>0.24788065843621396</v>
      </c>
      <c r="S356" s="22">
        <f t="shared" si="10"/>
        <v>6.3786008230452666E-4</v>
      </c>
    </row>
    <row r="357" spans="1:19" ht="16">
      <c r="A357" s="19" t="s">
        <v>296</v>
      </c>
      <c r="B357" s="80">
        <v>111221222211</v>
      </c>
      <c r="C357" s="20"/>
      <c r="D357" s="81">
        <v>0.25</v>
      </c>
      <c r="E357" s="82">
        <v>12</v>
      </c>
      <c r="F357" s="82">
        <v>6</v>
      </c>
      <c r="G357" s="82">
        <v>18</v>
      </c>
      <c r="H357" s="21">
        <v>5.6191000000000004</v>
      </c>
      <c r="I357" s="4">
        <v>8.9999999999999998E-4</v>
      </c>
      <c r="J357" s="20">
        <v>-32.066600000000001</v>
      </c>
      <c r="K357" s="4">
        <v>1.6000000000000001E-3</v>
      </c>
      <c r="L357" s="4">
        <v>5.2999999999999999E-2</v>
      </c>
      <c r="M357" s="4">
        <v>5.0000000000000001E-3</v>
      </c>
      <c r="N357" s="4">
        <v>-6.7999999999999996E-3</v>
      </c>
      <c r="O357" s="4">
        <v>5.9999999999999995E-4</v>
      </c>
      <c r="P357" s="4">
        <v>132.27000000000001</v>
      </c>
      <c r="Q357" s="4">
        <v>0.42</v>
      </c>
      <c r="R357" s="20">
        <f t="shared" si="9"/>
        <v>0.27216049382716051</v>
      </c>
      <c r="S357" s="22">
        <f t="shared" si="10"/>
        <v>8.6419753086419758E-4</v>
      </c>
    </row>
    <row r="358" spans="1:19" ht="16">
      <c r="A358" s="23" t="s">
        <v>296</v>
      </c>
      <c r="B358" s="82">
        <v>111221222211</v>
      </c>
      <c r="C358" s="82"/>
      <c r="D358" s="83">
        <v>0.5</v>
      </c>
      <c r="E358" s="82">
        <v>12</v>
      </c>
      <c r="F358" s="82">
        <v>6</v>
      </c>
      <c r="G358" s="82">
        <v>18</v>
      </c>
      <c r="H358" s="24">
        <v>4.7172999999999998</v>
      </c>
      <c r="I358" s="4">
        <v>5.9999999999999995E-4</v>
      </c>
      <c r="J358" s="4">
        <v>-27.8626</v>
      </c>
      <c r="K358" s="4">
        <v>2.2000000000000001E-3</v>
      </c>
      <c r="L358" s="4">
        <v>0.125</v>
      </c>
      <c r="M358" s="4">
        <v>1.9E-2</v>
      </c>
      <c r="N358" s="4">
        <v>-1.0800000000000001E-2</v>
      </c>
      <c r="O358" s="4">
        <v>4.0000000000000002E-4</v>
      </c>
      <c r="P358" s="4">
        <v>125.54</v>
      </c>
      <c r="Q358" s="4">
        <v>0.33</v>
      </c>
      <c r="R358" s="4">
        <f t="shared" si="9"/>
        <v>0.25831275720164609</v>
      </c>
      <c r="S358" s="22">
        <f t="shared" si="10"/>
        <v>6.7901234567901232E-4</v>
      </c>
    </row>
    <row r="359" spans="1:19" ht="16">
      <c r="A359" s="19" t="s">
        <v>297</v>
      </c>
      <c r="B359" s="80">
        <v>122221112112</v>
      </c>
      <c r="C359" s="20"/>
      <c r="D359" s="81">
        <v>0.25</v>
      </c>
      <c r="E359" s="82">
        <v>12</v>
      </c>
      <c r="F359" s="82">
        <v>6</v>
      </c>
      <c r="G359" s="82">
        <v>18</v>
      </c>
      <c r="H359" s="21">
        <v>5.6920999999999999</v>
      </c>
      <c r="I359" s="4">
        <v>8.0000000000000004E-4</v>
      </c>
      <c r="J359" s="20">
        <v>-32.019199999999998</v>
      </c>
      <c r="K359" s="4">
        <v>1.4E-3</v>
      </c>
      <c r="L359" s="4">
        <v>2.5999999999999999E-2</v>
      </c>
      <c r="M359" s="4">
        <v>6.0000000000000001E-3</v>
      </c>
      <c r="N359" s="4">
        <v>-6.7999999999999996E-3</v>
      </c>
      <c r="O359" s="4">
        <v>2.0000000000000001E-4</v>
      </c>
      <c r="P359" s="4">
        <v>132.19999999999999</v>
      </c>
      <c r="Q359" s="4">
        <v>0.27</v>
      </c>
      <c r="R359" s="20">
        <f t="shared" si="9"/>
        <v>0.27201646090534976</v>
      </c>
      <c r="S359" s="22">
        <f t="shared" si="10"/>
        <v>5.5555555555555556E-4</v>
      </c>
    </row>
    <row r="360" spans="1:19" ht="16">
      <c r="A360" s="23" t="s">
        <v>297</v>
      </c>
      <c r="B360" s="82">
        <v>122221112112</v>
      </c>
      <c r="C360" s="82"/>
      <c r="D360" s="83">
        <v>0.5</v>
      </c>
      <c r="E360" s="82">
        <v>12</v>
      </c>
      <c r="F360" s="82">
        <v>6</v>
      </c>
      <c r="G360" s="82">
        <v>18</v>
      </c>
      <c r="H360" s="24">
        <v>4.8838999999999997</v>
      </c>
      <c r="I360" s="4">
        <v>6.9999999999999999E-4</v>
      </c>
      <c r="J360" s="4">
        <v>-27.6221</v>
      </c>
      <c r="K360" s="4">
        <v>5.9999999999999995E-4</v>
      </c>
      <c r="L360" s="4">
        <v>3.6999999999999998E-2</v>
      </c>
      <c r="M360" s="4">
        <v>4.0000000000000001E-3</v>
      </c>
      <c r="N360" s="4">
        <v>-8.3999999999999995E-3</v>
      </c>
      <c r="O360" s="4">
        <v>2.9999999999999997E-4</v>
      </c>
      <c r="P360" s="4">
        <v>128.61000000000001</v>
      </c>
      <c r="Q360" s="4">
        <v>0.28999999999999998</v>
      </c>
      <c r="R360" s="4">
        <f t="shared" si="9"/>
        <v>0.26462962962962966</v>
      </c>
      <c r="S360" s="22">
        <f t="shared" si="10"/>
        <v>5.9670781893004111E-4</v>
      </c>
    </row>
    <row r="361" spans="1:19" ht="16">
      <c r="A361" s="19" t="s">
        <v>298</v>
      </c>
      <c r="B361" s="80">
        <v>111122222112</v>
      </c>
      <c r="C361" s="20"/>
      <c r="D361" s="81">
        <v>0.25</v>
      </c>
      <c r="E361" s="82">
        <v>12</v>
      </c>
      <c r="F361" s="82">
        <v>6</v>
      </c>
      <c r="G361" s="82">
        <v>18</v>
      </c>
      <c r="H361" s="21">
        <v>5.6477000000000004</v>
      </c>
      <c r="I361" s="4">
        <v>5.9999999999999995E-4</v>
      </c>
      <c r="J361" s="20">
        <v>-32.153300000000002</v>
      </c>
      <c r="K361" s="4">
        <v>1.4E-3</v>
      </c>
      <c r="L361" s="4">
        <v>4.7E-2</v>
      </c>
      <c r="M361" s="4">
        <v>0.01</v>
      </c>
      <c r="N361" s="4">
        <v>-7.0000000000000001E-3</v>
      </c>
      <c r="O361" s="4">
        <v>2.9999999999999997E-4</v>
      </c>
      <c r="P361" s="4">
        <v>131.72999999999999</v>
      </c>
      <c r="Q361" s="4">
        <v>0.25</v>
      </c>
      <c r="R361" s="20">
        <f t="shared" ref="R361:R619" si="11">P361*E361/G361^3</f>
        <v>0.27104938271604934</v>
      </c>
      <c r="S361" s="22">
        <f t="shared" ref="S361:S615" si="12">Q361*E361/G361^3</f>
        <v>5.1440329218107E-4</v>
      </c>
    </row>
    <row r="362" spans="1:19" ht="16">
      <c r="A362" s="23" t="s">
        <v>298</v>
      </c>
      <c r="B362" s="82">
        <v>111122222112</v>
      </c>
      <c r="C362" s="82"/>
      <c r="D362" s="83">
        <v>0.5</v>
      </c>
      <c r="E362" s="82">
        <v>12</v>
      </c>
      <c r="F362" s="82">
        <v>6</v>
      </c>
      <c r="G362" s="82">
        <v>18</v>
      </c>
      <c r="H362" s="24">
        <v>4.7748999999999997</v>
      </c>
      <c r="I362" s="4">
        <v>5.9999999999999995E-4</v>
      </c>
      <c r="J362" s="4">
        <v>-28.1143</v>
      </c>
      <c r="K362" s="4">
        <v>1.1999999999999999E-3</v>
      </c>
      <c r="L362" s="4">
        <v>0.124</v>
      </c>
      <c r="M362" s="4">
        <v>8.0000000000000002E-3</v>
      </c>
      <c r="N362" s="4">
        <v>-1.1299999999999999E-2</v>
      </c>
      <c r="O362" s="4">
        <v>2.0000000000000001E-4</v>
      </c>
      <c r="P362" s="4">
        <v>123.35</v>
      </c>
      <c r="Q362" s="4">
        <v>0.25</v>
      </c>
      <c r="R362" s="4">
        <f t="shared" si="11"/>
        <v>0.25380658436213988</v>
      </c>
      <c r="S362" s="22">
        <f t="shared" si="12"/>
        <v>5.1440329218107E-4</v>
      </c>
    </row>
    <row r="363" spans="1:19" ht="16">
      <c r="A363" s="19" t="s">
        <v>299</v>
      </c>
      <c r="B363" s="87">
        <v>111111222222</v>
      </c>
      <c r="C363" s="87" t="s">
        <v>17</v>
      </c>
      <c r="D363" s="81">
        <v>0.25</v>
      </c>
      <c r="E363" s="82">
        <v>12</v>
      </c>
      <c r="F363" s="82">
        <v>6</v>
      </c>
      <c r="G363" s="82">
        <v>18</v>
      </c>
      <c r="H363" s="21">
        <v>5.6801000000000004</v>
      </c>
      <c r="I363" s="4">
        <v>8.0000000000000004E-4</v>
      </c>
      <c r="J363" s="20">
        <v>-32.401600000000002</v>
      </c>
      <c r="K363" s="4">
        <v>8.9999999999999998E-4</v>
      </c>
      <c r="L363" s="4">
        <v>3.7999999999999999E-2</v>
      </c>
      <c r="M363" s="4">
        <v>4.0000000000000001E-3</v>
      </c>
      <c r="N363" s="4">
        <v>-7.3000000000000001E-3</v>
      </c>
      <c r="O363" s="4">
        <v>2.9999999999999997E-4</v>
      </c>
      <c r="P363" s="4">
        <v>129.94</v>
      </c>
      <c r="Q363" s="4">
        <v>0.26</v>
      </c>
      <c r="R363" s="20">
        <f t="shared" si="11"/>
        <v>0.26736625514403289</v>
      </c>
      <c r="S363" s="22">
        <f t="shared" si="12"/>
        <v>5.3497942386831272E-4</v>
      </c>
    </row>
    <row r="364" spans="1:19" ht="16">
      <c r="A364" s="89" t="s">
        <v>299</v>
      </c>
      <c r="B364" s="90">
        <v>111111222222</v>
      </c>
      <c r="C364" s="90" t="s">
        <v>17</v>
      </c>
      <c r="D364" s="83">
        <v>0.5</v>
      </c>
      <c r="E364" s="82">
        <v>12</v>
      </c>
      <c r="F364" s="82">
        <v>6</v>
      </c>
      <c r="G364" s="82">
        <v>18</v>
      </c>
      <c r="H364" s="36">
        <v>4.8216999999999999</v>
      </c>
      <c r="I364" s="39">
        <v>8.0000000000000004E-4</v>
      </c>
      <c r="J364" s="39">
        <v>-29.374199999999998</v>
      </c>
      <c r="K364" s="39">
        <v>1.4E-3</v>
      </c>
      <c r="L364" s="39">
        <v>0.108</v>
      </c>
      <c r="M364" s="39">
        <v>1.4999999999999999E-2</v>
      </c>
      <c r="N364" s="39">
        <v>-1.9300000000000001E-2</v>
      </c>
      <c r="O364" s="39">
        <v>1E-4</v>
      </c>
      <c r="P364" s="39">
        <v>101.01</v>
      </c>
      <c r="Q364" s="39">
        <v>0.28000000000000003</v>
      </c>
      <c r="R364" s="4">
        <f t="shared" si="11"/>
        <v>0.20783950617283953</v>
      </c>
      <c r="S364" s="22">
        <f t="shared" si="12"/>
        <v>5.7613168724279839E-4</v>
      </c>
    </row>
    <row r="365" spans="1:19" ht="16">
      <c r="A365" s="19" t="s">
        <v>300</v>
      </c>
      <c r="B365" s="80">
        <v>112212212112</v>
      </c>
      <c r="C365" s="20"/>
      <c r="D365" s="81">
        <v>0.25</v>
      </c>
      <c r="E365" s="82">
        <v>12</v>
      </c>
      <c r="F365" s="82">
        <v>6</v>
      </c>
      <c r="G365" s="82">
        <v>18</v>
      </c>
      <c r="H365" s="21">
        <v>5.6658999999999997</v>
      </c>
      <c r="I365" s="4">
        <v>1E-3</v>
      </c>
      <c r="J365" s="20">
        <v>-32.089399999999998</v>
      </c>
      <c r="K365" s="4">
        <v>1.4E-3</v>
      </c>
      <c r="L365" s="4">
        <v>2.8000000000000001E-2</v>
      </c>
      <c r="M365" s="4">
        <v>7.0000000000000001E-3</v>
      </c>
      <c r="N365" s="4">
        <v>-6.6E-3</v>
      </c>
      <c r="O365" s="4">
        <v>2.0000000000000001E-4</v>
      </c>
      <c r="P365" s="4">
        <v>132.85</v>
      </c>
      <c r="Q365" s="4">
        <v>0.14000000000000001</v>
      </c>
      <c r="R365" s="20">
        <f t="shared" si="11"/>
        <v>0.27335390946502053</v>
      </c>
      <c r="S365" s="22">
        <f t="shared" si="12"/>
        <v>2.8806584362139919E-4</v>
      </c>
    </row>
    <row r="366" spans="1:19" ht="16">
      <c r="A366" s="23" t="s">
        <v>300</v>
      </c>
      <c r="B366" s="82">
        <v>112212212112</v>
      </c>
      <c r="C366" s="82"/>
      <c r="D366" s="83">
        <v>0.5</v>
      </c>
      <c r="E366" s="82">
        <v>12</v>
      </c>
      <c r="F366" s="82">
        <v>6</v>
      </c>
      <c r="G366" s="82">
        <v>18</v>
      </c>
      <c r="H366" s="24">
        <v>4.8285</v>
      </c>
      <c r="I366" s="4">
        <v>5.0000000000000001E-4</v>
      </c>
      <c r="J366" s="4">
        <v>-27.6967</v>
      </c>
      <c r="K366" s="4">
        <v>5.9999999999999995E-4</v>
      </c>
      <c r="L366" s="4">
        <v>5.5E-2</v>
      </c>
      <c r="M366" s="4">
        <v>1.0999999999999999E-2</v>
      </c>
      <c r="N366" s="4">
        <v>-8.6E-3</v>
      </c>
      <c r="O366" s="4">
        <v>2.0000000000000001E-4</v>
      </c>
      <c r="P366" s="4">
        <v>130.38999999999999</v>
      </c>
      <c r="Q366" s="4">
        <v>0.2</v>
      </c>
      <c r="R366" s="4">
        <f t="shared" si="11"/>
        <v>0.26829218106995883</v>
      </c>
      <c r="S366" s="22">
        <f t="shared" si="12"/>
        <v>4.1152263374485601E-4</v>
      </c>
    </row>
    <row r="367" spans="1:19" ht="16">
      <c r="A367" s="19" t="s">
        <v>301</v>
      </c>
      <c r="B367" s="80">
        <v>121211221122</v>
      </c>
      <c r="C367" s="20"/>
      <c r="D367" s="81">
        <v>0.25</v>
      </c>
      <c r="E367" s="82">
        <v>12</v>
      </c>
      <c r="F367" s="82">
        <v>6</v>
      </c>
      <c r="G367" s="82">
        <v>18</v>
      </c>
      <c r="H367" s="21">
        <v>5.6955999999999998</v>
      </c>
      <c r="I367" s="4">
        <v>5.9999999999999995E-4</v>
      </c>
      <c r="J367" s="20">
        <v>-32.006</v>
      </c>
      <c r="K367" s="4">
        <v>3.5999999999999999E-3</v>
      </c>
      <c r="L367" s="4">
        <v>3.7999999999999999E-2</v>
      </c>
      <c r="M367" s="4">
        <v>8.0000000000000002E-3</v>
      </c>
      <c r="N367" s="4">
        <v>-6.4000000000000003E-3</v>
      </c>
      <c r="O367" s="4">
        <v>5.0000000000000001E-4</v>
      </c>
      <c r="P367" s="4">
        <v>132.79</v>
      </c>
      <c r="Q367" s="4">
        <v>0.54</v>
      </c>
      <c r="R367" s="20">
        <f t="shared" si="11"/>
        <v>0.2732304526748971</v>
      </c>
      <c r="S367" s="22">
        <f t="shared" si="12"/>
        <v>1.1111111111111111E-3</v>
      </c>
    </row>
    <row r="368" spans="1:19" ht="16">
      <c r="A368" s="23" t="s">
        <v>301</v>
      </c>
      <c r="B368" s="82">
        <v>121211221122</v>
      </c>
      <c r="C368" s="82"/>
      <c r="D368" s="83">
        <v>0.5</v>
      </c>
      <c r="E368" s="82">
        <v>12</v>
      </c>
      <c r="F368" s="82">
        <v>6</v>
      </c>
      <c r="G368" s="82">
        <v>18</v>
      </c>
      <c r="H368" s="24">
        <v>4.8918999999999997</v>
      </c>
      <c r="I368" s="4">
        <v>4.0000000000000002E-4</v>
      </c>
      <c r="J368" s="4">
        <v>-27.511299999999999</v>
      </c>
      <c r="K368" s="4">
        <v>2.0000000000000001E-4</v>
      </c>
      <c r="L368" s="4">
        <v>3.1E-2</v>
      </c>
      <c r="M368" s="4">
        <v>6.0000000000000001E-3</v>
      </c>
      <c r="N368" s="4">
        <v>-8.2000000000000007E-3</v>
      </c>
      <c r="O368" s="4">
        <v>2.0000000000000001E-4</v>
      </c>
      <c r="P368" s="4">
        <v>130.41999999999999</v>
      </c>
      <c r="Q368" s="4">
        <v>0.09</v>
      </c>
      <c r="R368" s="4">
        <f t="shared" si="11"/>
        <v>0.26835390946502058</v>
      </c>
      <c r="S368" s="22">
        <f t="shared" si="12"/>
        <v>1.851851851851852E-4</v>
      </c>
    </row>
    <row r="369" spans="1:19" ht="16">
      <c r="A369" s="19" t="s">
        <v>302</v>
      </c>
      <c r="B369" s="80">
        <v>122121212112</v>
      </c>
      <c r="C369" s="20"/>
      <c r="D369" s="81">
        <v>0.25</v>
      </c>
      <c r="E369" s="82">
        <v>12</v>
      </c>
      <c r="F369" s="82">
        <v>6</v>
      </c>
      <c r="G369" s="82">
        <v>18</v>
      </c>
      <c r="H369" s="21">
        <v>5.6863000000000001</v>
      </c>
      <c r="I369" s="4">
        <v>1E-3</v>
      </c>
      <c r="J369" s="20">
        <v>-32.134700000000002</v>
      </c>
      <c r="K369" s="4">
        <v>5.0000000000000001E-4</v>
      </c>
      <c r="L369" s="4">
        <v>2.3E-2</v>
      </c>
      <c r="M369" s="4">
        <v>8.0000000000000002E-3</v>
      </c>
      <c r="N369" s="4">
        <v>-6.4000000000000003E-3</v>
      </c>
      <c r="O369" s="4">
        <v>1E-4</v>
      </c>
      <c r="P369" s="4">
        <v>132.97999999999999</v>
      </c>
      <c r="Q369" s="4">
        <v>0.17</v>
      </c>
      <c r="R369" s="20">
        <f t="shared" si="11"/>
        <v>0.27362139917695472</v>
      </c>
      <c r="S369" s="22">
        <f t="shared" si="12"/>
        <v>3.4979423868312758E-4</v>
      </c>
    </row>
    <row r="370" spans="1:19" ht="16">
      <c r="A370" s="23" t="s">
        <v>302</v>
      </c>
      <c r="B370" s="82">
        <v>122121212112</v>
      </c>
      <c r="C370" s="82"/>
      <c r="D370" s="83">
        <v>0.5</v>
      </c>
      <c r="E370" s="82">
        <v>12</v>
      </c>
      <c r="F370" s="82">
        <v>6</v>
      </c>
      <c r="G370" s="82">
        <v>18</v>
      </c>
      <c r="H370" s="24">
        <v>4.8731999999999998</v>
      </c>
      <c r="I370" s="4">
        <v>8.0000000000000004E-4</v>
      </c>
      <c r="J370" s="4">
        <v>-27.7424</v>
      </c>
      <c r="K370" s="4">
        <v>8.0000000000000004E-4</v>
      </c>
      <c r="L370" s="4">
        <v>0.04</v>
      </c>
      <c r="M370" s="4">
        <v>4.0000000000000001E-3</v>
      </c>
      <c r="N370" s="4">
        <v>-8.0000000000000002E-3</v>
      </c>
      <c r="O370" s="4">
        <v>4.0000000000000002E-4</v>
      </c>
      <c r="P370" s="4">
        <v>131.43</v>
      </c>
      <c r="Q370" s="4">
        <v>0.4</v>
      </c>
      <c r="R370" s="4">
        <f t="shared" si="11"/>
        <v>0.27043209876543212</v>
      </c>
      <c r="S370" s="22">
        <f t="shared" si="12"/>
        <v>8.2304526748971203E-4</v>
      </c>
    </row>
    <row r="371" spans="1:19" ht="16">
      <c r="A371" s="19" t="s">
        <v>303</v>
      </c>
      <c r="B371" s="80">
        <v>122112112122</v>
      </c>
      <c r="C371" s="80"/>
      <c r="D371" s="81">
        <v>0.25</v>
      </c>
      <c r="E371" s="82">
        <v>12</v>
      </c>
      <c r="F371" s="82">
        <v>6</v>
      </c>
      <c r="G371" s="82">
        <v>18</v>
      </c>
      <c r="H371" s="21">
        <v>5.7069000000000001</v>
      </c>
      <c r="I371" s="4">
        <v>1E-3</v>
      </c>
      <c r="J371" s="20">
        <v>-32.010399999999997</v>
      </c>
      <c r="K371" s="4">
        <v>1.1999999999999999E-3</v>
      </c>
      <c r="L371" s="4">
        <v>2.1999999999999999E-2</v>
      </c>
      <c r="M371" s="4">
        <v>0.01</v>
      </c>
      <c r="N371" s="4">
        <v>-6.4000000000000003E-3</v>
      </c>
      <c r="O371" s="4">
        <v>2.0000000000000001E-4</v>
      </c>
      <c r="P371" s="4">
        <v>132.62</v>
      </c>
      <c r="Q371" s="4">
        <v>0.23</v>
      </c>
      <c r="R371" s="20">
        <f t="shared" si="11"/>
        <v>0.27288065843621401</v>
      </c>
      <c r="S371" s="22">
        <f t="shared" si="12"/>
        <v>4.732510288065844E-4</v>
      </c>
    </row>
    <row r="372" spans="1:19" ht="16">
      <c r="A372" s="23" t="s">
        <v>303</v>
      </c>
      <c r="B372" s="82">
        <v>122112112122</v>
      </c>
      <c r="C372" s="82"/>
      <c r="D372" s="83">
        <v>0.5</v>
      </c>
      <c r="E372" s="82">
        <v>12</v>
      </c>
      <c r="F372" s="82">
        <v>6</v>
      </c>
      <c r="G372" s="82">
        <v>18</v>
      </c>
      <c r="H372" s="24">
        <v>4.9145000000000003</v>
      </c>
      <c r="I372" s="4">
        <v>6.9999999999999999E-4</v>
      </c>
      <c r="J372" s="4">
        <v>-27.526800000000001</v>
      </c>
      <c r="K372" s="4">
        <v>8.9999999999999998E-4</v>
      </c>
      <c r="L372" s="4">
        <v>2.3E-2</v>
      </c>
      <c r="M372" s="4">
        <v>3.7999999999999999E-2</v>
      </c>
      <c r="N372" s="4">
        <v>-8.2000000000000007E-3</v>
      </c>
      <c r="O372" s="4">
        <v>8.0000000000000004E-4</v>
      </c>
      <c r="P372" s="4">
        <v>130.03</v>
      </c>
      <c r="Q372" s="4">
        <v>0.46</v>
      </c>
      <c r="R372" s="4">
        <f t="shared" si="11"/>
        <v>0.26755144032921813</v>
      </c>
      <c r="S372" s="22">
        <f t="shared" si="12"/>
        <v>9.4650205761316879E-4</v>
      </c>
    </row>
    <row r="373" spans="1:19" ht="16">
      <c r="A373" s="19" t="s">
        <v>304</v>
      </c>
      <c r="B373" s="80">
        <v>112112212212</v>
      </c>
      <c r="C373" s="80"/>
      <c r="D373" s="81">
        <v>0.25</v>
      </c>
      <c r="E373" s="82">
        <v>12</v>
      </c>
      <c r="F373" s="82">
        <v>6</v>
      </c>
      <c r="G373" s="82">
        <v>18</v>
      </c>
      <c r="H373" s="21">
        <v>5.6703999999999999</v>
      </c>
      <c r="I373" s="4">
        <v>5.0000000000000001E-4</v>
      </c>
      <c r="J373" s="20">
        <v>-32.132399999999997</v>
      </c>
      <c r="K373" s="4">
        <v>8.0000000000000004E-4</v>
      </c>
      <c r="L373" s="4">
        <v>3.3000000000000002E-2</v>
      </c>
      <c r="M373" s="4">
        <v>8.9999999999999993E-3</v>
      </c>
      <c r="N373" s="4">
        <v>-6.6E-3</v>
      </c>
      <c r="O373" s="4">
        <v>2.0000000000000001E-4</v>
      </c>
      <c r="P373" s="4">
        <v>132.53</v>
      </c>
      <c r="Q373" s="4">
        <v>0.14000000000000001</v>
      </c>
      <c r="R373" s="20">
        <f t="shared" si="11"/>
        <v>0.27269547325102883</v>
      </c>
      <c r="S373" s="22">
        <f t="shared" si="12"/>
        <v>2.8806584362139919E-4</v>
      </c>
    </row>
    <row r="374" spans="1:19" ht="16">
      <c r="A374" s="23" t="s">
        <v>304</v>
      </c>
      <c r="B374" s="82">
        <v>112112212212</v>
      </c>
      <c r="C374" s="82"/>
      <c r="D374" s="83">
        <v>0.5</v>
      </c>
      <c r="E374" s="82">
        <v>12</v>
      </c>
      <c r="F374" s="82">
        <v>6</v>
      </c>
      <c r="G374" s="82">
        <v>18</v>
      </c>
      <c r="H374" s="24">
        <v>4.8312999999999997</v>
      </c>
      <c r="I374" s="4">
        <v>8.0000000000000004E-4</v>
      </c>
      <c r="J374" s="4">
        <v>-27.825700000000001</v>
      </c>
      <c r="K374" s="4">
        <v>1.1000000000000001E-3</v>
      </c>
      <c r="L374" s="4">
        <v>6.3E-2</v>
      </c>
      <c r="M374" s="4">
        <v>3.0000000000000001E-3</v>
      </c>
      <c r="N374" s="4">
        <v>-9.2999999999999992E-3</v>
      </c>
      <c r="O374" s="4">
        <v>1E-4</v>
      </c>
      <c r="P374" s="4">
        <v>128.54</v>
      </c>
      <c r="Q374" s="4">
        <v>0.25</v>
      </c>
      <c r="R374" s="4">
        <f t="shared" si="11"/>
        <v>0.26448559670781896</v>
      </c>
      <c r="S374" s="22">
        <f t="shared" si="12"/>
        <v>5.1440329218107E-4</v>
      </c>
    </row>
    <row r="375" spans="1:19" ht="16">
      <c r="A375" s="19" t="s">
        <v>305</v>
      </c>
      <c r="B375" s="80">
        <v>121121221221</v>
      </c>
      <c r="C375" s="80"/>
      <c r="D375" s="81">
        <v>0.25</v>
      </c>
      <c r="E375" s="82">
        <v>12</v>
      </c>
      <c r="F375" s="82">
        <v>6</v>
      </c>
      <c r="G375" s="82">
        <v>18</v>
      </c>
      <c r="H375" s="21">
        <v>5.66</v>
      </c>
      <c r="I375" s="4">
        <v>5.9999999999999995E-4</v>
      </c>
      <c r="J375" s="20">
        <v>-32.059199999999997</v>
      </c>
      <c r="K375" s="4">
        <v>1.4E-3</v>
      </c>
      <c r="L375" s="4">
        <v>3.1E-2</v>
      </c>
      <c r="M375" s="4">
        <v>3.0000000000000001E-3</v>
      </c>
      <c r="N375" s="4">
        <v>-6.6E-3</v>
      </c>
      <c r="O375" s="4">
        <v>2.0000000000000001E-4</v>
      </c>
      <c r="P375" s="4">
        <v>132.76</v>
      </c>
      <c r="Q375" s="4">
        <v>0.17</v>
      </c>
      <c r="R375" s="20">
        <f t="shared" si="11"/>
        <v>0.27316872427983535</v>
      </c>
      <c r="S375" s="22">
        <f t="shared" si="12"/>
        <v>3.4979423868312758E-4</v>
      </c>
    </row>
    <row r="376" spans="1:19" ht="16">
      <c r="A376" s="23" t="s">
        <v>305</v>
      </c>
      <c r="B376" s="82">
        <v>121121221221</v>
      </c>
      <c r="C376" s="82"/>
      <c r="D376" s="83">
        <v>0.5</v>
      </c>
      <c r="E376" s="82">
        <v>12</v>
      </c>
      <c r="F376" s="82">
        <v>6</v>
      </c>
      <c r="G376" s="82">
        <v>18</v>
      </c>
      <c r="H376" s="24">
        <v>4.8158000000000003</v>
      </c>
      <c r="I376" s="4">
        <v>5.9999999999999995E-4</v>
      </c>
      <c r="J376" s="4">
        <v>-27.630099999999999</v>
      </c>
      <c r="K376" s="4">
        <v>1.2999999999999999E-3</v>
      </c>
      <c r="L376" s="4">
        <v>4.1000000000000002E-2</v>
      </c>
      <c r="M376" s="4">
        <v>8.9999999999999993E-3</v>
      </c>
      <c r="N376" s="4">
        <v>-8.6E-3</v>
      </c>
      <c r="O376" s="4">
        <v>2.9999999999999997E-4</v>
      </c>
      <c r="P376" s="4">
        <v>130.38</v>
      </c>
      <c r="Q376" s="4">
        <v>0.33</v>
      </c>
      <c r="R376" s="4">
        <f t="shared" si="11"/>
        <v>0.26827160493827157</v>
      </c>
      <c r="S376" s="22">
        <f t="shared" si="12"/>
        <v>6.7901234567901232E-4</v>
      </c>
    </row>
    <row r="377" spans="1:19" ht="16">
      <c r="A377" s="19" t="s">
        <v>306</v>
      </c>
      <c r="B377" s="80">
        <v>121221121212</v>
      </c>
      <c r="C377" s="20"/>
      <c r="D377" s="81">
        <v>0.25</v>
      </c>
      <c r="E377" s="82">
        <v>12</v>
      </c>
      <c r="F377" s="82">
        <v>6</v>
      </c>
      <c r="G377" s="82">
        <v>18</v>
      </c>
      <c r="H377" s="21">
        <v>5.6882000000000001</v>
      </c>
      <c r="I377" s="4">
        <v>6.9999999999999999E-4</v>
      </c>
      <c r="J377" s="20">
        <v>-32.130099999999999</v>
      </c>
      <c r="K377" s="4">
        <v>1.9E-3</v>
      </c>
      <c r="L377" s="4">
        <v>2.7E-2</v>
      </c>
      <c r="M377" s="4">
        <v>4.0000000000000001E-3</v>
      </c>
      <c r="N377" s="4">
        <v>-6.4999999999999997E-3</v>
      </c>
      <c r="O377" s="4">
        <v>1E-4</v>
      </c>
      <c r="P377" s="4">
        <v>132.85</v>
      </c>
      <c r="Q377" s="4">
        <v>0.08</v>
      </c>
      <c r="R377" s="20">
        <f t="shared" si="11"/>
        <v>0.27335390946502053</v>
      </c>
      <c r="S377" s="22">
        <f t="shared" si="12"/>
        <v>1.6460905349794237E-4</v>
      </c>
    </row>
    <row r="378" spans="1:19" ht="16">
      <c r="A378" s="23" t="s">
        <v>306</v>
      </c>
      <c r="B378" s="82">
        <v>121221121212</v>
      </c>
      <c r="C378" s="82"/>
      <c r="D378" s="83">
        <v>0.5</v>
      </c>
      <c r="E378" s="82">
        <v>12</v>
      </c>
      <c r="F378" s="82">
        <v>6</v>
      </c>
      <c r="G378" s="82">
        <v>18</v>
      </c>
      <c r="H378" s="24">
        <v>4.8773999999999997</v>
      </c>
      <c r="I378" s="4">
        <v>1E-3</v>
      </c>
      <c r="J378" s="4">
        <v>-27.7333</v>
      </c>
      <c r="K378" s="4">
        <v>1.2999999999999999E-3</v>
      </c>
      <c r="L378" s="4">
        <v>3.5999999999999997E-2</v>
      </c>
      <c r="M378" s="4">
        <v>0.01</v>
      </c>
      <c r="N378" s="4">
        <v>-8.0999999999999996E-3</v>
      </c>
      <c r="O378" s="4">
        <v>2.9999999999999997E-4</v>
      </c>
      <c r="P378" s="4">
        <v>131.22999999999999</v>
      </c>
      <c r="Q378" s="4">
        <v>0.17</v>
      </c>
      <c r="R378" s="4">
        <f t="shared" si="11"/>
        <v>0.27002057613168723</v>
      </c>
      <c r="S378" s="22">
        <f t="shared" si="12"/>
        <v>3.4979423868312758E-4</v>
      </c>
    </row>
    <row r="379" spans="1:19" ht="16">
      <c r="A379" s="19" t="s">
        <v>307</v>
      </c>
      <c r="B379" s="80">
        <v>111222221211</v>
      </c>
      <c r="C379" s="20"/>
      <c r="D379" s="81">
        <v>0.25</v>
      </c>
      <c r="E379" s="82">
        <v>12</v>
      </c>
      <c r="F379" s="82">
        <v>6</v>
      </c>
      <c r="G379" s="82">
        <v>18</v>
      </c>
      <c r="H379" s="21">
        <v>5.6135000000000002</v>
      </c>
      <c r="I379" s="4">
        <v>8.0000000000000004E-4</v>
      </c>
      <c r="J379" s="20">
        <v>-32.137099999999997</v>
      </c>
      <c r="K379" s="4">
        <v>5.0000000000000001E-4</v>
      </c>
      <c r="L379" s="4">
        <v>5.1999999999999998E-2</v>
      </c>
      <c r="M379" s="4">
        <v>1.2999999999999999E-2</v>
      </c>
      <c r="N379" s="4">
        <v>-7.1999999999999998E-3</v>
      </c>
      <c r="O379" s="4">
        <v>2.0000000000000001E-4</v>
      </c>
      <c r="P379" s="4">
        <v>131.91999999999999</v>
      </c>
      <c r="Q379" s="4">
        <v>0.14000000000000001</v>
      </c>
      <c r="R379" s="20">
        <f t="shared" si="11"/>
        <v>0.27144032921810701</v>
      </c>
      <c r="S379" s="22">
        <f t="shared" si="12"/>
        <v>2.8806584362139919E-4</v>
      </c>
    </row>
    <row r="380" spans="1:19" ht="16">
      <c r="A380" s="23" t="s">
        <v>307</v>
      </c>
      <c r="B380" s="82">
        <v>111222221211</v>
      </c>
      <c r="C380" s="82"/>
      <c r="D380" s="83">
        <v>0.5</v>
      </c>
      <c r="E380" s="82">
        <v>12</v>
      </c>
      <c r="F380" s="82">
        <v>6</v>
      </c>
      <c r="G380" s="82">
        <v>18</v>
      </c>
      <c r="H380" s="24">
        <v>4.7</v>
      </c>
      <c r="I380" s="4">
        <v>1E-3</v>
      </c>
      <c r="J380" s="4">
        <v>-28.067900000000002</v>
      </c>
      <c r="K380" s="4">
        <v>8.9999999999999998E-4</v>
      </c>
      <c r="L380" s="4">
        <v>0.13700000000000001</v>
      </c>
      <c r="M380" s="4">
        <v>0.01</v>
      </c>
      <c r="N380" s="4">
        <v>-1.17E-2</v>
      </c>
      <c r="O380" s="4">
        <v>5.0000000000000001E-4</v>
      </c>
      <c r="P380" s="4">
        <v>123.9</v>
      </c>
      <c r="Q380" s="4">
        <v>0.42</v>
      </c>
      <c r="R380" s="4">
        <f t="shared" si="11"/>
        <v>0.25493827160493832</v>
      </c>
      <c r="S380" s="22">
        <f t="shared" si="12"/>
        <v>8.6419753086419758E-4</v>
      </c>
    </row>
    <row r="381" spans="1:19" ht="16">
      <c r="A381" s="19" t="s">
        <v>308</v>
      </c>
      <c r="B381" s="80">
        <v>112222211112</v>
      </c>
      <c r="C381" s="20"/>
      <c r="D381" s="81">
        <v>0.25</v>
      </c>
      <c r="E381" s="82">
        <v>12</v>
      </c>
      <c r="F381" s="82">
        <v>6</v>
      </c>
      <c r="G381" s="82">
        <v>18</v>
      </c>
      <c r="H381" s="21">
        <v>5.6612999999999998</v>
      </c>
      <c r="I381" s="4">
        <v>2.9999999999999997E-4</v>
      </c>
      <c r="J381" s="20">
        <v>-32.068399999999997</v>
      </c>
      <c r="K381" s="4">
        <v>8.0000000000000004E-4</v>
      </c>
      <c r="L381" s="4">
        <v>4.2999999999999997E-2</v>
      </c>
      <c r="M381" s="4">
        <v>6.0000000000000001E-3</v>
      </c>
      <c r="N381" s="4">
        <v>-6.8999999999999999E-3</v>
      </c>
      <c r="O381" s="4">
        <v>2.9999999999999997E-4</v>
      </c>
      <c r="P381" s="4">
        <v>132.01</v>
      </c>
      <c r="Q381" s="4">
        <v>0.28000000000000003</v>
      </c>
      <c r="R381" s="20">
        <f t="shared" si="11"/>
        <v>0.27162551440329219</v>
      </c>
      <c r="S381" s="22">
        <f t="shared" si="12"/>
        <v>5.7613168724279839E-4</v>
      </c>
    </row>
    <row r="382" spans="1:19" ht="16">
      <c r="A382" s="23" t="s">
        <v>308</v>
      </c>
      <c r="B382" s="82">
        <v>112222211112</v>
      </c>
      <c r="C382" s="82"/>
      <c r="D382" s="83">
        <v>0.5</v>
      </c>
      <c r="E382" s="82">
        <v>12</v>
      </c>
      <c r="F382" s="82">
        <v>6</v>
      </c>
      <c r="G382" s="82">
        <v>18</v>
      </c>
      <c r="H382" s="24">
        <v>4.8182</v>
      </c>
      <c r="I382" s="4">
        <v>1E-3</v>
      </c>
      <c r="J382" s="4">
        <v>-27.850999999999999</v>
      </c>
      <c r="K382" s="4">
        <v>1.1999999999999999E-3</v>
      </c>
      <c r="L382" s="4">
        <v>8.4000000000000005E-2</v>
      </c>
      <c r="M382" s="4">
        <v>8.9999999999999993E-3</v>
      </c>
      <c r="N382" s="4">
        <v>-9.9000000000000008E-3</v>
      </c>
      <c r="O382" s="4">
        <v>2.0000000000000001E-4</v>
      </c>
      <c r="P382" s="4">
        <v>126.29</v>
      </c>
      <c r="Q382" s="4">
        <v>0.18</v>
      </c>
      <c r="R382" s="4">
        <f t="shared" si="11"/>
        <v>0.25985596707818931</v>
      </c>
      <c r="S382" s="22">
        <f t="shared" si="12"/>
        <v>3.7037037037037041E-4</v>
      </c>
    </row>
    <row r="383" spans="1:19" ht="16">
      <c r="A383" s="28" t="s">
        <v>308</v>
      </c>
      <c r="B383" s="84">
        <v>112222211112</v>
      </c>
      <c r="C383" s="84"/>
      <c r="D383" s="85">
        <v>0.75</v>
      </c>
      <c r="E383" s="82">
        <v>12</v>
      </c>
      <c r="F383" s="82">
        <v>6</v>
      </c>
      <c r="G383" s="82">
        <v>18</v>
      </c>
      <c r="H383" s="41">
        <v>3.9390999999999998</v>
      </c>
      <c r="I383" s="4">
        <v>1E-3</v>
      </c>
      <c r="J383" s="29">
        <v>-24.607500000000002</v>
      </c>
      <c r="K383" s="4">
        <v>4.1999999999999997E-3</v>
      </c>
      <c r="L383" s="4">
        <v>0.22600000000000001</v>
      </c>
      <c r="M383" s="4">
        <v>2.5000000000000001E-2</v>
      </c>
      <c r="N383" s="4">
        <v>-2.0899999999999998E-2</v>
      </c>
      <c r="O383" s="4">
        <v>8.0000000000000004E-4</v>
      </c>
      <c r="P383" s="4">
        <v>103.19</v>
      </c>
      <c r="Q383" s="4">
        <v>0.99</v>
      </c>
      <c r="R383" s="29">
        <f t="shared" si="11"/>
        <v>0.21232510288065842</v>
      </c>
      <c r="S383" s="22">
        <f t="shared" si="12"/>
        <v>2.0370370370370369E-3</v>
      </c>
    </row>
    <row r="384" spans="1:19" ht="16">
      <c r="A384" s="19" t="s">
        <v>309</v>
      </c>
      <c r="B384" s="80">
        <v>122121122112</v>
      </c>
      <c r="C384" s="20"/>
      <c r="D384" s="81">
        <v>0.25</v>
      </c>
      <c r="E384" s="82">
        <v>12</v>
      </c>
      <c r="F384" s="82">
        <v>6</v>
      </c>
      <c r="G384" s="82">
        <v>18</v>
      </c>
      <c r="H384" s="21">
        <v>5.6878000000000002</v>
      </c>
      <c r="I384" s="4">
        <v>8.0000000000000004E-4</v>
      </c>
      <c r="J384" s="20">
        <v>-32.001899999999999</v>
      </c>
      <c r="K384" s="4">
        <v>5.9999999999999995E-4</v>
      </c>
      <c r="L384" s="4">
        <v>3.1E-2</v>
      </c>
      <c r="M384" s="4">
        <v>1.0999999999999999E-2</v>
      </c>
      <c r="N384" s="4">
        <v>-6.6E-3</v>
      </c>
      <c r="O384" s="4">
        <v>2.0000000000000001E-4</v>
      </c>
      <c r="P384" s="4">
        <v>132.68</v>
      </c>
      <c r="Q384" s="4">
        <v>0.14000000000000001</v>
      </c>
      <c r="R384" s="20">
        <f t="shared" si="11"/>
        <v>0.27300411522633744</v>
      </c>
      <c r="S384" s="22">
        <f t="shared" si="12"/>
        <v>2.8806584362139919E-4</v>
      </c>
    </row>
    <row r="385" spans="1:19" ht="16">
      <c r="A385" s="23" t="s">
        <v>309</v>
      </c>
      <c r="B385" s="82">
        <v>122121122112</v>
      </c>
      <c r="C385" s="82"/>
      <c r="D385" s="83">
        <v>0.5</v>
      </c>
      <c r="E385" s="82">
        <v>12</v>
      </c>
      <c r="F385" s="82">
        <v>6</v>
      </c>
      <c r="G385" s="82">
        <v>18</v>
      </c>
      <c r="H385" s="24">
        <v>4.8784000000000001</v>
      </c>
      <c r="I385" s="4">
        <v>5.0000000000000001E-4</v>
      </c>
      <c r="J385" s="4">
        <v>-27.4849</v>
      </c>
      <c r="K385" s="4">
        <v>1.5E-3</v>
      </c>
      <c r="L385" s="4">
        <v>3.6999999999999998E-2</v>
      </c>
      <c r="M385" s="4">
        <v>5.0000000000000001E-3</v>
      </c>
      <c r="N385" s="4">
        <v>-8.3999999999999995E-3</v>
      </c>
      <c r="O385" s="4">
        <v>2.0000000000000001E-4</v>
      </c>
      <c r="P385" s="4">
        <v>130.99</v>
      </c>
      <c r="Q385" s="4">
        <v>0.16</v>
      </c>
      <c r="R385" s="4">
        <f t="shared" si="11"/>
        <v>0.26952674897119344</v>
      </c>
      <c r="S385" s="22">
        <f t="shared" si="12"/>
        <v>3.2921810699588475E-4</v>
      </c>
    </row>
    <row r="386" spans="1:19" ht="16">
      <c r="A386" s="28" t="s">
        <v>309</v>
      </c>
      <c r="B386" s="84">
        <v>122121122112</v>
      </c>
      <c r="C386" s="84"/>
      <c r="D386" s="85">
        <v>0.75</v>
      </c>
      <c r="E386" s="82">
        <v>12</v>
      </c>
      <c r="F386" s="82">
        <v>6</v>
      </c>
      <c r="G386" s="82">
        <v>18</v>
      </c>
      <c r="H386" s="29">
        <v>4.0721999999999996</v>
      </c>
      <c r="I386" s="4">
        <v>2.9999999999999997E-4</v>
      </c>
      <c r="J386" s="29">
        <v>-23.187200000000001</v>
      </c>
      <c r="K386" s="4">
        <v>8.9999999999999998E-4</v>
      </c>
      <c r="L386" s="4">
        <v>4.9000000000000002E-2</v>
      </c>
      <c r="M386" s="4">
        <v>5.0000000000000001E-3</v>
      </c>
      <c r="N386" s="4">
        <v>-1.12E-2</v>
      </c>
      <c r="O386" s="4">
        <v>5.0000000000000001E-4</v>
      </c>
      <c r="P386" s="4">
        <v>126.11</v>
      </c>
      <c r="Q386" s="4">
        <v>0.38</v>
      </c>
      <c r="R386" s="29">
        <f t="shared" si="11"/>
        <v>0.2594855967078189</v>
      </c>
      <c r="S386" s="22">
        <f t="shared" si="12"/>
        <v>7.8189300411522647E-4</v>
      </c>
    </row>
    <row r="387" spans="1:19" ht="16">
      <c r="A387" s="19" t="s">
        <v>310</v>
      </c>
      <c r="B387" s="80">
        <v>121222111122</v>
      </c>
      <c r="C387" s="20"/>
      <c r="D387" s="81">
        <v>0.25</v>
      </c>
      <c r="E387" s="82">
        <v>12</v>
      </c>
      <c r="F387" s="82">
        <v>6</v>
      </c>
      <c r="G387" s="82">
        <v>18</v>
      </c>
      <c r="H387" s="21">
        <v>5.6969000000000003</v>
      </c>
      <c r="I387" s="4">
        <v>5.9999999999999995E-4</v>
      </c>
      <c r="J387" s="20">
        <v>-31.985299999999999</v>
      </c>
      <c r="K387" s="4">
        <v>8.9999999999999998E-4</v>
      </c>
      <c r="L387" s="4">
        <v>2.9000000000000001E-2</v>
      </c>
      <c r="M387" s="4">
        <v>8.0000000000000002E-3</v>
      </c>
      <c r="N387" s="4">
        <v>-6.6E-3</v>
      </c>
      <c r="O387" s="4">
        <v>2.0000000000000001E-4</v>
      </c>
      <c r="P387" s="4">
        <v>132.34</v>
      </c>
      <c r="Q387" s="4">
        <v>0.19</v>
      </c>
      <c r="R387" s="20">
        <f t="shared" si="11"/>
        <v>0.27230452674897115</v>
      </c>
      <c r="S387" s="22">
        <f t="shared" si="12"/>
        <v>3.9094650205761324E-4</v>
      </c>
    </row>
    <row r="388" spans="1:19" ht="16">
      <c r="A388" s="23" t="s">
        <v>310</v>
      </c>
      <c r="B388" s="82">
        <v>121222111122</v>
      </c>
      <c r="C388" s="82"/>
      <c r="D388" s="83">
        <v>0.5</v>
      </c>
      <c r="E388" s="82">
        <v>12</v>
      </c>
      <c r="F388" s="82">
        <v>6</v>
      </c>
      <c r="G388" s="82">
        <v>18</v>
      </c>
      <c r="H388" s="24">
        <v>4.8982999999999999</v>
      </c>
      <c r="I388" s="4">
        <v>5.0000000000000001E-4</v>
      </c>
      <c r="J388" s="4">
        <v>-27.535499999999999</v>
      </c>
      <c r="K388" s="4">
        <v>1.5E-3</v>
      </c>
      <c r="L388" s="4">
        <v>3.2000000000000001E-2</v>
      </c>
      <c r="M388" s="4">
        <v>2E-3</v>
      </c>
      <c r="N388" s="4">
        <v>-8.5000000000000006E-3</v>
      </c>
      <c r="O388" s="4">
        <v>2.0000000000000001E-4</v>
      </c>
      <c r="P388" s="4">
        <v>129.08000000000001</v>
      </c>
      <c r="Q388" s="4">
        <v>0.2</v>
      </c>
      <c r="R388" s="4">
        <f t="shared" si="11"/>
        <v>0.26559670781893002</v>
      </c>
      <c r="S388" s="22">
        <f t="shared" si="12"/>
        <v>4.1152263374485601E-4</v>
      </c>
    </row>
    <row r="389" spans="1:19" ht="16">
      <c r="A389" s="28" t="s">
        <v>310</v>
      </c>
      <c r="B389" s="84">
        <v>121222111122</v>
      </c>
      <c r="C389" s="84"/>
      <c r="D389" s="85">
        <v>0.75</v>
      </c>
      <c r="E389" s="82">
        <v>12</v>
      </c>
      <c r="F389" s="82">
        <v>6</v>
      </c>
      <c r="G389" s="82">
        <v>18</v>
      </c>
      <c r="H389" s="29">
        <v>4.1128</v>
      </c>
      <c r="I389" s="4">
        <v>5.9999999999999995E-4</v>
      </c>
      <c r="J389" s="29">
        <v>-23.4922</v>
      </c>
      <c r="K389" s="4">
        <v>2.9999999999999997E-4</v>
      </c>
      <c r="L389" s="4">
        <v>6.2E-2</v>
      </c>
      <c r="M389" s="4">
        <v>2.1000000000000001E-2</v>
      </c>
      <c r="N389" s="4">
        <v>-1.2500000000000001E-2</v>
      </c>
      <c r="O389" s="4">
        <v>2.0000000000000001E-4</v>
      </c>
      <c r="P389" s="4">
        <v>119.9</v>
      </c>
      <c r="Q389" s="4">
        <v>0.24</v>
      </c>
      <c r="R389" s="29">
        <f t="shared" si="11"/>
        <v>0.24670781893004118</v>
      </c>
      <c r="S389" s="22">
        <f t="shared" si="12"/>
        <v>4.9382716049382717E-4</v>
      </c>
    </row>
    <row r="390" spans="1:19" ht="16">
      <c r="A390" s="33" t="s">
        <v>310</v>
      </c>
      <c r="B390" s="97">
        <v>121222111122</v>
      </c>
      <c r="C390" s="97"/>
      <c r="D390" s="98">
        <v>1</v>
      </c>
      <c r="E390" s="82">
        <v>12</v>
      </c>
      <c r="F390" s="82">
        <v>6</v>
      </c>
      <c r="G390" s="82">
        <v>18</v>
      </c>
      <c r="H390" s="38">
        <v>3.3858000000000001</v>
      </c>
      <c r="I390" s="4">
        <v>6.9999999999999999E-4</v>
      </c>
      <c r="J390" s="34">
        <v>-20.483000000000001</v>
      </c>
      <c r="K390" s="4">
        <v>1.1999999999999999E-3</v>
      </c>
      <c r="L390" s="4">
        <v>6.4000000000000001E-2</v>
      </c>
      <c r="M390" s="4">
        <v>2.1999999999999999E-2</v>
      </c>
      <c r="N390" s="4">
        <v>-2.3699999999999999E-2</v>
      </c>
      <c r="O390" s="4">
        <v>2.9999999999999997E-4</v>
      </c>
      <c r="P390" s="4">
        <v>95.13</v>
      </c>
      <c r="Q390" s="4">
        <v>0.41</v>
      </c>
      <c r="R390" s="34">
        <f t="shared" si="11"/>
        <v>0.19574074074074074</v>
      </c>
      <c r="S390" s="22">
        <f t="shared" si="12"/>
        <v>8.4362139917695475E-4</v>
      </c>
    </row>
    <row r="391" spans="1:19" ht="16">
      <c r="A391" s="19" t="s">
        <v>311</v>
      </c>
      <c r="B391" s="80">
        <v>112121222121</v>
      </c>
      <c r="C391" s="20"/>
      <c r="D391" s="81">
        <v>0.25</v>
      </c>
      <c r="E391" s="82">
        <v>12</v>
      </c>
      <c r="F391" s="82">
        <v>6</v>
      </c>
      <c r="G391" s="82">
        <v>18</v>
      </c>
      <c r="H391" s="21">
        <v>5.6418999999999997</v>
      </c>
      <c r="I391" s="4">
        <v>6.9999999999999999E-4</v>
      </c>
      <c r="J391" s="20">
        <v>-32.142000000000003</v>
      </c>
      <c r="K391" s="4">
        <v>1.9E-3</v>
      </c>
      <c r="L391" s="4">
        <v>3.3000000000000002E-2</v>
      </c>
      <c r="M391" s="4">
        <v>3.0000000000000001E-3</v>
      </c>
      <c r="N391" s="4">
        <v>-6.4999999999999997E-3</v>
      </c>
      <c r="O391" s="4">
        <v>2.9999999999999997E-4</v>
      </c>
      <c r="P391" s="4">
        <v>132.86000000000001</v>
      </c>
      <c r="Q391" s="4">
        <v>0.34</v>
      </c>
      <c r="R391" s="20">
        <f t="shared" si="11"/>
        <v>0.27337448559670785</v>
      </c>
      <c r="S391" s="22">
        <f t="shared" si="12"/>
        <v>6.9958847736625515E-4</v>
      </c>
    </row>
    <row r="392" spans="1:19" ht="16">
      <c r="A392" s="23" t="s">
        <v>311</v>
      </c>
      <c r="B392" s="82">
        <v>112121222121</v>
      </c>
      <c r="C392" s="82"/>
      <c r="D392" s="83">
        <v>0.5</v>
      </c>
      <c r="E392" s="82">
        <v>12</v>
      </c>
      <c r="F392" s="82">
        <v>6</v>
      </c>
      <c r="G392" s="82">
        <v>18</v>
      </c>
      <c r="H392" s="24">
        <v>4.7716000000000003</v>
      </c>
      <c r="I392" s="4">
        <v>8.0000000000000004E-4</v>
      </c>
      <c r="J392" s="4">
        <v>-27.843599999999999</v>
      </c>
      <c r="K392" s="4">
        <v>2.0999999999999999E-3</v>
      </c>
      <c r="L392" s="4">
        <v>7.0000000000000007E-2</v>
      </c>
      <c r="M392" s="4">
        <v>2.1000000000000001E-2</v>
      </c>
      <c r="N392" s="4">
        <v>-8.8000000000000005E-3</v>
      </c>
      <c r="O392" s="4">
        <v>8.9999999999999998E-4</v>
      </c>
      <c r="P392" s="4">
        <v>129.78</v>
      </c>
      <c r="Q392" s="4">
        <v>0.61</v>
      </c>
      <c r="R392" s="4">
        <f t="shared" si="11"/>
        <v>0.26703703703703707</v>
      </c>
      <c r="S392" s="22">
        <f t="shared" si="12"/>
        <v>1.2551440329218108E-3</v>
      </c>
    </row>
    <row r="393" spans="1:19" ht="16">
      <c r="A393" s="19" t="s">
        <v>312</v>
      </c>
      <c r="B393" s="80">
        <v>212121111222</v>
      </c>
      <c r="C393" s="20"/>
      <c r="D393" s="81">
        <v>0.25</v>
      </c>
      <c r="E393" s="82">
        <v>12</v>
      </c>
      <c r="F393" s="82">
        <v>6</v>
      </c>
      <c r="G393" s="82">
        <v>18</v>
      </c>
      <c r="H393" s="21">
        <v>5.7354000000000003</v>
      </c>
      <c r="I393" s="4">
        <v>4.0000000000000002E-4</v>
      </c>
      <c r="J393" s="20">
        <v>-32.109200000000001</v>
      </c>
      <c r="K393" s="4">
        <v>1E-3</v>
      </c>
      <c r="L393" s="4">
        <v>2.5999999999999999E-2</v>
      </c>
      <c r="M393" s="4">
        <v>4.0000000000000001E-3</v>
      </c>
      <c r="N393" s="4">
        <v>-6.3E-3</v>
      </c>
      <c r="O393" s="4">
        <v>1E-4</v>
      </c>
      <c r="P393" s="4">
        <v>132.38</v>
      </c>
      <c r="Q393" s="4">
        <v>0.1</v>
      </c>
      <c r="R393" s="20">
        <f t="shared" si="11"/>
        <v>0.27238683127572016</v>
      </c>
      <c r="S393" s="22">
        <f t="shared" si="12"/>
        <v>2.0576131687242801E-4</v>
      </c>
    </row>
    <row r="394" spans="1:19" ht="16">
      <c r="A394" s="23" t="s">
        <v>312</v>
      </c>
      <c r="B394" s="82">
        <v>212121111222</v>
      </c>
      <c r="C394" s="82"/>
      <c r="D394" s="83">
        <v>0.5</v>
      </c>
      <c r="E394" s="82">
        <v>12</v>
      </c>
      <c r="F394" s="82">
        <v>6</v>
      </c>
      <c r="G394" s="82">
        <v>18</v>
      </c>
      <c r="H394" s="24">
        <v>4.9733999999999998</v>
      </c>
      <c r="I394" s="4">
        <v>5.9999999999999995E-4</v>
      </c>
      <c r="J394" s="4">
        <v>-27.789000000000001</v>
      </c>
      <c r="K394" s="4">
        <v>6.9999999999999999E-4</v>
      </c>
      <c r="L394" s="4">
        <v>2.3E-2</v>
      </c>
      <c r="M394" s="4">
        <v>3.0000000000000001E-3</v>
      </c>
      <c r="N394" s="4">
        <v>-8.5000000000000006E-3</v>
      </c>
      <c r="O394" s="4">
        <v>0</v>
      </c>
      <c r="P394" s="4">
        <v>128.38999999999999</v>
      </c>
      <c r="Q394" s="4">
        <v>0.16</v>
      </c>
      <c r="R394" s="4">
        <f t="shared" si="11"/>
        <v>0.26417695473251024</v>
      </c>
      <c r="S394" s="22">
        <f t="shared" si="12"/>
        <v>3.2921810699588475E-4</v>
      </c>
    </row>
    <row r="395" spans="1:19" ht="16">
      <c r="A395" s="19" t="s">
        <v>313</v>
      </c>
      <c r="B395" s="80">
        <v>112122122121</v>
      </c>
      <c r="C395" s="20"/>
      <c r="D395" s="81">
        <v>0.25</v>
      </c>
      <c r="E395" s="82">
        <v>12</v>
      </c>
      <c r="F395" s="82">
        <v>6</v>
      </c>
      <c r="G395" s="82">
        <v>18</v>
      </c>
      <c r="H395" s="21">
        <v>5.6405000000000003</v>
      </c>
      <c r="I395" s="4">
        <v>4.0000000000000002E-4</v>
      </c>
      <c r="J395" s="20">
        <v>-32.115600000000001</v>
      </c>
      <c r="K395" s="4">
        <v>1E-3</v>
      </c>
      <c r="L395" s="4">
        <v>4.9000000000000002E-2</v>
      </c>
      <c r="M395" s="4">
        <v>1.2E-2</v>
      </c>
      <c r="N395" s="4">
        <v>-6.7999999999999996E-3</v>
      </c>
      <c r="O395" s="4">
        <v>2.9999999999999997E-4</v>
      </c>
      <c r="P395" s="4">
        <v>132.82</v>
      </c>
      <c r="Q395" s="4">
        <v>0.24</v>
      </c>
      <c r="R395" s="20">
        <f t="shared" si="11"/>
        <v>0.27329218106995884</v>
      </c>
      <c r="S395" s="22">
        <f t="shared" si="12"/>
        <v>4.9382716049382717E-4</v>
      </c>
    </row>
    <row r="396" spans="1:19" ht="16">
      <c r="A396" s="23" t="s">
        <v>313</v>
      </c>
      <c r="B396" s="82">
        <v>112122122121</v>
      </c>
      <c r="C396" s="82"/>
      <c r="D396" s="83">
        <v>0.5</v>
      </c>
      <c r="E396" s="82">
        <v>12</v>
      </c>
      <c r="F396" s="82">
        <v>6</v>
      </c>
      <c r="G396" s="82">
        <v>18</v>
      </c>
      <c r="H396" s="24">
        <v>4.7737999999999996</v>
      </c>
      <c r="I396" s="4">
        <v>8.9999999999999998E-4</v>
      </c>
      <c r="J396" s="4">
        <v>-27.7668</v>
      </c>
      <c r="K396" s="4">
        <v>1.6999999999999999E-3</v>
      </c>
      <c r="L396" s="4">
        <v>6.4000000000000001E-2</v>
      </c>
      <c r="M396" s="4">
        <v>1.6E-2</v>
      </c>
      <c r="N396" s="4">
        <v>-8.8999999999999999E-3</v>
      </c>
      <c r="O396" s="4">
        <v>2.9999999999999997E-4</v>
      </c>
      <c r="P396" s="4">
        <v>129.94999999999999</v>
      </c>
      <c r="Q396" s="4">
        <v>0.28000000000000003</v>
      </c>
      <c r="R396" s="4">
        <f t="shared" si="11"/>
        <v>0.26738683127572016</v>
      </c>
      <c r="S396" s="22">
        <f t="shared" si="12"/>
        <v>5.7613168724279839E-4</v>
      </c>
    </row>
    <row r="397" spans="1:19" ht="16">
      <c r="A397" s="19" t="s">
        <v>314</v>
      </c>
      <c r="B397" s="80">
        <v>122112221112</v>
      </c>
      <c r="C397" s="20"/>
      <c r="D397" s="81">
        <v>0.25</v>
      </c>
      <c r="E397" s="82">
        <v>12</v>
      </c>
      <c r="F397" s="82">
        <v>6</v>
      </c>
      <c r="G397" s="82">
        <v>18</v>
      </c>
      <c r="H397" s="21">
        <v>5.681</v>
      </c>
      <c r="I397" s="4">
        <v>8.9999999999999998E-4</v>
      </c>
      <c r="J397" s="20">
        <v>-31.939699999999998</v>
      </c>
      <c r="K397" s="4">
        <v>4.0000000000000002E-4</v>
      </c>
      <c r="L397" s="4">
        <v>2.7E-2</v>
      </c>
      <c r="M397" s="4">
        <v>4.0000000000000001E-3</v>
      </c>
      <c r="N397" s="4">
        <v>-6.4999999999999997E-3</v>
      </c>
      <c r="O397" s="4">
        <v>1E-4</v>
      </c>
      <c r="P397" s="4">
        <v>132.71</v>
      </c>
      <c r="Q397" s="4">
        <v>0.03</v>
      </c>
      <c r="R397" s="20">
        <f t="shared" si="11"/>
        <v>0.27306584362139918</v>
      </c>
      <c r="S397" s="22">
        <f t="shared" si="12"/>
        <v>6.1728395061728397E-5</v>
      </c>
    </row>
    <row r="398" spans="1:19" ht="16">
      <c r="A398" s="23" t="s">
        <v>314</v>
      </c>
      <c r="B398" s="82">
        <v>122112221112</v>
      </c>
      <c r="C398" s="82"/>
      <c r="D398" s="83">
        <v>0.5</v>
      </c>
      <c r="E398" s="82">
        <v>12</v>
      </c>
      <c r="F398" s="82">
        <v>6</v>
      </c>
      <c r="G398" s="82">
        <v>18</v>
      </c>
      <c r="H398" s="24">
        <v>4.8623000000000003</v>
      </c>
      <c r="I398" s="4">
        <v>6.9999999999999999E-4</v>
      </c>
      <c r="J398" s="4">
        <v>-27.409800000000001</v>
      </c>
      <c r="K398" s="4">
        <v>5.0000000000000001E-4</v>
      </c>
      <c r="L398" s="4">
        <v>3.4000000000000002E-2</v>
      </c>
      <c r="M398" s="4">
        <v>1.0999999999999999E-2</v>
      </c>
      <c r="N398" s="4">
        <v>-8.2000000000000007E-3</v>
      </c>
      <c r="O398" s="4">
        <v>2.0000000000000001E-4</v>
      </c>
      <c r="P398" s="4">
        <v>130.27000000000001</v>
      </c>
      <c r="Q398" s="4">
        <v>0.12</v>
      </c>
      <c r="R398" s="4">
        <f t="shared" si="11"/>
        <v>0.26804526748971197</v>
      </c>
      <c r="S398" s="22">
        <f t="shared" si="12"/>
        <v>2.4691358024691359E-4</v>
      </c>
    </row>
    <row r="399" spans="1:19" ht="16">
      <c r="A399" s="19" t="s">
        <v>315</v>
      </c>
      <c r="B399" s="80">
        <v>111122122122</v>
      </c>
      <c r="C399" s="20"/>
      <c r="D399" s="81">
        <v>0.25</v>
      </c>
      <c r="E399" s="82">
        <v>12</v>
      </c>
      <c r="F399" s="82">
        <v>6</v>
      </c>
      <c r="G399" s="82">
        <v>18</v>
      </c>
      <c r="H399" s="21">
        <v>5.6695000000000002</v>
      </c>
      <c r="I399" s="4">
        <v>5.0000000000000001E-4</v>
      </c>
      <c r="J399" s="20">
        <v>-32.168100000000003</v>
      </c>
      <c r="K399" s="4">
        <v>8.0000000000000004E-4</v>
      </c>
      <c r="L399" s="4">
        <v>3.4000000000000002E-2</v>
      </c>
      <c r="M399" s="4">
        <v>8.0000000000000002E-3</v>
      </c>
      <c r="N399" s="4">
        <v>-6.8999999999999999E-3</v>
      </c>
      <c r="O399" s="4">
        <v>2.0000000000000001E-4</v>
      </c>
      <c r="P399" s="4">
        <v>131.65</v>
      </c>
      <c r="Q399" s="4">
        <v>0.21</v>
      </c>
      <c r="R399" s="20">
        <f t="shared" si="11"/>
        <v>0.27088477366255148</v>
      </c>
      <c r="S399" s="22">
        <f t="shared" si="12"/>
        <v>4.3209876543209879E-4</v>
      </c>
    </row>
    <row r="400" spans="1:19" ht="16">
      <c r="A400" s="23" t="s">
        <v>315</v>
      </c>
      <c r="B400" s="82">
        <v>111122122122</v>
      </c>
      <c r="C400" s="82"/>
      <c r="D400" s="83">
        <v>0.5</v>
      </c>
      <c r="E400" s="82">
        <v>12</v>
      </c>
      <c r="F400" s="82">
        <v>6</v>
      </c>
      <c r="G400" s="82">
        <v>18</v>
      </c>
      <c r="H400" s="24">
        <v>4.8164999999999996</v>
      </c>
      <c r="I400" s="4">
        <v>5.9999999999999995E-4</v>
      </c>
      <c r="J400" s="4">
        <v>-28.060400000000001</v>
      </c>
      <c r="K400" s="4">
        <v>1.4E-3</v>
      </c>
      <c r="L400" s="4">
        <v>9.6000000000000002E-2</v>
      </c>
      <c r="M400" s="4">
        <v>1.6E-2</v>
      </c>
      <c r="N400" s="4">
        <v>-1.14E-2</v>
      </c>
      <c r="O400" s="4">
        <v>4.0000000000000002E-4</v>
      </c>
      <c r="P400" s="4">
        <v>123.73</v>
      </c>
      <c r="Q400" s="4">
        <v>0.32</v>
      </c>
      <c r="R400" s="4">
        <f t="shared" si="11"/>
        <v>0.25458847736625512</v>
      </c>
      <c r="S400" s="22">
        <f t="shared" si="12"/>
        <v>6.5843621399176949E-4</v>
      </c>
    </row>
    <row r="401" spans="1:19" ht="16">
      <c r="A401" s="19" t="s">
        <v>316</v>
      </c>
      <c r="B401" s="80">
        <v>112122111222</v>
      </c>
      <c r="C401" s="20"/>
      <c r="D401" s="81">
        <v>0.25</v>
      </c>
      <c r="E401" s="82">
        <v>12</v>
      </c>
      <c r="F401" s="82">
        <v>6</v>
      </c>
      <c r="G401" s="82">
        <v>18</v>
      </c>
      <c r="H401" s="21">
        <v>5.6914999999999996</v>
      </c>
      <c r="I401" s="4">
        <v>4.0000000000000002E-4</v>
      </c>
      <c r="J401" s="20">
        <v>-32.001300000000001</v>
      </c>
      <c r="K401" s="4">
        <v>1.6999999999999999E-3</v>
      </c>
      <c r="L401" s="4">
        <v>2.8000000000000001E-2</v>
      </c>
      <c r="M401" s="4">
        <v>4.0000000000000001E-3</v>
      </c>
      <c r="N401" s="4">
        <v>-6.8999999999999999E-3</v>
      </c>
      <c r="O401" s="4">
        <v>2.0000000000000001E-4</v>
      </c>
      <c r="P401" s="4">
        <v>132.16999999999999</v>
      </c>
      <c r="Q401" s="4">
        <v>0.28999999999999998</v>
      </c>
      <c r="R401" s="20">
        <f t="shared" si="11"/>
        <v>0.27195473251028807</v>
      </c>
      <c r="S401" s="22">
        <f t="shared" si="12"/>
        <v>5.9670781893004111E-4</v>
      </c>
    </row>
    <row r="402" spans="1:19" ht="16">
      <c r="A402" s="23" t="s">
        <v>316</v>
      </c>
      <c r="B402" s="82">
        <v>112122111222</v>
      </c>
      <c r="C402" s="82"/>
      <c r="D402" s="83">
        <v>0.5</v>
      </c>
      <c r="E402" s="82">
        <v>12</v>
      </c>
      <c r="F402" s="82">
        <v>6</v>
      </c>
      <c r="G402" s="82">
        <v>18</v>
      </c>
      <c r="H402" s="24">
        <v>4.8799000000000001</v>
      </c>
      <c r="I402" s="4">
        <v>8.9999999999999998E-4</v>
      </c>
      <c r="J402" s="4">
        <v>-27.592300000000002</v>
      </c>
      <c r="K402" s="4">
        <v>1E-3</v>
      </c>
      <c r="L402" s="4">
        <v>4.8000000000000001E-2</v>
      </c>
      <c r="M402" s="4">
        <v>1.0999999999999999E-2</v>
      </c>
      <c r="N402" s="4">
        <v>-9.1000000000000004E-3</v>
      </c>
      <c r="O402" s="4">
        <v>5.0000000000000001E-4</v>
      </c>
      <c r="P402" s="4">
        <v>127.84</v>
      </c>
      <c r="Q402" s="4">
        <v>0.27</v>
      </c>
      <c r="R402" s="4">
        <f t="shared" si="11"/>
        <v>0.26304526748971191</v>
      </c>
      <c r="S402" s="22">
        <f t="shared" si="12"/>
        <v>5.5555555555555556E-4</v>
      </c>
    </row>
    <row r="403" spans="1:19" ht="16">
      <c r="A403" s="19" t="s">
        <v>317</v>
      </c>
      <c r="B403" s="80">
        <v>122121121122</v>
      </c>
      <c r="C403" s="20"/>
      <c r="D403" s="81">
        <v>0.25</v>
      </c>
      <c r="E403" s="82">
        <v>12</v>
      </c>
      <c r="F403" s="82">
        <v>6</v>
      </c>
      <c r="G403" s="82">
        <v>18</v>
      </c>
      <c r="H403" s="21">
        <v>5.7054999999999998</v>
      </c>
      <c r="I403" s="4">
        <v>5.0000000000000001E-4</v>
      </c>
      <c r="J403" s="20">
        <v>-32.003700000000002</v>
      </c>
      <c r="K403" s="4">
        <v>2.3E-3</v>
      </c>
      <c r="L403" s="4">
        <v>2.4E-2</v>
      </c>
      <c r="M403" s="4">
        <v>4.0000000000000001E-3</v>
      </c>
      <c r="N403" s="4">
        <v>-6.4999999999999997E-3</v>
      </c>
      <c r="O403" s="4">
        <v>1E-4</v>
      </c>
      <c r="P403" s="4">
        <v>132.62</v>
      </c>
      <c r="Q403" s="4">
        <v>0.2</v>
      </c>
      <c r="R403" s="20">
        <f t="shared" si="11"/>
        <v>0.27288065843621401</v>
      </c>
      <c r="S403" s="22">
        <f t="shared" si="12"/>
        <v>4.1152263374485601E-4</v>
      </c>
    </row>
    <row r="404" spans="1:19" ht="16">
      <c r="A404" s="23" t="s">
        <v>317</v>
      </c>
      <c r="B404" s="82">
        <v>122121121122</v>
      </c>
      <c r="C404" s="82"/>
      <c r="D404" s="83">
        <v>0.5</v>
      </c>
      <c r="E404" s="82">
        <v>12</v>
      </c>
      <c r="F404" s="82">
        <v>6</v>
      </c>
      <c r="G404" s="82">
        <v>18</v>
      </c>
      <c r="H404" s="24">
        <v>4.9131999999999998</v>
      </c>
      <c r="I404" s="4">
        <v>8.9999999999999998E-4</v>
      </c>
      <c r="J404" s="4">
        <v>-27.507200000000001</v>
      </c>
      <c r="K404" s="4">
        <v>1.8E-3</v>
      </c>
      <c r="L404" s="4">
        <v>2.5999999999999999E-2</v>
      </c>
      <c r="M404" s="4">
        <v>2E-3</v>
      </c>
      <c r="N404" s="4">
        <v>-8.0000000000000002E-3</v>
      </c>
      <c r="O404" s="4">
        <v>1E-4</v>
      </c>
      <c r="P404" s="4">
        <v>130.37</v>
      </c>
      <c r="Q404" s="4">
        <v>0.11</v>
      </c>
      <c r="R404" s="4">
        <f t="shared" si="11"/>
        <v>0.26825102880658436</v>
      </c>
      <c r="S404" s="22">
        <f t="shared" si="12"/>
        <v>2.2633744855967078E-4</v>
      </c>
    </row>
    <row r="405" spans="1:19" ht="16">
      <c r="A405" s="19" t="s">
        <v>318</v>
      </c>
      <c r="B405" s="80">
        <v>112221212121</v>
      </c>
      <c r="C405" s="20"/>
      <c r="D405" s="81">
        <v>0.25</v>
      </c>
      <c r="E405" s="82">
        <v>12</v>
      </c>
      <c r="F405" s="82">
        <v>6</v>
      </c>
      <c r="G405" s="82">
        <v>18</v>
      </c>
      <c r="H405" s="21">
        <v>5.6459999999999999</v>
      </c>
      <c r="I405" s="4">
        <v>8.9999999999999998E-4</v>
      </c>
      <c r="J405" s="20">
        <v>-32.096699999999998</v>
      </c>
      <c r="K405" s="4">
        <v>1.6000000000000001E-3</v>
      </c>
      <c r="L405" s="4">
        <v>4.2000000000000003E-2</v>
      </c>
      <c r="M405" s="4">
        <v>1.2999999999999999E-2</v>
      </c>
      <c r="N405" s="4">
        <v>-6.6E-3</v>
      </c>
      <c r="O405" s="4">
        <v>1E-4</v>
      </c>
      <c r="P405" s="4">
        <v>132.83000000000001</v>
      </c>
      <c r="Q405" s="4">
        <v>0.31</v>
      </c>
      <c r="R405" s="20">
        <f t="shared" si="11"/>
        <v>0.27331275720164611</v>
      </c>
      <c r="S405" s="22">
        <f t="shared" si="12"/>
        <v>6.3786008230452666E-4</v>
      </c>
    </row>
    <row r="406" spans="1:19" ht="16">
      <c r="A406" s="23" t="s">
        <v>318</v>
      </c>
      <c r="B406" s="82">
        <v>112221212121</v>
      </c>
      <c r="C406" s="82"/>
      <c r="D406" s="83">
        <v>0.5</v>
      </c>
      <c r="E406" s="82">
        <v>12</v>
      </c>
      <c r="F406" s="82">
        <v>6</v>
      </c>
      <c r="G406" s="82">
        <v>18</v>
      </c>
      <c r="H406" s="24">
        <v>4.7872000000000003</v>
      </c>
      <c r="I406" s="4">
        <v>8.0000000000000004E-4</v>
      </c>
      <c r="J406" s="4">
        <v>-27.717500000000001</v>
      </c>
      <c r="K406" s="4">
        <v>1.1000000000000001E-3</v>
      </c>
      <c r="L406" s="4">
        <v>6.2E-2</v>
      </c>
      <c r="M406" s="4">
        <v>1.4999999999999999E-2</v>
      </c>
      <c r="N406" s="4">
        <v>-8.9999999999999993E-3</v>
      </c>
      <c r="O406" s="4">
        <v>5.0000000000000001E-4</v>
      </c>
      <c r="P406" s="4">
        <v>129.96</v>
      </c>
      <c r="Q406" s="4">
        <v>0.28999999999999998</v>
      </c>
      <c r="R406" s="4">
        <f t="shared" si="11"/>
        <v>0.26740740740740743</v>
      </c>
      <c r="S406" s="22">
        <f t="shared" si="12"/>
        <v>5.9670781893004111E-4</v>
      </c>
    </row>
    <row r="407" spans="1:19" ht="16">
      <c r="A407" s="19" t="s">
        <v>319</v>
      </c>
      <c r="B407" s="80">
        <v>111112222221</v>
      </c>
      <c r="C407" s="20"/>
      <c r="D407" s="81">
        <v>0.25</v>
      </c>
      <c r="E407" s="82">
        <v>12</v>
      </c>
      <c r="F407" s="82">
        <v>6</v>
      </c>
      <c r="G407" s="82">
        <v>18</v>
      </c>
      <c r="H407" s="21">
        <v>5.6348000000000003</v>
      </c>
      <c r="I407" s="4">
        <v>6.9999999999999999E-4</v>
      </c>
      <c r="J407" s="20">
        <v>-32.230899999999998</v>
      </c>
      <c r="K407" s="4">
        <v>1.1000000000000001E-3</v>
      </c>
      <c r="L407" s="4">
        <v>4.9000000000000002E-2</v>
      </c>
      <c r="M407" s="4">
        <v>0.01</v>
      </c>
      <c r="N407" s="4">
        <v>-7.4999999999999997E-3</v>
      </c>
      <c r="O407" s="4">
        <v>2.9999999999999997E-4</v>
      </c>
      <c r="P407" s="4">
        <v>130.72999999999999</v>
      </c>
      <c r="Q407" s="4">
        <v>0.27</v>
      </c>
      <c r="R407" s="20">
        <f t="shared" si="11"/>
        <v>0.26899176954732507</v>
      </c>
      <c r="S407" s="22">
        <f t="shared" si="12"/>
        <v>5.5555555555555556E-4</v>
      </c>
    </row>
    <row r="408" spans="1:19" ht="16">
      <c r="A408" s="23" t="s">
        <v>319</v>
      </c>
      <c r="B408" s="82">
        <v>111112222221</v>
      </c>
      <c r="C408" s="82"/>
      <c r="D408" s="83">
        <v>0.5</v>
      </c>
      <c r="E408" s="82">
        <v>12</v>
      </c>
      <c r="F408" s="82">
        <v>6</v>
      </c>
      <c r="G408" s="82">
        <v>18</v>
      </c>
      <c r="H408" s="24">
        <v>4.7321999999999997</v>
      </c>
      <c r="I408" s="24">
        <v>8.9999999999999998E-4</v>
      </c>
      <c r="J408" s="4">
        <v>-28.607299999999999</v>
      </c>
      <c r="K408" s="4">
        <v>1.6999999999999999E-3</v>
      </c>
      <c r="L408" s="4">
        <v>0.19700000000000001</v>
      </c>
      <c r="M408" s="4">
        <v>1.2E-2</v>
      </c>
      <c r="N408" s="4">
        <v>-1.49E-2</v>
      </c>
      <c r="O408" s="4">
        <v>2.9999999999999997E-4</v>
      </c>
      <c r="P408" s="4">
        <v>114.31</v>
      </c>
      <c r="Q408" s="4">
        <v>0.36</v>
      </c>
      <c r="R408" s="4">
        <f t="shared" si="11"/>
        <v>0.23520576131687243</v>
      </c>
      <c r="S408" s="22">
        <f t="shared" si="12"/>
        <v>7.4074074074074081E-4</v>
      </c>
    </row>
    <row r="409" spans="1:19" ht="16">
      <c r="A409" s="19" t="s">
        <v>320</v>
      </c>
      <c r="B409" s="80">
        <v>111112212222</v>
      </c>
      <c r="C409" s="20"/>
      <c r="D409" s="81">
        <v>0.25</v>
      </c>
      <c r="E409" s="82">
        <v>12</v>
      </c>
      <c r="F409" s="82">
        <v>6</v>
      </c>
      <c r="G409" s="82">
        <v>18</v>
      </c>
      <c r="H409" s="21">
        <v>5.6756000000000002</v>
      </c>
      <c r="I409" s="4">
        <v>2.9999999999999997E-4</v>
      </c>
      <c r="J409" s="20">
        <v>-32.275300000000001</v>
      </c>
      <c r="K409" s="4">
        <v>4.0000000000000002E-4</v>
      </c>
      <c r="L409" s="4">
        <v>3.9E-2</v>
      </c>
      <c r="M409" s="4">
        <v>7.0000000000000001E-3</v>
      </c>
      <c r="N409" s="4">
        <v>-7.1999999999999998E-3</v>
      </c>
      <c r="O409" s="4">
        <v>1E-4</v>
      </c>
      <c r="P409" s="4">
        <v>130.88999999999999</v>
      </c>
      <c r="Q409" s="4">
        <v>0.06</v>
      </c>
      <c r="R409" s="20">
        <f t="shared" si="11"/>
        <v>0.26932098765432094</v>
      </c>
      <c r="S409" s="22">
        <f t="shared" si="12"/>
        <v>1.2345679012345679E-4</v>
      </c>
    </row>
    <row r="410" spans="1:19" ht="16">
      <c r="A410" s="23" t="s">
        <v>320</v>
      </c>
      <c r="B410" s="82">
        <v>111112212222</v>
      </c>
      <c r="C410" s="82"/>
      <c r="D410" s="83">
        <v>0.5</v>
      </c>
      <c r="E410" s="82">
        <v>12</v>
      </c>
      <c r="F410" s="82">
        <v>6</v>
      </c>
      <c r="G410" s="82">
        <v>18</v>
      </c>
      <c r="H410" s="24">
        <v>4.8235000000000001</v>
      </c>
      <c r="I410" s="4">
        <v>5.9999999999999995E-4</v>
      </c>
      <c r="J410" s="24">
        <v>-28.603000000000002</v>
      </c>
      <c r="K410" s="4">
        <v>5.0000000000000001E-4</v>
      </c>
      <c r="L410" s="4">
        <v>0.152</v>
      </c>
      <c r="M410" s="4">
        <v>4.0000000000000001E-3</v>
      </c>
      <c r="N410" s="4">
        <v>-1.4999999999999999E-2</v>
      </c>
      <c r="O410" s="4">
        <v>1E-4</v>
      </c>
      <c r="P410" s="4">
        <v>113.94</v>
      </c>
      <c r="Q410" s="4">
        <v>0.19</v>
      </c>
      <c r="R410" s="4">
        <f t="shared" si="11"/>
        <v>0.23444444444444443</v>
      </c>
      <c r="S410" s="22">
        <f t="shared" si="12"/>
        <v>3.9094650205761324E-4</v>
      </c>
    </row>
    <row r="411" spans="1:19" ht="16">
      <c r="A411" s="19" t="s">
        <v>321</v>
      </c>
      <c r="B411" s="80">
        <v>212121121122</v>
      </c>
      <c r="C411" s="20"/>
      <c r="D411" s="81">
        <v>0.25</v>
      </c>
      <c r="E411" s="82">
        <v>12</v>
      </c>
      <c r="F411" s="82">
        <v>6</v>
      </c>
      <c r="G411" s="82">
        <v>18</v>
      </c>
      <c r="H411" s="21">
        <v>5.7256999999999998</v>
      </c>
      <c r="I411" s="4">
        <v>5.9999999999999995E-4</v>
      </c>
      <c r="J411" s="20">
        <v>-32.130299999999998</v>
      </c>
      <c r="K411" s="4">
        <v>3.5000000000000001E-3</v>
      </c>
      <c r="L411" s="4">
        <v>3.6999999999999998E-2</v>
      </c>
      <c r="M411" s="4">
        <v>8.0000000000000002E-3</v>
      </c>
      <c r="N411" s="4">
        <v>-6.6E-3</v>
      </c>
      <c r="O411" s="4">
        <v>4.0000000000000002E-4</v>
      </c>
      <c r="P411" s="4">
        <v>132.56</v>
      </c>
      <c r="Q411" s="4">
        <v>0.28999999999999998</v>
      </c>
      <c r="R411" s="20">
        <f t="shared" si="11"/>
        <v>0.27275720164609052</v>
      </c>
      <c r="S411" s="22">
        <f t="shared" si="12"/>
        <v>5.9670781893004111E-4</v>
      </c>
    </row>
    <row r="412" spans="1:19" ht="16">
      <c r="A412" s="23" t="s">
        <v>321</v>
      </c>
      <c r="B412" s="82">
        <v>212121121122</v>
      </c>
      <c r="C412" s="82"/>
      <c r="D412" s="83">
        <v>0.5</v>
      </c>
      <c r="E412" s="82">
        <v>12</v>
      </c>
      <c r="F412" s="82">
        <v>6</v>
      </c>
      <c r="G412" s="82">
        <v>18</v>
      </c>
      <c r="H412" s="24">
        <v>4.9516999999999998</v>
      </c>
      <c r="I412" s="4">
        <v>8.0000000000000004E-4</v>
      </c>
      <c r="J412" s="4">
        <v>-27.7454</v>
      </c>
      <c r="K412" s="4">
        <v>8.9999999999999998E-4</v>
      </c>
      <c r="L412" s="4">
        <v>0.02</v>
      </c>
      <c r="M412" s="4">
        <v>5.0000000000000001E-3</v>
      </c>
      <c r="N412" s="4">
        <v>-7.6E-3</v>
      </c>
      <c r="O412" s="4">
        <v>2.0000000000000001E-4</v>
      </c>
      <c r="P412" s="4">
        <v>130.69999999999999</v>
      </c>
      <c r="Q412" s="4">
        <v>0.11</v>
      </c>
      <c r="R412" s="4">
        <f t="shared" si="11"/>
        <v>0.26893004115226338</v>
      </c>
      <c r="S412" s="22">
        <f t="shared" si="12"/>
        <v>2.2633744855967078E-4</v>
      </c>
    </row>
    <row r="413" spans="1:19" ht="16">
      <c r="A413" s="19" t="s">
        <v>322</v>
      </c>
      <c r="B413" s="80">
        <v>121211121222</v>
      </c>
      <c r="C413" s="20"/>
      <c r="D413" s="81">
        <v>0.25</v>
      </c>
      <c r="E413" s="82">
        <v>12</v>
      </c>
      <c r="F413" s="82">
        <v>6</v>
      </c>
      <c r="G413" s="82">
        <v>18</v>
      </c>
      <c r="H413" s="21">
        <v>5.7073</v>
      </c>
      <c r="I413" s="4">
        <v>5.0000000000000001E-4</v>
      </c>
      <c r="J413" s="20">
        <v>-32.116500000000002</v>
      </c>
      <c r="K413" s="4">
        <v>1.6000000000000001E-3</v>
      </c>
      <c r="L413" s="4">
        <v>2.3E-2</v>
      </c>
      <c r="M413" s="4">
        <v>4.0000000000000001E-3</v>
      </c>
      <c r="N413" s="4">
        <v>-6.6E-3</v>
      </c>
      <c r="O413" s="4">
        <v>1E-4</v>
      </c>
      <c r="P413" s="4">
        <v>132.16</v>
      </c>
      <c r="Q413" s="4">
        <v>0.16</v>
      </c>
      <c r="R413" s="20">
        <f t="shared" si="11"/>
        <v>0.27193415637860086</v>
      </c>
      <c r="S413" s="22">
        <f t="shared" si="12"/>
        <v>3.2921810699588475E-4</v>
      </c>
    </row>
    <row r="414" spans="1:19" ht="16">
      <c r="A414" s="23" t="s">
        <v>322</v>
      </c>
      <c r="B414" s="82">
        <v>121211121222</v>
      </c>
      <c r="C414" s="82"/>
      <c r="D414" s="83">
        <v>0.5</v>
      </c>
      <c r="E414" s="82">
        <v>12</v>
      </c>
      <c r="F414" s="82">
        <v>6</v>
      </c>
      <c r="G414" s="82">
        <v>18</v>
      </c>
      <c r="H414" s="24">
        <v>4.9104999999999999</v>
      </c>
      <c r="I414" s="4">
        <v>5.9999999999999995E-4</v>
      </c>
      <c r="J414" s="4">
        <v>-27.810199999999998</v>
      </c>
      <c r="K414" s="4">
        <v>8.0000000000000004E-4</v>
      </c>
      <c r="L414" s="4">
        <v>2.8000000000000001E-2</v>
      </c>
      <c r="M414" s="4">
        <v>8.9999999999999993E-3</v>
      </c>
      <c r="N414" s="4">
        <v>-8.9999999999999993E-3</v>
      </c>
      <c r="O414" s="4">
        <v>2.0000000000000001E-4</v>
      </c>
      <c r="P414" s="4">
        <v>127.84</v>
      </c>
      <c r="Q414" s="4">
        <v>0.15</v>
      </c>
      <c r="R414" s="4">
        <f t="shared" si="11"/>
        <v>0.26304526748971191</v>
      </c>
      <c r="S414" s="22">
        <f t="shared" si="12"/>
        <v>3.0864197530864197E-4</v>
      </c>
    </row>
    <row r="415" spans="1:19" ht="16">
      <c r="A415" s="19" t="s">
        <v>323</v>
      </c>
      <c r="B415" s="80">
        <v>121121211222</v>
      </c>
      <c r="C415" s="20"/>
      <c r="D415" s="81">
        <v>0.25</v>
      </c>
      <c r="E415" s="82">
        <v>12</v>
      </c>
      <c r="F415" s="82">
        <v>6</v>
      </c>
      <c r="G415" s="82">
        <v>18</v>
      </c>
      <c r="H415" s="21">
        <v>5.6997999999999998</v>
      </c>
      <c r="I415" s="4">
        <v>2.0000000000000001E-4</v>
      </c>
      <c r="J415" s="20">
        <v>-32.078200000000002</v>
      </c>
      <c r="K415" s="4">
        <v>1.4E-3</v>
      </c>
      <c r="L415" s="4">
        <v>0.03</v>
      </c>
      <c r="M415" s="4">
        <v>5.0000000000000001E-3</v>
      </c>
      <c r="N415" s="4">
        <v>-6.4999999999999997E-3</v>
      </c>
      <c r="O415" s="4">
        <v>4.0000000000000002E-4</v>
      </c>
      <c r="P415" s="4">
        <v>132.43</v>
      </c>
      <c r="Q415" s="4">
        <v>0.4</v>
      </c>
      <c r="R415" s="20">
        <f t="shared" si="11"/>
        <v>0.27248971193415639</v>
      </c>
      <c r="S415" s="22">
        <f t="shared" si="12"/>
        <v>8.2304526748971203E-4</v>
      </c>
    </row>
    <row r="416" spans="1:19" ht="16">
      <c r="A416" s="23" t="s">
        <v>323</v>
      </c>
      <c r="B416" s="82">
        <v>121121211222</v>
      </c>
      <c r="C416" s="82"/>
      <c r="D416" s="83">
        <v>0.5</v>
      </c>
      <c r="E416" s="82">
        <v>12</v>
      </c>
      <c r="F416" s="82">
        <v>6</v>
      </c>
      <c r="G416" s="82">
        <v>18</v>
      </c>
      <c r="H416" s="24">
        <v>4.8983999999999996</v>
      </c>
      <c r="I416" s="4">
        <v>6.9999999999999999E-4</v>
      </c>
      <c r="J416" s="4">
        <v>-27.702400000000001</v>
      </c>
      <c r="K416" s="4">
        <v>1.6999999999999999E-3</v>
      </c>
      <c r="L416" s="4">
        <v>3.5999999999999997E-2</v>
      </c>
      <c r="M416" s="4">
        <v>8.0000000000000002E-3</v>
      </c>
      <c r="N416" s="4">
        <v>-8.6E-3</v>
      </c>
      <c r="O416" s="4">
        <v>1E-4</v>
      </c>
      <c r="P416" s="4">
        <v>128.94999999999999</v>
      </c>
      <c r="Q416" s="4">
        <v>0.14000000000000001</v>
      </c>
      <c r="R416" s="4">
        <f t="shared" si="11"/>
        <v>0.26532921810699583</v>
      </c>
      <c r="S416" s="22">
        <f t="shared" si="12"/>
        <v>2.8806584362139919E-4</v>
      </c>
    </row>
    <row r="417" spans="1:19" ht="16">
      <c r="A417" s="19" t="s">
        <v>324</v>
      </c>
      <c r="B417" s="80">
        <v>212111122212</v>
      </c>
      <c r="C417" s="20"/>
      <c r="D417" s="81">
        <v>0.25</v>
      </c>
      <c r="E417" s="82">
        <v>12</v>
      </c>
      <c r="F417" s="82">
        <v>6</v>
      </c>
      <c r="G417" s="82">
        <v>18</v>
      </c>
      <c r="H417" s="21">
        <v>5.7191000000000001</v>
      </c>
      <c r="I417" s="4">
        <v>1E-3</v>
      </c>
      <c r="J417" s="20">
        <v>-32.134</v>
      </c>
      <c r="K417" s="4">
        <v>5.0000000000000001E-4</v>
      </c>
      <c r="L417" s="4">
        <v>2.1000000000000001E-2</v>
      </c>
      <c r="M417" s="4">
        <v>7.0000000000000001E-3</v>
      </c>
      <c r="N417" s="4">
        <v>-6.4999999999999997E-3</v>
      </c>
      <c r="O417" s="4">
        <v>2.0000000000000001E-4</v>
      </c>
      <c r="P417" s="4">
        <v>132.24</v>
      </c>
      <c r="Q417" s="4">
        <v>0.13</v>
      </c>
      <c r="R417" s="20">
        <f t="shared" si="11"/>
        <v>0.27209876543209877</v>
      </c>
      <c r="S417" s="22">
        <f t="shared" si="12"/>
        <v>2.6748971193415636E-4</v>
      </c>
    </row>
    <row r="418" spans="1:19" ht="16">
      <c r="A418" s="23" t="s">
        <v>324</v>
      </c>
      <c r="B418" s="82">
        <v>212111122212</v>
      </c>
      <c r="C418" s="82"/>
      <c r="D418" s="83">
        <v>0.5</v>
      </c>
      <c r="E418" s="82">
        <v>12</v>
      </c>
      <c r="F418" s="82">
        <v>6</v>
      </c>
      <c r="G418" s="82">
        <v>18</v>
      </c>
      <c r="H418" s="24">
        <v>4.9381000000000004</v>
      </c>
      <c r="I418" s="4">
        <v>8.9999999999999998E-4</v>
      </c>
      <c r="J418" s="4">
        <v>-27.834099999999999</v>
      </c>
      <c r="K418" s="4">
        <v>1.5E-3</v>
      </c>
      <c r="L418" s="4">
        <v>2.5999999999999999E-2</v>
      </c>
      <c r="M418" s="4">
        <v>1E-3</v>
      </c>
      <c r="N418" s="4">
        <v>-8.5000000000000006E-3</v>
      </c>
      <c r="O418" s="4">
        <v>1E-4</v>
      </c>
      <c r="P418" s="4">
        <v>128.66</v>
      </c>
      <c r="Q418" s="4">
        <v>0.15</v>
      </c>
      <c r="R418" s="4">
        <f t="shared" si="11"/>
        <v>0.26473251028806588</v>
      </c>
      <c r="S418" s="22">
        <f t="shared" si="12"/>
        <v>3.0864197530864197E-4</v>
      </c>
    </row>
    <row r="419" spans="1:19" ht="16">
      <c r="A419" s="19" t="s">
        <v>325</v>
      </c>
      <c r="B419" s="80">
        <v>112221112122</v>
      </c>
      <c r="C419" s="20"/>
      <c r="D419" s="81">
        <v>0.25</v>
      </c>
      <c r="E419" s="82">
        <v>12</v>
      </c>
      <c r="F419" s="82">
        <v>6</v>
      </c>
      <c r="G419" s="82">
        <v>18</v>
      </c>
      <c r="H419" s="21">
        <v>5.6917999999999997</v>
      </c>
      <c r="I419" s="4">
        <v>2.0000000000000001E-4</v>
      </c>
      <c r="J419" s="20">
        <v>-31.975300000000001</v>
      </c>
      <c r="K419" s="4">
        <v>1.1999999999999999E-3</v>
      </c>
      <c r="L419" s="4">
        <v>2.5000000000000001E-2</v>
      </c>
      <c r="M419" s="4">
        <v>0.02</v>
      </c>
      <c r="N419" s="4">
        <v>-6.6E-3</v>
      </c>
      <c r="O419" s="4">
        <v>4.0000000000000002E-4</v>
      </c>
      <c r="P419" s="4">
        <v>132.31</v>
      </c>
      <c r="Q419" s="4">
        <v>0.16</v>
      </c>
      <c r="R419" s="20">
        <f t="shared" si="11"/>
        <v>0.27224279835390947</v>
      </c>
      <c r="S419" s="22">
        <f t="shared" si="12"/>
        <v>3.2921810699588475E-4</v>
      </c>
    </row>
    <row r="420" spans="1:19" ht="16">
      <c r="A420" s="23" t="s">
        <v>325</v>
      </c>
      <c r="B420" s="82">
        <v>112221112122</v>
      </c>
      <c r="C420" s="82"/>
      <c r="D420" s="83">
        <v>0.5</v>
      </c>
      <c r="E420" s="82">
        <v>12</v>
      </c>
      <c r="F420" s="82">
        <v>6</v>
      </c>
      <c r="G420" s="82">
        <v>18</v>
      </c>
      <c r="H420" s="24">
        <v>4.8845000000000001</v>
      </c>
      <c r="I420" s="4">
        <v>6.9999999999999999E-4</v>
      </c>
      <c r="J420" s="4">
        <v>-27.511900000000001</v>
      </c>
      <c r="K420" s="4">
        <v>4.0000000000000002E-4</v>
      </c>
      <c r="L420" s="4">
        <v>3.1E-2</v>
      </c>
      <c r="M420" s="4">
        <v>4.0000000000000001E-3</v>
      </c>
      <c r="N420" s="4">
        <v>-8.6999999999999994E-3</v>
      </c>
      <c r="O420" s="4">
        <v>2.9999999999999997E-4</v>
      </c>
      <c r="P420" s="4">
        <v>128.96</v>
      </c>
      <c r="Q420" s="4">
        <v>0.18</v>
      </c>
      <c r="R420" s="4">
        <f t="shared" si="11"/>
        <v>0.2653497942386831</v>
      </c>
      <c r="S420" s="22">
        <f t="shared" si="12"/>
        <v>3.7037037037037041E-4</v>
      </c>
    </row>
    <row r="421" spans="1:19" ht="16">
      <c r="A421" s="19" t="s">
        <v>326</v>
      </c>
      <c r="B421" s="80">
        <v>212112211122</v>
      </c>
      <c r="C421" s="20"/>
      <c r="D421" s="81">
        <v>0.25</v>
      </c>
      <c r="E421" s="82">
        <v>12</v>
      </c>
      <c r="F421" s="82">
        <v>6</v>
      </c>
      <c r="G421" s="82">
        <v>18</v>
      </c>
      <c r="H421" s="21">
        <v>5.7230999999999996</v>
      </c>
      <c r="I421" s="4">
        <v>8.0000000000000004E-4</v>
      </c>
      <c r="J421" s="20">
        <v>-32.012799999999999</v>
      </c>
      <c r="K421" s="4">
        <v>2.9999999999999997E-4</v>
      </c>
      <c r="L421" s="4">
        <v>2.4E-2</v>
      </c>
      <c r="M421" s="4">
        <v>4.0000000000000001E-3</v>
      </c>
      <c r="N421" s="4">
        <v>-6.4000000000000003E-3</v>
      </c>
      <c r="O421" s="4">
        <v>1E-4</v>
      </c>
      <c r="P421" s="4">
        <v>132.6</v>
      </c>
      <c r="Q421" s="4">
        <v>0.11</v>
      </c>
      <c r="R421" s="20">
        <f t="shared" si="11"/>
        <v>0.27283950617283947</v>
      </c>
      <c r="S421" s="22">
        <f t="shared" si="12"/>
        <v>2.2633744855967078E-4</v>
      </c>
    </row>
    <row r="422" spans="1:19" ht="16">
      <c r="A422" s="23" t="s">
        <v>326</v>
      </c>
      <c r="B422" s="82">
        <v>212112211122</v>
      </c>
      <c r="C422" s="82"/>
      <c r="D422" s="83">
        <v>0.5</v>
      </c>
      <c r="E422" s="82">
        <v>12</v>
      </c>
      <c r="F422" s="82">
        <v>6</v>
      </c>
      <c r="G422" s="82">
        <v>18</v>
      </c>
      <c r="H422" s="24">
        <v>4.9470999999999998</v>
      </c>
      <c r="I422" s="4">
        <v>8.9999999999999998E-4</v>
      </c>
      <c r="J422" s="4">
        <v>-27.5305</v>
      </c>
      <c r="K422" s="4">
        <v>1E-3</v>
      </c>
      <c r="L422" s="4">
        <v>1.7000000000000001E-2</v>
      </c>
      <c r="M422" s="4">
        <v>1.0999999999999999E-2</v>
      </c>
      <c r="N422" s="4">
        <v>-7.7000000000000002E-3</v>
      </c>
      <c r="O422" s="4">
        <v>2.9999999999999997E-4</v>
      </c>
      <c r="P422" s="4">
        <v>130.38999999999999</v>
      </c>
      <c r="Q422" s="4">
        <v>0.18</v>
      </c>
      <c r="R422" s="4">
        <f t="shared" si="11"/>
        <v>0.26829218106995883</v>
      </c>
      <c r="S422" s="22">
        <f t="shared" si="12"/>
        <v>3.7037037037037041E-4</v>
      </c>
    </row>
    <row r="423" spans="1:19" ht="16">
      <c r="A423" s="19" t="s">
        <v>327</v>
      </c>
      <c r="B423" s="80">
        <v>121122211221</v>
      </c>
      <c r="C423" s="20"/>
      <c r="D423" s="81">
        <v>0.25</v>
      </c>
      <c r="E423" s="82">
        <v>12</v>
      </c>
      <c r="F423" s="82">
        <v>6</v>
      </c>
      <c r="G423" s="82">
        <v>18</v>
      </c>
      <c r="H423" s="21">
        <v>5.6581999999999999</v>
      </c>
      <c r="I423" s="4">
        <v>8.0000000000000004E-4</v>
      </c>
      <c r="J423" s="20">
        <v>-31.922799999999999</v>
      </c>
      <c r="K423" s="4">
        <v>5.9999999999999995E-4</v>
      </c>
      <c r="L423" s="4">
        <v>3.5000000000000003E-2</v>
      </c>
      <c r="M423" s="4">
        <v>4.0000000000000001E-3</v>
      </c>
      <c r="N423" s="4">
        <v>-6.7000000000000002E-3</v>
      </c>
      <c r="O423" s="4">
        <v>1E-4</v>
      </c>
      <c r="P423" s="4">
        <v>132.78</v>
      </c>
      <c r="Q423" s="4">
        <v>0.2</v>
      </c>
      <c r="R423" s="20">
        <f t="shared" si="11"/>
        <v>0.27320987654320988</v>
      </c>
      <c r="S423" s="22">
        <f t="shared" si="12"/>
        <v>4.1152263374485601E-4</v>
      </c>
    </row>
    <row r="424" spans="1:19" ht="16">
      <c r="A424" s="23" t="s">
        <v>327</v>
      </c>
      <c r="B424" s="82">
        <v>121122211221</v>
      </c>
      <c r="C424" s="82"/>
      <c r="D424" s="83">
        <v>0.5</v>
      </c>
      <c r="E424" s="82">
        <v>12</v>
      </c>
      <c r="F424" s="82">
        <v>6</v>
      </c>
      <c r="G424" s="82">
        <v>18</v>
      </c>
      <c r="H424" s="24">
        <v>4.8170000000000002</v>
      </c>
      <c r="I424" s="4">
        <v>5.9999999999999995E-4</v>
      </c>
      <c r="J424" s="4">
        <v>-27.365600000000001</v>
      </c>
      <c r="K424" s="4">
        <v>1.1999999999999999E-3</v>
      </c>
      <c r="L424" s="4">
        <v>4.3999999999999997E-2</v>
      </c>
      <c r="M424" s="4">
        <v>6.0000000000000001E-3</v>
      </c>
      <c r="N424" s="4">
        <v>-8.3999999999999995E-3</v>
      </c>
      <c r="O424" s="4">
        <v>4.0000000000000002E-4</v>
      </c>
      <c r="P424" s="4">
        <v>130.52000000000001</v>
      </c>
      <c r="Q424" s="4">
        <v>0.35</v>
      </c>
      <c r="R424" s="4">
        <f t="shared" si="11"/>
        <v>0.26855967078189302</v>
      </c>
      <c r="S424" s="22">
        <f t="shared" si="12"/>
        <v>7.2016460905349787E-4</v>
      </c>
    </row>
    <row r="425" spans="1:19" ht="16">
      <c r="A425" s="19" t="s">
        <v>328</v>
      </c>
      <c r="B425" s="80">
        <v>112112212221</v>
      </c>
      <c r="C425" s="20"/>
      <c r="D425" s="81">
        <v>0.25</v>
      </c>
      <c r="E425" s="82">
        <v>12</v>
      </c>
      <c r="F425" s="82">
        <v>6</v>
      </c>
      <c r="G425" s="82">
        <v>18</v>
      </c>
      <c r="H425" s="21">
        <v>5.6496000000000004</v>
      </c>
      <c r="I425" s="4">
        <v>1E-3</v>
      </c>
      <c r="J425" s="20">
        <v>-32.034799999999997</v>
      </c>
      <c r="K425" s="4">
        <v>5.9999999999999995E-4</v>
      </c>
      <c r="L425" s="4">
        <v>0.04</v>
      </c>
      <c r="M425" s="4">
        <v>1.4999999999999999E-2</v>
      </c>
      <c r="N425" s="4">
        <v>-6.8999999999999999E-3</v>
      </c>
      <c r="O425" s="4">
        <v>2.0000000000000001E-4</v>
      </c>
      <c r="P425" s="4">
        <v>132.29</v>
      </c>
      <c r="Q425" s="4">
        <v>0.21</v>
      </c>
      <c r="R425" s="20">
        <f t="shared" si="11"/>
        <v>0.27220164609053499</v>
      </c>
      <c r="S425" s="22">
        <f t="shared" si="12"/>
        <v>4.3209876543209879E-4</v>
      </c>
    </row>
    <row r="426" spans="1:19" ht="16">
      <c r="A426" s="23" t="s">
        <v>328</v>
      </c>
      <c r="B426" s="82">
        <v>112112212221</v>
      </c>
      <c r="C426" s="82"/>
      <c r="D426" s="83">
        <v>0.5</v>
      </c>
      <c r="E426" s="82">
        <v>12</v>
      </c>
      <c r="F426" s="82">
        <v>6</v>
      </c>
      <c r="G426" s="82">
        <v>18</v>
      </c>
      <c r="H426" s="24">
        <v>4.7858000000000001</v>
      </c>
      <c r="I426" s="4">
        <v>6.9999999999999999E-4</v>
      </c>
      <c r="J426" s="4">
        <v>-27.669699999999999</v>
      </c>
      <c r="K426" s="4">
        <v>6.9999999999999999E-4</v>
      </c>
      <c r="L426" s="4">
        <v>7.4999999999999997E-2</v>
      </c>
      <c r="M426" s="4">
        <v>6.0000000000000001E-3</v>
      </c>
      <c r="N426" s="4">
        <v>-9.9000000000000008E-3</v>
      </c>
      <c r="O426" s="4">
        <v>4.0000000000000002E-4</v>
      </c>
      <c r="P426" s="4">
        <v>127.72</v>
      </c>
      <c r="Q426" s="4">
        <v>0.37</v>
      </c>
      <c r="R426" s="4">
        <f t="shared" si="11"/>
        <v>0.26279835390946499</v>
      </c>
      <c r="S426" s="22">
        <f t="shared" si="12"/>
        <v>7.6131687242798343E-4</v>
      </c>
    </row>
    <row r="427" spans="1:19" ht="16">
      <c r="A427" s="19" t="s">
        <v>329</v>
      </c>
      <c r="B427" s="87">
        <v>222111111222</v>
      </c>
      <c r="C427" s="87" t="s">
        <v>30</v>
      </c>
      <c r="D427" s="81">
        <v>0.25</v>
      </c>
      <c r="E427" s="82">
        <v>12</v>
      </c>
      <c r="F427" s="82">
        <v>6</v>
      </c>
      <c r="G427" s="82">
        <v>18</v>
      </c>
      <c r="H427" s="21">
        <v>5.7573999999999996</v>
      </c>
      <c r="I427" s="4">
        <v>1E-3</v>
      </c>
      <c r="J427" s="20">
        <v>-32.0137</v>
      </c>
      <c r="K427" s="4">
        <v>1.1000000000000001E-3</v>
      </c>
      <c r="L427" s="4">
        <v>2.4E-2</v>
      </c>
      <c r="M427" s="4">
        <v>1.2999999999999999E-2</v>
      </c>
      <c r="N427" s="4">
        <v>-6.4000000000000003E-3</v>
      </c>
      <c r="O427" s="4">
        <v>2.0000000000000001E-4</v>
      </c>
      <c r="P427" s="4">
        <v>131.6</v>
      </c>
      <c r="Q427" s="4">
        <v>0.19</v>
      </c>
      <c r="R427" s="20">
        <f t="shared" si="11"/>
        <v>0.2707818930041152</v>
      </c>
      <c r="S427" s="22">
        <f t="shared" si="12"/>
        <v>3.9094650205761324E-4</v>
      </c>
    </row>
    <row r="428" spans="1:19" ht="16">
      <c r="A428" s="23" t="s">
        <v>329</v>
      </c>
      <c r="B428" s="90">
        <v>222111111222</v>
      </c>
      <c r="C428" s="90" t="s">
        <v>30</v>
      </c>
      <c r="D428" s="83">
        <v>0.5</v>
      </c>
      <c r="E428" s="82">
        <v>12</v>
      </c>
      <c r="F428" s="82">
        <v>6</v>
      </c>
      <c r="G428" s="82">
        <v>18</v>
      </c>
      <c r="H428" s="24">
        <v>5.03</v>
      </c>
      <c r="I428" s="4">
        <v>1E-3</v>
      </c>
      <c r="J428" s="4">
        <v>-27.756799999999998</v>
      </c>
      <c r="K428" s="4">
        <v>5.9999999999999995E-4</v>
      </c>
      <c r="L428" s="4">
        <v>2.5999999999999999E-2</v>
      </c>
      <c r="M428" s="4">
        <v>8.0000000000000002E-3</v>
      </c>
      <c r="N428" s="4">
        <v>-8.6999999999999994E-3</v>
      </c>
      <c r="O428" s="4">
        <v>2.9999999999999997E-4</v>
      </c>
      <c r="P428" s="4">
        <v>125.9</v>
      </c>
      <c r="Q428" s="4">
        <v>0.16</v>
      </c>
      <c r="R428" s="4">
        <f t="shared" si="11"/>
        <v>0.25905349794238686</v>
      </c>
      <c r="S428" s="22">
        <f t="shared" si="12"/>
        <v>3.2921810699588475E-4</v>
      </c>
    </row>
    <row r="429" spans="1:19" ht="16">
      <c r="A429" s="28" t="s">
        <v>329</v>
      </c>
      <c r="B429" s="93">
        <v>222111111222</v>
      </c>
      <c r="C429" s="93" t="s">
        <v>30</v>
      </c>
      <c r="D429" s="85">
        <v>0.75</v>
      </c>
      <c r="E429" s="82">
        <v>12</v>
      </c>
      <c r="F429" s="82">
        <v>6</v>
      </c>
      <c r="G429" s="82">
        <v>18</v>
      </c>
      <c r="H429" s="29">
        <v>4.3917000000000002</v>
      </c>
      <c r="I429" s="4">
        <v>2.9999999999999997E-4</v>
      </c>
      <c r="J429" s="29">
        <v>-24.282399999999999</v>
      </c>
      <c r="K429" s="4">
        <v>8.9999999999999998E-4</v>
      </c>
      <c r="L429" s="4">
        <v>2.7E-2</v>
      </c>
      <c r="M429" s="4">
        <v>6.0000000000000001E-3</v>
      </c>
      <c r="N429" s="4">
        <v>-1.35E-2</v>
      </c>
      <c r="O429" s="4">
        <v>2.9999999999999997E-4</v>
      </c>
      <c r="P429" s="4">
        <v>111.02</v>
      </c>
      <c r="Q429" s="4">
        <v>0.25</v>
      </c>
      <c r="R429" s="29">
        <f t="shared" si="11"/>
        <v>0.22843621399176955</v>
      </c>
      <c r="S429" s="22">
        <f t="shared" si="12"/>
        <v>5.1440329218107E-4</v>
      </c>
    </row>
    <row r="430" spans="1:19" ht="16">
      <c r="A430" s="19" t="s">
        <v>330</v>
      </c>
      <c r="B430" s="87">
        <v>111222222111</v>
      </c>
      <c r="C430" s="87" t="s">
        <v>19</v>
      </c>
      <c r="D430" s="81">
        <v>0.25</v>
      </c>
      <c r="E430" s="82">
        <v>12</v>
      </c>
      <c r="F430" s="82">
        <v>6</v>
      </c>
      <c r="G430" s="82">
        <v>18</v>
      </c>
      <c r="H430" s="21">
        <v>5.6059999999999999</v>
      </c>
      <c r="I430" s="4">
        <v>1E-4</v>
      </c>
      <c r="J430" s="20">
        <v>-32.134900000000002</v>
      </c>
      <c r="K430" s="4">
        <v>1.1000000000000001E-3</v>
      </c>
      <c r="L430" s="4">
        <v>5.3999999999999999E-2</v>
      </c>
      <c r="M430" s="4">
        <v>8.0000000000000002E-3</v>
      </c>
      <c r="N430" s="4">
        <v>-7.1000000000000004E-3</v>
      </c>
      <c r="O430" s="4">
        <v>1E-4</v>
      </c>
      <c r="P430" s="4">
        <v>131.71</v>
      </c>
      <c r="Q430" s="4">
        <v>0.05</v>
      </c>
      <c r="R430" s="20">
        <f t="shared" si="11"/>
        <v>0.27100823045267491</v>
      </c>
      <c r="S430" s="22">
        <f t="shared" si="12"/>
        <v>1.02880658436214E-4</v>
      </c>
    </row>
    <row r="431" spans="1:19" ht="17" thickBot="1">
      <c r="A431" s="95" t="s">
        <v>330</v>
      </c>
      <c r="B431" s="64">
        <v>111222222111</v>
      </c>
      <c r="C431" s="64" t="s">
        <v>19</v>
      </c>
      <c r="D431" s="65">
        <v>0.5</v>
      </c>
      <c r="E431" s="72">
        <v>12</v>
      </c>
      <c r="F431" s="72">
        <v>6</v>
      </c>
      <c r="G431" s="72">
        <v>18</v>
      </c>
      <c r="H431" s="58">
        <v>4.6760999999999999</v>
      </c>
      <c r="I431" s="10">
        <v>2.9999999999999997E-4</v>
      </c>
      <c r="J431" s="10">
        <v>-28.239699999999999</v>
      </c>
      <c r="K431" s="10">
        <v>6.9999999999999999E-4</v>
      </c>
      <c r="L431" s="10">
        <v>0.17599999999999999</v>
      </c>
      <c r="M431" s="10">
        <v>6.0000000000000001E-3</v>
      </c>
      <c r="N431" s="10">
        <v>-1.2699999999999999E-2</v>
      </c>
      <c r="O431" s="10">
        <v>2.0000000000000001E-4</v>
      </c>
      <c r="P431" s="10">
        <v>120.76</v>
      </c>
      <c r="Q431" s="10">
        <v>0.27</v>
      </c>
      <c r="R431" s="10">
        <f t="shared" si="11"/>
        <v>0.24847736625514405</v>
      </c>
      <c r="S431" s="26">
        <f t="shared" si="12"/>
        <v>5.5555555555555556E-4</v>
      </c>
    </row>
    <row r="432" spans="1:19" ht="17" thickTop="1">
      <c r="A432" s="27" t="s">
        <v>331</v>
      </c>
      <c r="B432" s="73">
        <v>122122122112</v>
      </c>
      <c r="C432" s="73"/>
      <c r="D432" s="74">
        <v>0.25</v>
      </c>
      <c r="E432" s="69">
        <v>12</v>
      </c>
      <c r="F432" s="69">
        <v>7</v>
      </c>
      <c r="G432" s="69">
        <v>18</v>
      </c>
      <c r="H432" s="12">
        <v>5.9634</v>
      </c>
      <c r="I432" s="7">
        <v>5.0000000000000001E-4</v>
      </c>
      <c r="J432" s="5">
        <v>-33.699599999999997</v>
      </c>
      <c r="K432" s="7">
        <v>1.4E-3</v>
      </c>
      <c r="L432" s="7">
        <v>2.8000000000000001E-2</v>
      </c>
      <c r="M432" s="7">
        <v>5.0000000000000001E-3</v>
      </c>
      <c r="N432" s="7">
        <v>-6.3E-3</v>
      </c>
      <c r="O432" s="7">
        <v>1E-4</v>
      </c>
      <c r="P432" s="7">
        <v>132.78</v>
      </c>
      <c r="Q432" s="7">
        <v>0.11</v>
      </c>
      <c r="R432" s="5">
        <f t="shared" si="11"/>
        <v>0.27320987654320988</v>
      </c>
      <c r="S432" s="18">
        <f t="shared" si="12"/>
        <v>2.2633744855967078E-4</v>
      </c>
    </row>
    <row r="433" spans="1:19" ht="16">
      <c r="A433" s="23" t="s">
        <v>331</v>
      </c>
      <c r="B433" s="82">
        <v>122122122112</v>
      </c>
      <c r="C433" s="82"/>
      <c r="D433" s="83">
        <v>0.5</v>
      </c>
      <c r="E433" s="82">
        <v>12</v>
      </c>
      <c r="F433" s="82">
        <v>7</v>
      </c>
      <c r="G433" s="82">
        <v>18</v>
      </c>
      <c r="H433" s="24">
        <v>5.4238</v>
      </c>
      <c r="I433" s="4">
        <v>8.0000000000000004E-4</v>
      </c>
      <c r="J433" s="4">
        <v>-30.8935</v>
      </c>
      <c r="K433" s="4">
        <v>1.1000000000000001E-3</v>
      </c>
      <c r="L433" s="4">
        <v>4.3999999999999997E-2</v>
      </c>
      <c r="M433" s="4">
        <v>3.0000000000000001E-3</v>
      </c>
      <c r="N433" s="4">
        <v>-7.3000000000000001E-3</v>
      </c>
      <c r="O433" s="4">
        <v>2.0000000000000001E-4</v>
      </c>
      <c r="P433" s="4">
        <v>131.02000000000001</v>
      </c>
      <c r="Q433" s="4">
        <v>0.22</v>
      </c>
      <c r="R433" s="4">
        <f t="shared" si="11"/>
        <v>0.26958847736625519</v>
      </c>
      <c r="S433" s="22">
        <f t="shared" si="12"/>
        <v>4.5267489711934157E-4</v>
      </c>
    </row>
    <row r="434" spans="1:19" ht="16">
      <c r="A434" s="28" t="s">
        <v>331</v>
      </c>
      <c r="B434" s="84">
        <v>122122122112</v>
      </c>
      <c r="C434" s="84"/>
      <c r="D434" s="85">
        <v>0.75</v>
      </c>
      <c r="E434" s="82">
        <v>12</v>
      </c>
      <c r="F434" s="82">
        <v>7</v>
      </c>
      <c r="G434" s="82">
        <v>18</v>
      </c>
      <c r="H434" s="30">
        <v>4.8789999999999996</v>
      </c>
      <c r="I434" s="4">
        <v>2.9999999999999997E-4</v>
      </c>
      <c r="J434" s="29">
        <v>-28.287299999999998</v>
      </c>
      <c r="K434" s="4">
        <v>1.1999999999999999E-3</v>
      </c>
      <c r="L434" s="4">
        <v>6.4000000000000001E-2</v>
      </c>
      <c r="M434" s="4">
        <v>4.0000000000000001E-3</v>
      </c>
      <c r="N434" s="4">
        <v>-9.4000000000000004E-3</v>
      </c>
      <c r="O434" s="4">
        <v>1E-4</v>
      </c>
      <c r="P434" s="4">
        <v>126.5</v>
      </c>
      <c r="Q434" s="4">
        <v>0.11</v>
      </c>
      <c r="R434" s="29">
        <f t="shared" si="11"/>
        <v>0.26028806584362141</v>
      </c>
      <c r="S434" s="22">
        <f t="shared" si="12"/>
        <v>2.2633744855967078E-4</v>
      </c>
    </row>
    <row r="435" spans="1:19" ht="16">
      <c r="A435" s="33" t="s">
        <v>331</v>
      </c>
      <c r="B435" s="97">
        <v>122122122112</v>
      </c>
      <c r="C435" s="97"/>
      <c r="D435" s="98">
        <v>1</v>
      </c>
      <c r="E435" s="82">
        <v>12</v>
      </c>
      <c r="F435" s="82">
        <v>7</v>
      </c>
      <c r="G435" s="82">
        <v>18</v>
      </c>
      <c r="H435" s="34">
        <v>4.3255999999999997</v>
      </c>
      <c r="I435" s="4">
        <v>1E-3</v>
      </c>
      <c r="J435" s="34">
        <v>-26.008099999999999</v>
      </c>
      <c r="K435" s="4">
        <v>6.9999999999999999E-4</v>
      </c>
      <c r="L435" s="4">
        <v>0.13</v>
      </c>
      <c r="M435" s="4">
        <v>1.2999999999999999E-2</v>
      </c>
      <c r="N435" s="4">
        <v>-1.35E-2</v>
      </c>
      <c r="O435" s="4">
        <v>1E-4</v>
      </c>
      <c r="P435" s="4">
        <v>117.11</v>
      </c>
      <c r="Q435" s="4">
        <v>0.04</v>
      </c>
      <c r="R435" s="34">
        <f t="shared" si="11"/>
        <v>0.24096707818930041</v>
      </c>
      <c r="S435" s="22">
        <f t="shared" si="12"/>
        <v>8.2304526748971186E-5</v>
      </c>
    </row>
    <row r="436" spans="1:19" ht="16">
      <c r="A436" s="19" t="s">
        <v>332</v>
      </c>
      <c r="B436" s="80">
        <v>211222121122</v>
      </c>
      <c r="C436" s="80"/>
      <c r="D436" s="81">
        <v>0.25</v>
      </c>
      <c r="E436" s="82">
        <v>12</v>
      </c>
      <c r="F436" s="82">
        <v>7</v>
      </c>
      <c r="G436" s="82">
        <v>18</v>
      </c>
      <c r="H436" s="21">
        <v>6.0004</v>
      </c>
      <c r="I436" s="4">
        <v>4.0000000000000002E-4</v>
      </c>
      <c r="J436" s="20">
        <v>-33.708199999999998</v>
      </c>
      <c r="K436" s="4">
        <v>8.9999999999999998E-4</v>
      </c>
      <c r="L436" s="4">
        <v>2.3E-2</v>
      </c>
      <c r="M436" s="4">
        <v>2E-3</v>
      </c>
      <c r="N436" s="4">
        <v>-6.0000000000000001E-3</v>
      </c>
      <c r="O436" s="4">
        <v>1E-4</v>
      </c>
      <c r="P436" s="4">
        <v>132.69999999999999</v>
      </c>
      <c r="Q436" s="4">
        <v>0.11</v>
      </c>
      <c r="R436" s="20">
        <f t="shared" si="11"/>
        <v>0.27304526748971192</v>
      </c>
      <c r="S436" s="22">
        <f t="shared" si="12"/>
        <v>2.2633744855967078E-4</v>
      </c>
    </row>
    <row r="437" spans="1:19" ht="16">
      <c r="A437" s="23" t="s">
        <v>332</v>
      </c>
      <c r="B437" s="82">
        <v>211222121122</v>
      </c>
      <c r="C437" s="82"/>
      <c r="D437" s="83">
        <v>0.5</v>
      </c>
      <c r="E437" s="82">
        <v>12</v>
      </c>
      <c r="F437" s="82">
        <v>7</v>
      </c>
      <c r="G437" s="82">
        <v>18</v>
      </c>
      <c r="H437" s="24">
        <v>5.5003000000000002</v>
      </c>
      <c r="I437" s="4">
        <v>5.9999999999999995E-4</v>
      </c>
      <c r="J437" s="4">
        <v>-30.9282</v>
      </c>
      <c r="K437" s="4">
        <v>1.5E-3</v>
      </c>
      <c r="L437" s="4">
        <v>3.5000000000000003E-2</v>
      </c>
      <c r="M437" s="4">
        <v>6.0000000000000001E-3</v>
      </c>
      <c r="N437" s="4">
        <v>-7.0000000000000001E-3</v>
      </c>
      <c r="O437" s="4">
        <v>2.0000000000000001E-4</v>
      </c>
      <c r="P437" s="4">
        <v>130.52000000000001</v>
      </c>
      <c r="Q437" s="4">
        <v>0.14000000000000001</v>
      </c>
      <c r="R437" s="4">
        <f t="shared" si="11"/>
        <v>0.26855967078189302</v>
      </c>
      <c r="S437" s="22">
        <f t="shared" si="12"/>
        <v>2.8806584362139919E-4</v>
      </c>
    </row>
    <row r="438" spans="1:19" ht="16">
      <c r="A438" s="28" t="s">
        <v>332</v>
      </c>
      <c r="B438" s="84">
        <v>211222121122</v>
      </c>
      <c r="C438" s="84"/>
      <c r="D438" s="85">
        <v>0.75</v>
      </c>
      <c r="E438" s="82">
        <v>12</v>
      </c>
      <c r="F438" s="82">
        <v>7</v>
      </c>
      <c r="G438" s="82">
        <v>18</v>
      </c>
      <c r="H438" s="30">
        <v>5.0011000000000001</v>
      </c>
      <c r="I438" s="4">
        <v>1E-3</v>
      </c>
      <c r="J438" s="29">
        <v>-28.367000000000001</v>
      </c>
      <c r="K438" s="4">
        <v>1E-3</v>
      </c>
      <c r="L438" s="4">
        <v>3.7999999999999999E-2</v>
      </c>
      <c r="M438" s="4">
        <v>6.0000000000000001E-3</v>
      </c>
      <c r="N438" s="4">
        <v>-9.2999999999999992E-3</v>
      </c>
      <c r="O438" s="4">
        <v>5.9999999999999995E-4</v>
      </c>
      <c r="P438" s="4">
        <v>125.31</v>
      </c>
      <c r="Q438" s="4">
        <v>0.49</v>
      </c>
      <c r="R438" s="29">
        <f t="shared" si="11"/>
        <v>0.25783950617283952</v>
      </c>
      <c r="S438" s="22">
        <f t="shared" si="12"/>
        <v>1.0082304526748971E-3</v>
      </c>
    </row>
    <row r="439" spans="1:19" ht="16">
      <c r="A439" s="19" t="s">
        <v>333</v>
      </c>
      <c r="B439" s="80">
        <v>211121221222</v>
      </c>
      <c r="C439" s="80"/>
      <c r="D439" s="81">
        <v>0.25</v>
      </c>
      <c r="E439" s="82">
        <v>12</v>
      </c>
      <c r="F439" s="82">
        <v>7</v>
      </c>
      <c r="G439" s="82">
        <v>18</v>
      </c>
      <c r="H439" s="21">
        <v>6.0029000000000003</v>
      </c>
      <c r="I439" s="4">
        <v>8.9999999999999998E-4</v>
      </c>
      <c r="J439" s="20">
        <v>-33.8324</v>
      </c>
      <c r="K439" s="4">
        <v>1.9E-3</v>
      </c>
      <c r="L439" s="4">
        <v>3.2000000000000001E-2</v>
      </c>
      <c r="M439" s="4">
        <v>4.0000000000000001E-3</v>
      </c>
      <c r="N439" s="4">
        <v>-6.4999999999999997E-3</v>
      </c>
      <c r="O439" s="4">
        <v>2.0000000000000001E-4</v>
      </c>
      <c r="P439" s="4">
        <v>131.97</v>
      </c>
      <c r="Q439" s="4">
        <v>0.25</v>
      </c>
      <c r="R439" s="20">
        <f t="shared" si="11"/>
        <v>0.27154320987654318</v>
      </c>
      <c r="S439" s="22">
        <f t="shared" si="12"/>
        <v>5.1440329218107E-4</v>
      </c>
    </row>
    <row r="440" spans="1:19" ht="16">
      <c r="A440" s="23" t="s">
        <v>333</v>
      </c>
      <c r="B440" s="82">
        <v>211121221222</v>
      </c>
      <c r="C440" s="82"/>
      <c r="D440" s="83">
        <v>0.5</v>
      </c>
      <c r="E440" s="82">
        <v>12</v>
      </c>
      <c r="F440" s="82">
        <v>7</v>
      </c>
      <c r="G440" s="82">
        <v>18</v>
      </c>
      <c r="H440" s="24">
        <v>5.4964000000000004</v>
      </c>
      <c r="I440" s="4">
        <v>1E-3</v>
      </c>
      <c r="J440" s="4">
        <v>-31.2683</v>
      </c>
      <c r="K440" s="4">
        <v>2.3E-3</v>
      </c>
      <c r="L440" s="4">
        <v>3.5000000000000003E-2</v>
      </c>
      <c r="M440" s="4">
        <v>6.0000000000000001E-3</v>
      </c>
      <c r="N440" s="4">
        <v>-8.0000000000000002E-3</v>
      </c>
      <c r="O440" s="4">
        <v>2.0000000000000001E-4</v>
      </c>
      <c r="P440" s="4">
        <v>127.67</v>
      </c>
      <c r="Q440" s="4">
        <v>0.19</v>
      </c>
      <c r="R440" s="4">
        <f t="shared" si="11"/>
        <v>0.26269547325102882</v>
      </c>
      <c r="S440" s="22">
        <f t="shared" si="12"/>
        <v>3.9094650205761324E-4</v>
      </c>
    </row>
    <row r="441" spans="1:19" ht="16">
      <c r="A441" s="28" t="s">
        <v>333</v>
      </c>
      <c r="B441" s="84">
        <v>211121221222</v>
      </c>
      <c r="C441" s="84"/>
      <c r="D441" s="85">
        <v>0.75</v>
      </c>
      <c r="E441" s="82">
        <v>12</v>
      </c>
      <c r="F441" s="82">
        <v>7</v>
      </c>
      <c r="G441" s="82">
        <v>18</v>
      </c>
      <c r="H441" s="30">
        <v>4.9745999999999997</v>
      </c>
      <c r="I441" s="4">
        <v>6.9999999999999999E-4</v>
      </c>
      <c r="J441" s="29">
        <v>-29.107800000000001</v>
      </c>
      <c r="K441" s="4">
        <v>1.8E-3</v>
      </c>
      <c r="L441" s="4">
        <v>0.113</v>
      </c>
      <c r="M441" s="4">
        <v>8.9999999999999993E-3</v>
      </c>
      <c r="N441" s="4">
        <v>-1.3599999999999999E-2</v>
      </c>
      <c r="O441" s="4">
        <v>2.0000000000000001E-4</v>
      </c>
      <c r="P441" s="4">
        <v>114.53</v>
      </c>
      <c r="Q441" s="4">
        <v>0.26</v>
      </c>
      <c r="R441" s="29">
        <f t="shared" si="11"/>
        <v>0.2356584362139918</v>
      </c>
      <c r="S441" s="22">
        <f t="shared" si="12"/>
        <v>5.3497942386831272E-4</v>
      </c>
    </row>
    <row r="442" spans="1:19" ht="16">
      <c r="A442" s="19" t="s">
        <v>334</v>
      </c>
      <c r="B442" s="80">
        <v>121212121222</v>
      </c>
      <c r="C442" s="80"/>
      <c r="D442" s="81">
        <v>0.25</v>
      </c>
      <c r="E442" s="82">
        <v>12</v>
      </c>
      <c r="F442" s="82">
        <v>7</v>
      </c>
      <c r="G442" s="82">
        <v>18</v>
      </c>
      <c r="H442" s="21">
        <v>5.9856999999999996</v>
      </c>
      <c r="I442" s="4">
        <v>5.9999999999999995E-4</v>
      </c>
      <c r="J442" s="20">
        <v>-33.847900000000003</v>
      </c>
      <c r="K442" s="4">
        <v>8.9999999999999998E-4</v>
      </c>
      <c r="L442" s="4">
        <v>2.8000000000000001E-2</v>
      </c>
      <c r="M442" s="4">
        <v>4.0000000000000001E-3</v>
      </c>
      <c r="N442" s="4">
        <v>-6.1000000000000004E-3</v>
      </c>
      <c r="O442" s="4">
        <v>1E-4</v>
      </c>
      <c r="P442" s="4">
        <v>132.56</v>
      </c>
      <c r="Q442" s="4">
        <v>0.09</v>
      </c>
      <c r="R442" s="20">
        <f t="shared" si="11"/>
        <v>0.27275720164609052</v>
      </c>
      <c r="S442" s="22">
        <f t="shared" si="12"/>
        <v>1.851851851851852E-4</v>
      </c>
    </row>
    <row r="443" spans="1:19" ht="16">
      <c r="A443" s="23" t="s">
        <v>334</v>
      </c>
      <c r="B443" s="82">
        <v>121212121222</v>
      </c>
      <c r="C443" s="82"/>
      <c r="D443" s="83">
        <v>0.5</v>
      </c>
      <c r="E443" s="82">
        <v>12</v>
      </c>
      <c r="F443" s="82">
        <v>7</v>
      </c>
      <c r="G443" s="82">
        <v>18</v>
      </c>
      <c r="H443" s="24">
        <v>5.4641000000000002</v>
      </c>
      <c r="I443" s="4">
        <v>8.9999999999999998E-4</v>
      </c>
      <c r="J443" s="4">
        <v>-31.2225</v>
      </c>
      <c r="K443" s="4">
        <v>2.3999999999999998E-3</v>
      </c>
      <c r="L443" s="4">
        <v>3.6999999999999998E-2</v>
      </c>
      <c r="M443" s="4">
        <v>2E-3</v>
      </c>
      <c r="N443" s="4">
        <v>-7.9000000000000008E-3</v>
      </c>
      <c r="O443" s="4">
        <v>2.0000000000000001E-4</v>
      </c>
      <c r="P443" s="4">
        <v>129.22999999999999</v>
      </c>
      <c r="Q443" s="4">
        <v>0.08</v>
      </c>
      <c r="R443" s="4">
        <f t="shared" si="11"/>
        <v>0.26590534979423863</v>
      </c>
      <c r="S443" s="22">
        <f t="shared" si="12"/>
        <v>1.6460905349794237E-4</v>
      </c>
    </row>
    <row r="444" spans="1:19" ht="16">
      <c r="A444" s="28" t="s">
        <v>334</v>
      </c>
      <c r="B444" s="84">
        <v>121212121222</v>
      </c>
      <c r="C444" s="84"/>
      <c r="D444" s="85">
        <v>0.75</v>
      </c>
      <c r="E444" s="82">
        <v>12</v>
      </c>
      <c r="F444" s="82">
        <v>7</v>
      </c>
      <c r="G444" s="82">
        <v>18</v>
      </c>
      <c r="H444" s="30">
        <v>4.9297000000000004</v>
      </c>
      <c r="I444" s="4">
        <v>5.9999999999999995E-4</v>
      </c>
      <c r="J444" s="29">
        <v>-28.8447</v>
      </c>
      <c r="K444" s="4">
        <v>1.2999999999999999E-3</v>
      </c>
      <c r="L444" s="4">
        <v>8.6999999999999994E-2</v>
      </c>
      <c r="M444" s="4">
        <v>0.01</v>
      </c>
      <c r="N444" s="4">
        <v>-1.0999999999999999E-2</v>
      </c>
      <c r="O444" s="4">
        <v>2.0000000000000001E-4</v>
      </c>
      <c r="P444" s="4">
        <v>121.9</v>
      </c>
      <c r="Q444" s="4">
        <v>0.18</v>
      </c>
      <c r="R444" s="29">
        <f t="shared" si="11"/>
        <v>0.25082304526748972</v>
      </c>
      <c r="S444" s="22">
        <f t="shared" si="12"/>
        <v>3.7037037037037041E-4</v>
      </c>
    </row>
    <row r="445" spans="1:19" ht="16">
      <c r="A445" s="33" t="s">
        <v>334</v>
      </c>
      <c r="B445" s="97">
        <v>121212121222</v>
      </c>
      <c r="C445" s="97"/>
      <c r="D445" s="98">
        <v>1</v>
      </c>
      <c r="E445" s="82">
        <v>12</v>
      </c>
      <c r="F445" s="82">
        <v>7</v>
      </c>
      <c r="G445" s="82">
        <v>18</v>
      </c>
      <c r="H445" s="34">
        <v>4.3613</v>
      </c>
      <c r="I445" s="4">
        <v>8.9999999999999998E-4</v>
      </c>
      <c r="J445" s="34">
        <v>-26.923300000000001</v>
      </c>
      <c r="K445" s="4">
        <v>1.2999999999999999E-3</v>
      </c>
      <c r="L445" s="4">
        <v>0.14699999999999999</v>
      </c>
      <c r="M445" s="4">
        <v>1.2E-2</v>
      </c>
      <c r="N445" s="4">
        <v>-1.9699999999999999E-2</v>
      </c>
      <c r="O445" s="4">
        <v>2.0000000000000001E-4</v>
      </c>
      <c r="P445" s="4">
        <v>102.4</v>
      </c>
      <c r="Q445" s="4">
        <v>0.28000000000000003</v>
      </c>
      <c r="R445" s="34">
        <f t="shared" si="11"/>
        <v>0.21069958847736628</v>
      </c>
      <c r="S445" s="22">
        <f t="shared" si="12"/>
        <v>5.7613168724279839E-4</v>
      </c>
    </row>
    <row r="446" spans="1:19" ht="16">
      <c r="A446" s="19" t="s">
        <v>335</v>
      </c>
      <c r="B446" s="80">
        <v>211211222122</v>
      </c>
      <c r="C446" s="80"/>
      <c r="D446" s="81">
        <v>0.25</v>
      </c>
      <c r="E446" s="82">
        <v>12</v>
      </c>
      <c r="F446" s="82">
        <v>7</v>
      </c>
      <c r="G446" s="82">
        <v>18</v>
      </c>
      <c r="H446" s="21">
        <v>6.0019999999999998</v>
      </c>
      <c r="I446" s="4">
        <v>4.0000000000000002E-4</v>
      </c>
      <c r="J446" s="20">
        <v>-33.771599999999999</v>
      </c>
      <c r="K446" s="4">
        <v>6.9999999999999999E-4</v>
      </c>
      <c r="L446" s="4">
        <v>2.1999999999999999E-2</v>
      </c>
      <c r="M446" s="4">
        <v>4.0000000000000001E-3</v>
      </c>
      <c r="N446" s="4">
        <v>-6.1000000000000004E-3</v>
      </c>
      <c r="O446" s="4">
        <v>1E-4</v>
      </c>
      <c r="P446" s="4">
        <v>132.38999999999999</v>
      </c>
      <c r="Q446" s="4">
        <v>0.1</v>
      </c>
      <c r="R446" s="20">
        <f t="shared" si="11"/>
        <v>0.27240740740740738</v>
      </c>
      <c r="S446" s="22">
        <f t="shared" si="12"/>
        <v>2.0576131687242801E-4</v>
      </c>
    </row>
    <row r="447" spans="1:19" ht="16">
      <c r="A447" s="23" t="s">
        <v>335</v>
      </c>
      <c r="B447" s="82">
        <v>211211222122</v>
      </c>
      <c r="C447" s="82"/>
      <c r="D447" s="83">
        <v>0.5</v>
      </c>
      <c r="E447" s="82">
        <v>12</v>
      </c>
      <c r="F447" s="82">
        <v>7</v>
      </c>
      <c r="G447" s="82">
        <v>18</v>
      </c>
      <c r="H447" s="24">
        <v>5.4969000000000001</v>
      </c>
      <c r="I447" s="4">
        <v>8.0000000000000004E-4</v>
      </c>
      <c r="J447" s="4">
        <v>-31.101400000000002</v>
      </c>
      <c r="K447" s="4">
        <v>2.8999999999999998E-3</v>
      </c>
      <c r="L447" s="4">
        <v>4.4999999999999998E-2</v>
      </c>
      <c r="M447" s="4">
        <v>2E-3</v>
      </c>
      <c r="N447" s="4">
        <v>-7.7999999999999996E-3</v>
      </c>
      <c r="O447" s="4">
        <v>4.0000000000000002E-4</v>
      </c>
      <c r="P447" s="4">
        <v>128.68</v>
      </c>
      <c r="Q447" s="4">
        <v>0.36</v>
      </c>
      <c r="R447" s="4">
        <f t="shared" si="11"/>
        <v>0.26477366255144036</v>
      </c>
      <c r="S447" s="22">
        <f t="shared" si="12"/>
        <v>7.4074074074074081E-4</v>
      </c>
    </row>
    <row r="448" spans="1:19" ht="16">
      <c r="A448" s="28" t="s">
        <v>335</v>
      </c>
      <c r="B448" s="84">
        <v>211211222122</v>
      </c>
      <c r="C448" s="84"/>
      <c r="D448" s="85">
        <v>0.75</v>
      </c>
      <c r="E448" s="82">
        <v>12</v>
      </c>
      <c r="F448" s="82">
        <v>7</v>
      </c>
      <c r="G448" s="82">
        <v>18</v>
      </c>
      <c r="H448" s="30">
        <v>4.9823000000000004</v>
      </c>
      <c r="I448" s="4">
        <v>4.0000000000000002E-4</v>
      </c>
      <c r="J448" s="29">
        <v>-28.735800000000001</v>
      </c>
      <c r="K448" s="4">
        <v>1.6999999999999999E-3</v>
      </c>
      <c r="L448" s="4">
        <v>8.6999999999999994E-2</v>
      </c>
      <c r="M448" s="4">
        <v>1.6E-2</v>
      </c>
      <c r="N448" s="4">
        <v>-1.1599999999999999E-2</v>
      </c>
      <c r="O448" s="4">
        <v>4.0000000000000002E-4</v>
      </c>
      <c r="P448" s="4">
        <v>120.07</v>
      </c>
      <c r="Q448" s="4">
        <v>0.41</v>
      </c>
      <c r="R448" s="29">
        <f t="shared" si="11"/>
        <v>0.24705761316872427</v>
      </c>
      <c r="S448" s="22">
        <f t="shared" si="12"/>
        <v>8.4362139917695475E-4</v>
      </c>
    </row>
    <row r="449" spans="1:19" ht="16">
      <c r="A449" s="33" t="s">
        <v>335</v>
      </c>
      <c r="B449" s="97">
        <v>211211222122</v>
      </c>
      <c r="C449" s="97"/>
      <c r="D449" s="98">
        <v>1</v>
      </c>
      <c r="E449" s="82">
        <v>12</v>
      </c>
      <c r="F449" s="82">
        <v>7</v>
      </c>
      <c r="G449" s="82">
        <v>18</v>
      </c>
      <c r="H449" s="34">
        <v>4.45</v>
      </c>
      <c r="I449" s="4">
        <v>4.0000000000000002E-4</v>
      </c>
      <c r="J449" s="34">
        <v>-26.9316</v>
      </c>
      <c r="K449" s="4">
        <v>6.9999999999999999E-4</v>
      </c>
      <c r="L449" s="4">
        <v>0.124</v>
      </c>
      <c r="M449" s="4">
        <v>0.01</v>
      </c>
      <c r="N449" s="4">
        <v>-1.9400000000000001E-2</v>
      </c>
      <c r="O449" s="4">
        <v>2.0000000000000001E-4</v>
      </c>
      <c r="P449" s="4">
        <v>100.2</v>
      </c>
      <c r="Q449" s="4">
        <v>0.28999999999999998</v>
      </c>
      <c r="R449" s="34">
        <f t="shared" si="11"/>
        <v>0.20617283950617285</v>
      </c>
      <c r="S449" s="22">
        <f t="shared" si="12"/>
        <v>5.9670781893004111E-4</v>
      </c>
    </row>
    <row r="450" spans="1:19" ht="16">
      <c r="A450" s="19" t="s">
        <v>336</v>
      </c>
      <c r="B450" s="80">
        <v>211212211222</v>
      </c>
      <c r="C450" s="80"/>
      <c r="D450" s="81">
        <v>0.25</v>
      </c>
      <c r="E450" s="82">
        <v>12</v>
      </c>
      <c r="F450" s="82">
        <v>7</v>
      </c>
      <c r="G450" s="82">
        <v>18</v>
      </c>
      <c r="H450" s="21">
        <v>6.0095000000000001</v>
      </c>
      <c r="I450" s="4">
        <v>5.9999999999999995E-4</v>
      </c>
      <c r="J450" s="20">
        <v>-33.720300000000002</v>
      </c>
      <c r="K450" s="4">
        <v>1.8E-3</v>
      </c>
      <c r="L450" s="4">
        <v>2.4E-2</v>
      </c>
      <c r="M450" s="4">
        <v>3.0000000000000001E-3</v>
      </c>
      <c r="N450" s="4">
        <v>-6.0000000000000001E-3</v>
      </c>
      <c r="O450" s="4">
        <v>2.0000000000000001E-4</v>
      </c>
      <c r="P450" s="4">
        <v>132.53</v>
      </c>
      <c r="Q450" s="4">
        <v>0.23</v>
      </c>
      <c r="R450" s="20">
        <f t="shared" si="11"/>
        <v>0.27269547325102883</v>
      </c>
      <c r="S450" s="22">
        <f t="shared" si="12"/>
        <v>4.732510288065844E-4</v>
      </c>
    </row>
    <row r="451" spans="1:19" ht="16">
      <c r="A451" s="23" t="s">
        <v>336</v>
      </c>
      <c r="B451" s="82">
        <v>211212211222</v>
      </c>
      <c r="C451" s="82"/>
      <c r="D451" s="83">
        <v>0.5</v>
      </c>
      <c r="E451" s="82">
        <v>12</v>
      </c>
      <c r="F451" s="82">
        <v>7</v>
      </c>
      <c r="G451" s="82">
        <v>18</v>
      </c>
      <c r="H451" s="24">
        <v>5.5141999999999998</v>
      </c>
      <c r="I451" s="4">
        <v>5.0000000000000001E-4</v>
      </c>
      <c r="J451" s="4">
        <v>-30.974799999999998</v>
      </c>
      <c r="K451" s="4">
        <v>1.1999999999999999E-3</v>
      </c>
      <c r="L451" s="4">
        <v>2.1999999999999999E-2</v>
      </c>
      <c r="M451" s="4">
        <v>4.0000000000000001E-3</v>
      </c>
      <c r="N451" s="4">
        <v>-7.3000000000000001E-3</v>
      </c>
      <c r="O451" s="4">
        <v>2.0000000000000001E-4</v>
      </c>
      <c r="P451" s="4">
        <v>129.51</v>
      </c>
      <c r="Q451" s="4">
        <v>0.15</v>
      </c>
      <c r="R451" s="4">
        <f t="shared" si="11"/>
        <v>0.26648148148148149</v>
      </c>
      <c r="S451" s="22">
        <f t="shared" si="12"/>
        <v>3.0864197530864197E-4</v>
      </c>
    </row>
    <row r="452" spans="1:19" ht="16">
      <c r="A452" s="28" t="s">
        <v>336</v>
      </c>
      <c r="B452" s="84">
        <v>211212211222</v>
      </c>
      <c r="C452" s="84"/>
      <c r="D452" s="85">
        <v>0.75</v>
      </c>
      <c r="E452" s="82">
        <v>12</v>
      </c>
      <c r="F452" s="82">
        <v>7</v>
      </c>
      <c r="G452" s="82">
        <v>18</v>
      </c>
      <c r="H452" s="30">
        <v>5.0156000000000001</v>
      </c>
      <c r="I452" s="4">
        <v>4.0000000000000002E-4</v>
      </c>
      <c r="J452" s="29">
        <v>-28.481100000000001</v>
      </c>
      <c r="K452" s="4">
        <v>1.6000000000000001E-3</v>
      </c>
      <c r="L452" s="4">
        <v>4.9000000000000002E-2</v>
      </c>
      <c r="M452" s="4">
        <v>8.0000000000000002E-3</v>
      </c>
      <c r="N452" s="4">
        <v>-9.9000000000000008E-3</v>
      </c>
      <c r="O452" s="4">
        <v>4.0000000000000002E-4</v>
      </c>
      <c r="P452" s="4">
        <v>123.07</v>
      </c>
      <c r="Q452" s="4">
        <v>0.3</v>
      </c>
      <c r="R452" s="29">
        <f t="shared" si="11"/>
        <v>0.25323045267489713</v>
      </c>
      <c r="S452" s="22">
        <f t="shared" si="12"/>
        <v>6.1728395061728394E-4</v>
      </c>
    </row>
    <row r="453" spans="1:19" ht="16">
      <c r="A453" s="33" t="s">
        <v>336</v>
      </c>
      <c r="B453" s="97">
        <v>211212211222</v>
      </c>
      <c r="C453" s="97"/>
      <c r="D453" s="98">
        <v>1</v>
      </c>
      <c r="E453" s="82">
        <v>12</v>
      </c>
      <c r="F453" s="82">
        <v>7</v>
      </c>
      <c r="G453" s="82">
        <v>18</v>
      </c>
      <c r="H453" s="34">
        <v>4.5155000000000003</v>
      </c>
      <c r="I453" s="4">
        <v>8.9999999999999998E-4</v>
      </c>
      <c r="J453" s="34">
        <v>-26.413399999999999</v>
      </c>
      <c r="K453" s="4">
        <v>1.6000000000000001E-3</v>
      </c>
      <c r="L453" s="4">
        <v>0.1</v>
      </c>
      <c r="M453" s="4">
        <v>8.9999999999999993E-3</v>
      </c>
      <c r="N453" s="4">
        <v>-1.55E-2</v>
      </c>
      <c r="O453" s="4">
        <v>1E-4</v>
      </c>
      <c r="P453" s="4">
        <v>109.08</v>
      </c>
      <c r="Q453" s="4">
        <v>0.14000000000000001</v>
      </c>
      <c r="R453" s="34">
        <f t="shared" si="11"/>
        <v>0.22444444444444445</v>
      </c>
      <c r="S453" s="22">
        <f t="shared" si="12"/>
        <v>2.8806584362139919E-4</v>
      </c>
    </row>
    <row r="454" spans="1:19" ht="16">
      <c r="A454" s="19" t="s">
        <v>337</v>
      </c>
      <c r="B454" s="80">
        <v>212112211222</v>
      </c>
      <c r="C454" s="80"/>
      <c r="D454" s="81">
        <v>0.25</v>
      </c>
      <c r="E454" s="82">
        <v>12</v>
      </c>
      <c r="F454" s="82">
        <v>7</v>
      </c>
      <c r="G454" s="82">
        <v>18</v>
      </c>
      <c r="H454" s="21">
        <v>6.0174000000000003</v>
      </c>
      <c r="I454" s="4">
        <v>6.9999999999999999E-4</v>
      </c>
      <c r="J454" s="20">
        <v>-33.699800000000003</v>
      </c>
      <c r="K454" s="4">
        <v>6.9999999999999999E-4</v>
      </c>
      <c r="L454" s="4">
        <v>2.1999999999999999E-2</v>
      </c>
      <c r="M454" s="4">
        <v>4.0000000000000001E-3</v>
      </c>
      <c r="N454" s="4">
        <v>-6.0000000000000001E-3</v>
      </c>
      <c r="O454" s="4">
        <v>1E-4</v>
      </c>
      <c r="P454" s="4">
        <v>132.54</v>
      </c>
      <c r="Q454" s="4">
        <v>0.16</v>
      </c>
      <c r="R454" s="20">
        <f t="shared" si="11"/>
        <v>0.27271604938271604</v>
      </c>
      <c r="S454" s="22">
        <f t="shared" si="12"/>
        <v>3.2921810699588475E-4</v>
      </c>
    </row>
    <row r="455" spans="1:19" ht="16">
      <c r="A455" s="23" t="s">
        <v>337</v>
      </c>
      <c r="B455" s="82">
        <v>212112211222</v>
      </c>
      <c r="C455" s="82"/>
      <c r="D455" s="83">
        <v>0.5</v>
      </c>
      <c r="E455" s="82">
        <v>12</v>
      </c>
      <c r="F455" s="82">
        <v>7</v>
      </c>
      <c r="G455" s="82">
        <v>18</v>
      </c>
      <c r="H455" s="24">
        <v>5.5305999999999997</v>
      </c>
      <c r="I455" s="4">
        <v>8.0000000000000004E-4</v>
      </c>
      <c r="J455" s="4">
        <v>-30.928999999999998</v>
      </c>
      <c r="K455" s="4">
        <v>8.9999999999999998E-4</v>
      </c>
      <c r="L455" s="4">
        <v>0.03</v>
      </c>
      <c r="M455" s="4">
        <v>1.4999999999999999E-2</v>
      </c>
      <c r="N455" s="4">
        <v>-7.1000000000000004E-3</v>
      </c>
      <c r="O455" s="4">
        <v>4.0000000000000002E-4</v>
      </c>
      <c r="P455" s="4">
        <v>129.77000000000001</v>
      </c>
      <c r="Q455" s="4">
        <v>0.34</v>
      </c>
      <c r="R455" s="4">
        <f t="shared" si="11"/>
        <v>0.26701646090534986</v>
      </c>
      <c r="S455" s="22">
        <f t="shared" si="12"/>
        <v>6.9958847736625515E-4</v>
      </c>
    </row>
    <row r="456" spans="1:19" ht="16">
      <c r="A456" s="28" t="s">
        <v>337</v>
      </c>
      <c r="B456" s="84">
        <v>212112211222</v>
      </c>
      <c r="C456" s="84"/>
      <c r="D456" s="85">
        <v>0.75</v>
      </c>
      <c r="E456" s="82">
        <v>12</v>
      </c>
      <c r="F456" s="82">
        <v>7</v>
      </c>
      <c r="G456" s="82">
        <v>18</v>
      </c>
      <c r="H456" s="30">
        <v>5.0439999999999996</v>
      </c>
      <c r="I456" s="4">
        <v>4.0000000000000002E-4</v>
      </c>
      <c r="J456" s="29">
        <v>-28.398800000000001</v>
      </c>
      <c r="K456" s="4">
        <v>5.0000000000000001E-4</v>
      </c>
      <c r="L456" s="4">
        <v>3.3000000000000002E-2</v>
      </c>
      <c r="M456" s="4">
        <v>4.0000000000000001E-3</v>
      </c>
      <c r="N456" s="4">
        <v>-9.2999999999999992E-3</v>
      </c>
      <c r="O456" s="4">
        <v>1E-4</v>
      </c>
      <c r="P456" s="4">
        <v>123.7</v>
      </c>
      <c r="Q456" s="4">
        <v>0.08</v>
      </c>
      <c r="R456" s="29">
        <f t="shared" si="11"/>
        <v>0.25452674897119343</v>
      </c>
      <c r="S456" s="22">
        <f t="shared" si="12"/>
        <v>1.6460905349794237E-4</v>
      </c>
    </row>
    <row r="457" spans="1:19" ht="16">
      <c r="A457" s="33" t="s">
        <v>337</v>
      </c>
      <c r="B457" s="97">
        <v>212112211222</v>
      </c>
      <c r="C457" s="97"/>
      <c r="D457" s="98">
        <v>1</v>
      </c>
      <c r="E457" s="82">
        <v>12</v>
      </c>
      <c r="F457" s="82">
        <v>7</v>
      </c>
      <c r="G457" s="82">
        <v>18</v>
      </c>
      <c r="H457" s="34">
        <v>4.5637999999999996</v>
      </c>
      <c r="I457" s="4">
        <v>8.0000000000000004E-4</v>
      </c>
      <c r="J457" s="34">
        <v>-26.258299999999998</v>
      </c>
      <c r="K457" s="4">
        <v>1.1999999999999999E-3</v>
      </c>
      <c r="L457" s="4">
        <v>7.1999999999999995E-2</v>
      </c>
      <c r="M457" s="4">
        <v>1.9E-2</v>
      </c>
      <c r="N457" s="4">
        <v>-1.3899999999999999E-2</v>
      </c>
      <c r="O457" s="4">
        <v>2.9999999999999997E-4</v>
      </c>
      <c r="P457" s="4">
        <v>111.56</v>
      </c>
      <c r="Q457" s="4">
        <v>0.32</v>
      </c>
      <c r="R457" s="34">
        <f t="shared" si="11"/>
        <v>0.22954732510288067</v>
      </c>
      <c r="S457" s="22">
        <f t="shared" si="12"/>
        <v>6.5843621399176949E-4</v>
      </c>
    </row>
    <row r="458" spans="1:19" ht="16">
      <c r="A458" s="19" t="s">
        <v>338</v>
      </c>
      <c r="B458" s="80">
        <v>212111222122</v>
      </c>
      <c r="C458" s="80"/>
      <c r="D458" s="81">
        <v>0.25</v>
      </c>
      <c r="E458" s="82">
        <v>12</v>
      </c>
      <c r="F458" s="82">
        <v>7</v>
      </c>
      <c r="G458" s="82">
        <v>18</v>
      </c>
      <c r="H458" s="21">
        <v>6.0101000000000004</v>
      </c>
      <c r="I458" s="4">
        <v>5.9999999999999995E-4</v>
      </c>
      <c r="J458" s="20">
        <v>-33.775700000000001</v>
      </c>
      <c r="K458" s="4">
        <v>2.2000000000000001E-3</v>
      </c>
      <c r="L458" s="4">
        <v>2.7E-2</v>
      </c>
      <c r="M458" s="4">
        <v>5.0000000000000001E-3</v>
      </c>
      <c r="N458" s="4">
        <v>-6.1999999999999998E-3</v>
      </c>
      <c r="O458" s="4">
        <v>1E-4</v>
      </c>
      <c r="P458" s="4">
        <v>132.22999999999999</v>
      </c>
      <c r="Q458" s="4">
        <v>0.18</v>
      </c>
      <c r="R458" s="20">
        <f t="shared" si="11"/>
        <v>0.2720781893004115</v>
      </c>
      <c r="S458" s="22">
        <f t="shared" si="12"/>
        <v>3.7037037037037041E-4</v>
      </c>
    </row>
    <row r="459" spans="1:19" ht="16">
      <c r="A459" s="23" t="s">
        <v>338</v>
      </c>
      <c r="B459" s="82">
        <v>212111222122</v>
      </c>
      <c r="C459" s="82"/>
      <c r="D459" s="83">
        <v>0.5</v>
      </c>
      <c r="E459" s="82">
        <v>12</v>
      </c>
      <c r="F459" s="82">
        <v>7</v>
      </c>
      <c r="G459" s="82">
        <v>18</v>
      </c>
      <c r="H459" s="24">
        <v>5.5151000000000003</v>
      </c>
      <c r="I459" s="4">
        <v>6.9999999999999999E-4</v>
      </c>
      <c r="J459" s="4">
        <v>-31.115400000000001</v>
      </c>
      <c r="K459" s="4">
        <v>8.9999999999999998E-4</v>
      </c>
      <c r="L459" s="4">
        <v>3.7999999999999999E-2</v>
      </c>
      <c r="M459" s="4">
        <v>8.9999999999999993E-3</v>
      </c>
      <c r="N459" s="4">
        <v>-7.4999999999999997E-3</v>
      </c>
      <c r="O459" s="4">
        <v>2.0000000000000001E-4</v>
      </c>
      <c r="P459" s="4">
        <v>128.75</v>
      </c>
      <c r="Q459" s="4">
        <v>0.11</v>
      </c>
      <c r="R459" s="4">
        <f t="shared" si="11"/>
        <v>0.264917695473251</v>
      </c>
      <c r="S459" s="22">
        <f t="shared" si="12"/>
        <v>2.2633744855967078E-4</v>
      </c>
    </row>
    <row r="460" spans="1:19" ht="16">
      <c r="A460" s="28" t="s">
        <v>338</v>
      </c>
      <c r="B460" s="84">
        <v>212111222122</v>
      </c>
      <c r="C460" s="84"/>
      <c r="D460" s="85">
        <v>0.75</v>
      </c>
      <c r="E460" s="82">
        <v>12</v>
      </c>
      <c r="F460" s="82">
        <v>7</v>
      </c>
      <c r="G460" s="82">
        <v>18</v>
      </c>
      <c r="H460" s="30">
        <v>5.0180999999999996</v>
      </c>
      <c r="I460" s="4">
        <v>1E-3</v>
      </c>
      <c r="J460" s="29">
        <v>-28.766300000000001</v>
      </c>
      <c r="K460" s="4">
        <v>2.0999999999999999E-3</v>
      </c>
      <c r="L460" s="4">
        <v>5.2999999999999999E-2</v>
      </c>
      <c r="M460" s="4">
        <v>4.0000000000000001E-3</v>
      </c>
      <c r="N460" s="4">
        <v>-1.0699999999999999E-2</v>
      </c>
      <c r="O460" s="4">
        <v>2.0000000000000001E-4</v>
      </c>
      <c r="P460" s="4">
        <v>120.51</v>
      </c>
      <c r="Q460" s="4">
        <v>0.15</v>
      </c>
      <c r="R460" s="29">
        <f t="shared" si="11"/>
        <v>0.247962962962963</v>
      </c>
      <c r="S460" s="22">
        <f t="shared" si="12"/>
        <v>3.0864197530864197E-4</v>
      </c>
    </row>
    <row r="461" spans="1:19" ht="16">
      <c r="A461" s="33" t="s">
        <v>338</v>
      </c>
      <c r="B461" s="97">
        <v>212111222122</v>
      </c>
      <c r="C461" s="97"/>
      <c r="D461" s="98">
        <v>1</v>
      </c>
      <c r="E461" s="82">
        <v>12</v>
      </c>
      <c r="F461" s="82">
        <v>7</v>
      </c>
      <c r="G461" s="82">
        <v>18</v>
      </c>
      <c r="H461" s="34">
        <v>4.5186999999999999</v>
      </c>
      <c r="I461" s="4">
        <v>8.9999999999999998E-4</v>
      </c>
      <c r="J461" s="34">
        <v>-26.9694</v>
      </c>
      <c r="K461" s="4">
        <v>2E-3</v>
      </c>
      <c r="L461" s="4">
        <v>0.126</v>
      </c>
      <c r="M461" s="4">
        <v>7.0000000000000001E-3</v>
      </c>
      <c r="N461" s="4">
        <v>-1.7899999999999999E-2</v>
      </c>
      <c r="O461" s="4">
        <v>4.0000000000000002E-4</v>
      </c>
      <c r="P461" s="4">
        <v>102.57</v>
      </c>
      <c r="Q461" s="4">
        <v>0.37</v>
      </c>
      <c r="R461" s="34">
        <f t="shared" si="11"/>
        <v>0.21104938271604937</v>
      </c>
      <c r="S461" s="22">
        <f t="shared" si="12"/>
        <v>7.6131687242798343E-4</v>
      </c>
    </row>
    <row r="462" spans="1:19" ht="16">
      <c r="A462" s="19" t="s">
        <v>339</v>
      </c>
      <c r="B462" s="80">
        <v>221211122122</v>
      </c>
      <c r="C462" s="80"/>
      <c r="D462" s="81">
        <v>0.25</v>
      </c>
      <c r="E462" s="82">
        <v>12</v>
      </c>
      <c r="F462" s="82">
        <v>7</v>
      </c>
      <c r="G462" s="82">
        <v>18</v>
      </c>
      <c r="H462" s="21">
        <v>6.0288000000000004</v>
      </c>
      <c r="I462" s="4">
        <v>8.0000000000000004E-4</v>
      </c>
      <c r="J462" s="20">
        <v>-33.7179</v>
      </c>
      <c r="K462" s="4">
        <v>1E-3</v>
      </c>
      <c r="L462" s="4">
        <v>2.8000000000000001E-2</v>
      </c>
      <c r="M462" s="4">
        <v>5.0000000000000001E-3</v>
      </c>
      <c r="N462" s="4">
        <v>-6.1000000000000004E-3</v>
      </c>
      <c r="O462" s="4">
        <v>2.0000000000000001E-4</v>
      </c>
      <c r="P462" s="4">
        <v>132.38999999999999</v>
      </c>
      <c r="Q462" s="4">
        <v>0.31</v>
      </c>
      <c r="R462" s="20">
        <f t="shared" si="11"/>
        <v>0.27240740740740738</v>
      </c>
      <c r="S462" s="22">
        <f t="shared" si="12"/>
        <v>6.3786008230452666E-4</v>
      </c>
    </row>
    <row r="463" spans="1:19" ht="16">
      <c r="A463" s="23" t="s">
        <v>339</v>
      </c>
      <c r="B463" s="82">
        <v>221211122122</v>
      </c>
      <c r="C463" s="82"/>
      <c r="D463" s="83">
        <v>0.5</v>
      </c>
      <c r="E463" s="82">
        <v>12</v>
      </c>
      <c r="F463" s="82">
        <v>7</v>
      </c>
      <c r="G463" s="82">
        <v>18</v>
      </c>
      <c r="H463" s="24">
        <v>5.5583</v>
      </c>
      <c r="I463" s="4">
        <v>1E-3</v>
      </c>
      <c r="J463" s="4">
        <v>-30.978999999999999</v>
      </c>
      <c r="K463" s="4">
        <v>2.0999999999999999E-3</v>
      </c>
      <c r="L463" s="4">
        <v>2.7E-2</v>
      </c>
      <c r="M463" s="4">
        <v>5.0000000000000001E-3</v>
      </c>
      <c r="N463" s="4">
        <v>-7.1999999999999998E-3</v>
      </c>
      <c r="O463" s="4">
        <v>2.9999999999999997E-4</v>
      </c>
      <c r="P463" s="4">
        <v>129.25</v>
      </c>
      <c r="Q463" s="4">
        <v>0.12</v>
      </c>
      <c r="R463" s="4">
        <f t="shared" si="11"/>
        <v>0.26594650205761317</v>
      </c>
      <c r="S463" s="22">
        <f t="shared" si="12"/>
        <v>2.4691358024691359E-4</v>
      </c>
    </row>
    <row r="464" spans="1:19" ht="16">
      <c r="A464" s="28" t="s">
        <v>339</v>
      </c>
      <c r="B464" s="84">
        <v>221211122122</v>
      </c>
      <c r="C464" s="84"/>
      <c r="D464" s="85">
        <v>0.75</v>
      </c>
      <c r="E464" s="82">
        <v>12</v>
      </c>
      <c r="F464" s="82">
        <v>7</v>
      </c>
      <c r="G464" s="82">
        <v>18</v>
      </c>
      <c r="H464" s="30">
        <v>5.0903999999999998</v>
      </c>
      <c r="I464" s="4">
        <v>5.0000000000000001E-4</v>
      </c>
      <c r="J464" s="29">
        <v>-28.506699999999999</v>
      </c>
      <c r="K464" s="4">
        <v>1.9E-3</v>
      </c>
      <c r="L464" s="4">
        <v>0.02</v>
      </c>
      <c r="M464" s="4">
        <v>2E-3</v>
      </c>
      <c r="N464" s="4">
        <v>-9.2999999999999992E-3</v>
      </c>
      <c r="O464" s="4">
        <v>2.0000000000000001E-4</v>
      </c>
      <c r="P464" s="4">
        <v>122.77</v>
      </c>
      <c r="Q464" s="4">
        <v>0.31</v>
      </c>
      <c r="R464" s="29">
        <f t="shared" si="11"/>
        <v>0.25261316872427986</v>
      </c>
      <c r="S464" s="22">
        <f t="shared" si="12"/>
        <v>6.3786008230452666E-4</v>
      </c>
    </row>
    <row r="465" spans="1:19" ht="16">
      <c r="A465" s="33" t="s">
        <v>339</v>
      </c>
      <c r="B465" s="97">
        <v>221211122122</v>
      </c>
      <c r="C465" s="97"/>
      <c r="D465" s="98">
        <v>1</v>
      </c>
      <c r="E465" s="82">
        <v>12</v>
      </c>
      <c r="F465" s="82">
        <v>7</v>
      </c>
      <c r="G465" s="82">
        <v>18</v>
      </c>
      <c r="H465" s="34">
        <v>4.6479999999999997</v>
      </c>
      <c r="I465" s="4">
        <v>8.0000000000000004E-4</v>
      </c>
      <c r="J465" s="34">
        <v>-26.4453</v>
      </c>
      <c r="K465" s="4">
        <v>4.0000000000000002E-4</v>
      </c>
      <c r="L465" s="4">
        <v>4.1000000000000002E-2</v>
      </c>
      <c r="M465" s="4">
        <v>1.4999999999999999E-2</v>
      </c>
      <c r="N465" s="4">
        <v>-1.3100000000000001E-2</v>
      </c>
      <c r="O465" s="4">
        <v>1E-4</v>
      </c>
      <c r="P465" s="4">
        <v>111.06</v>
      </c>
      <c r="Q465" s="4">
        <v>0.11</v>
      </c>
      <c r="R465" s="34">
        <f t="shared" si="11"/>
        <v>0.22851851851851851</v>
      </c>
      <c r="S465" s="22">
        <f t="shared" si="12"/>
        <v>2.2633744855967078E-4</v>
      </c>
    </row>
    <row r="466" spans="1:19" ht="16">
      <c r="A466" s="19" t="s">
        <v>340</v>
      </c>
      <c r="B466" s="80">
        <v>211221222112</v>
      </c>
      <c r="C466" s="80"/>
      <c r="D466" s="81">
        <v>0.25</v>
      </c>
      <c r="E466" s="82">
        <v>12</v>
      </c>
      <c r="F466" s="82">
        <v>7</v>
      </c>
      <c r="G466" s="82">
        <v>18</v>
      </c>
      <c r="H466" s="21">
        <v>5.9795999999999996</v>
      </c>
      <c r="I466" s="4">
        <v>5.9999999999999995E-4</v>
      </c>
      <c r="J466" s="20">
        <v>-33.740299999999998</v>
      </c>
      <c r="K466" s="4">
        <v>5.0000000000000001E-4</v>
      </c>
      <c r="L466" s="4">
        <v>3.1E-2</v>
      </c>
      <c r="M466" s="4">
        <v>8.0000000000000002E-3</v>
      </c>
      <c r="N466" s="4">
        <v>-5.7999999999999996E-3</v>
      </c>
      <c r="O466" s="4">
        <v>5.0000000000000001E-4</v>
      </c>
      <c r="P466" s="4">
        <v>133</v>
      </c>
      <c r="Q466" s="4">
        <v>0.21</v>
      </c>
      <c r="R466" s="20">
        <f t="shared" si="11"/>
        <v>0.27366255144032919</v>
      </c>
      <c r="S466" s="22">
        <f t="shared" si="12"/>
        <v>4.3209876543209879E-4</v>
      </c>
    </row>
    <row r="467" spans="1:19" ht="16">
      <c r="A467" s="23" t="s">
        <v>340</v>
      </c>
      <c r="B467" s="82">
        <v>211221222112</v>
      </c>
      <c r="C467" s="82"/>
      <c r="D467" s="83">
        <v>0.5</v>
      </c>
      <c r="E467" s="82">
        <v>12</v>
      </c>
      <c r="F467" s="82">
        <v>7</v>
      </c>
      <c r="G467" s="82">
        <v>18</v>
      </c>
      <c r="H467" s="24">
        <v>5.4577999999999998</v>
      </c>
      <c r="I467" s="4">
        <v>8.0000000000000004E-4</v>
      </c>
      <c r="J467" s="4">
        <v>-30.993099999999998</v>
      </c>
      <c r="K467" s="4">
        <v>6.9999999999999999E-4</v>
      </c>
      <c r="L467" s="4">
        <v>3.5999999999999997E-2</v>
      </c>
      <c r="M467" s="4">
        <v>4.0000000000000001E-3</v>
      </c>
      <c r="N467" s="4">
        <v>-7.3000000000000001E-3</v>
      </c>
      <c r="O467" s="4">
        <v>1E-4</v>
      </c>
      <c r="P467" s="4">
        <v>130.54</v>
      </c>
      <c r="Q467" s="4">
        <v>0.1</v>
      </c>
      <c r="R467" s="4">
        <f t="shared" si="11"/>
        <v>0.2686008230452675</v>
      </c>
      <c r="S467" s="22">
        <f t="shared" si="12"/>
        <v>2.0576131687242801E-4</v>
      </c>
    </row>
    <row r="468" spans="1:19" ht="16">
      <c r="A468" s="28" t="s">
        <v>340</v>
      </c>
      <c r="B468" s="84">
        <v>211221222112</v>
      </c>
      <c r="C468" s="84"/>
      <c r="D468" s="85">
        <v>0.75</v>
      </c>
      <c r="E468" s="82">
        <v>12</v>
      </c>
      <c r="F468" s="82">
        <v>7</v>
      </c>
      <c r="G468" s="82">
        <v>18</v>
      </c>
      <c r="H468" s="30">
        <v>4.9302999999999999</v>
      </c>
      <c r="I468" s="4">
        <v>8.0000000000000004E-4</v>
      </c>
      <c r="J468" s="29">
        <v>-28.471399999999999</v>
      </c>
      <c r="K468" s="4">
        <v>8.0000000000000004E-4</v>
      </c>
      <c r="L468" s="4">
        <v>6.8000000000000005E-2</v>
      </c>
      <c r="M468" s="4">
        <v>6.0000000000000001E-3</v>
      </c>
      <c r="N468" s="4">
        <v>-9.4000000000000004E-3</v>
      </c>
      <c r="O468" s="4">
        <v>1E-4</v>
      </c>
      <c r="P468" s="4">
        <v>125.71</v>
      </c>
      <c r="Q468" s="4">
        <v>0.1</v>
      </c>
      <c r="R468" s="29">
        <f t="shared" si="11"/>
        <v>0.25866255144032924</v>
      </c>
      <c r="S468" s="22">
        <f t="shared" si="12"/>
        <v>2.0576131687242801E-4</v>
      </c>
    </row>
    <row r="469" spans="1:19" ht="16">
      <c r="A469" s="33" t="s">
        <v>340</v>
      </c>
      <c r="B469" s="97">
        <v>211221222112</v>
      </c>
      <c r="C469" s="97"/>
      <c r="D469" s="98">
        <v>1</v>
      </c>
      <c r="E469" s="82">
        <v>12</v>
      </c>
      <c r="F469" s="82">
        <v>7</v>
      </c>
      <c r="G469" s="82">
        <v>18</v>
      </c>
      <c r="H469" s="4">
        <v>4.3996000000000004</v>
      </c>
      <c r="I469" s="4">
        <v>2.9999999999999997E-4</v>
      </c>
      <c r="J469" s="4">
        <v>-26.323399999999999</v>
      </c>
      <c r="K469" s="4">
        <v>2E-3</v>
      </c>
      <c r="L469" s="4">
        <v>0.11899999999999999</v>
      </c>
      <c r="M469" s="4">
        <v>1.4E-2</v>
      </c>
      <c r="N469" s="4">
        <v>-1.37E-2</v>
      </c>
      <c r="O469" s="4">
        <v>4.0000000000000002E-4</v>
      </c>
      <c r="P469" s="4">
        <v>115.22</v>
      </c>
      <c r="Q469" s="4">
        <v>0.37</v>
      </c>
      <c r="R469" s="34">
        <f t="shared" si="11"/>
        <v>0.2370781893004115</v>
      </c>
      <c r="S469" s="22">
        <f t="shared" si="12"/>
        <v>7.6131687242798343E-4</v>
      </c>
    </row>
    <row r="470" spans="1:19" ht="16">
      <c r="A470" s="19" t="s">
        <v>341</v>
      </c>
      <c r="B470" s="80">
        <v>121212222112</v>
      </c>
      <c r="C470" s="80"/>
      <c r="D470" s="81">
        <v>0.25</v>
      </c>
      <c r="E470" s="82">
        <v>12</v>
      </c>
      <c r="F470" s="82">
        <v>7</v>
      </c>
      <c r="G470" s="82">
        <v>18</v>
      </c>
      <c r="H470" s="21">
        <v>5.9516</v>
      </c>
      <c r="I470" s="4">
        <v>8.9999999999999998E-4</v>
      </c>
      <c r="J470" s="20">
        <v>-33.786999999999999</v>
      </c>
      <c r="K470" s="4">
        <v>8.9999999999999998E-4</v>
      </c>
      <c r="L470" s="4">
        <v>2.9000000000000001E-2</v>
      </c>
      <c r="M470" s="4">
        <v>4.0000000000000001E-3</v>
      </c>
      <c r="N470" s="4">
        <v>-6.4000000000000003E-3</v>
      </c>
      <c r="O470" s="4">
        <v>1E-4</v>
      </c>
      <c r="P470" s="4">
        <v>132.56</v>
      </c>
      <c r="Q470" s="4">
        <v>0.19</v>
      </c>
      <c r="R470" s="20">
        <f t="shared" si="11"/>
        <v>0.27275720164609052</v>
      </c>
      <c r="S470" s="22">
        <f t="shared" si="12"/>
        <v>3.9094650205761324E-4</v>
      </c>
    </row>
    <row r="471" spans="1:19" ht="16">
      <c r="A471" s="23" t="s">
        <v>341</v>
      </c>
      <c r="B471" s="82">
        <v>121212222112</v>
      </c>
      <c r="C471" s="82"/>
      <c r="D471" s="83">
        <v>0.5</v>
      </c>
      <c r="E471" s="82">
        <v>12</v>
      </c>
      <c r="F471" s="82">
        <v>7</v>
      </c>
      <c r="G471" s="82">
        <v>18</v>
      </c>
      <c r="H471" s="24">
        <v>5.3974000000000002</v>
      </c>
      <c r="I471" s="4">
        <v>5.0000000000000001E-4</v>
      </c>
      <c r="J471" s="4">
        <v>-31.1113</v>
      </c>
      <c r="K471" s="4">
        <v>4.0000000000000002E-4</v>
      </c>
      <c r="L471" s="4">
        <v>5.2999999999999999E-2</v>
      </c>
      <c r="M471" s="4">
        <v>5.0000000000000001E-3</v>
      </c>
      <c r="N471" s="4">
        <v>-7.7999999999999996E-3</v>
      </c>
      <c r="O471" s="4">
        <v>2.9999999999999997E-4</v>
      </c>
      <c r="P471" s="4">
        <v>129.94999999999999</v>
      </c>
      <c r="Q471" s="4">
        <v>0.24</v>
      </c>
      <c r="R471" s="4">
        <f t="shared" si="11"/>
        <v>0.26738683127572016</v>
      </c>
      <c r="S471" s="22">
        <f t="shared" si="12"/>
        <v>4.9382716049382717E-4</v>
      </c>
    </row>
    <row r="472" spans="1:19" ht="16">
      <c r="A472" s="28" t="s">
        <v>341</v>
      </c>
      <c r="B472" s="84">
        <v>121212222112</v>
      </c>
      <c r="C472" s="84"/>
      <c r="D472" s="85">
        <v>0.75</v>
      </c>
      <c r="E472" s="82">
        <v>12</v>
      </c>
      <c r="F472" s="82">
        <v>7</v>
      </c>
      <c r="G472" s="82">
        <v>18</v>
      </c>
      <c r="H472" s="30">
        <v>4.8273999999999999</v>
      </c>
      <c r="I472" s="4">
        <v>8.0000000000000004E-4</v>
      </c>
      <c r="J472" s="29">
        <v>-28.723099999999999</v>
      </c>
      <c r="K472" s="4">
        <v>8.9999999999999998E-4</v>
      </c>
      <c r="L472" s="4">
        <v>0.11799999999999999</v>
      </c>
      <c r="M472" s="4">
        <v>1.0999999999999999E-2</v>
      </c>
      <c r="N472" s="4">
        <v>-1.0999999999999999E-2</v>
      </c>
      <c r="O472" s="4">
        <v>2.0000000000000001E-4</v>
      </c>
      <c r="P472" s="4">
        <v>122.81</v>
      </c>
      <c r="Q472" s="4">
        <v>0.1</v>
      </c>
      <c r="R472" s="29">
        <f t="shared" si="11"/>
        <v>0.25269547325102881</v>
      </c>
      <c r="S472" s="22">
        <f t="shared" si="12"/>
        <v>2.0576131687242801E-4</v>
      </c>
    </row>
    <row r="473" spans="1:19" ht="16">
      <c r="A473" s="33" t="s">
        <v>341</v>
      </c>
      <c r="B473" s="97">
        <v>121212222112</v>
      </c>
      <c r="C473" s="97"/>
      <c r="D473" s="98">
        <v>1</v>
      </c>
      <c r="E473" s="82">
        <v>12</v>
      </c>
      <c r="F473" s="82">
        <v>7</v>
      </c>
      <c r="G473" s="82">
        <v>18</v>
      </c>
      <c r="H473" s="38">
        <v>4.2100999999999997</v>
      </c>
      <c r="I473" s="4">
        <v>1E-3</v>
      </c>
      <c r="J473" s="34">
        <v>-26.898199999999999</v>
      </c>
      <c r="K473" s="4">
        <v>1.4E-3</v>
      </c>
      <c r="L473" s="4">
        <v>0.224</v>
      </c>
      <c r="M473" s="4">
        <v>3.6999999999999998E-2</v>
      </c>
      <c r="N473" s="4">
        <v>-1.9300000000000001E-2</v>
      </c>
      <c r="O473" s="4">
        <v>1E-4</v>
      </c>
      <c r="P473" s="4">
        <v>104.69</v>
      </c>
      <c r="Q473" s="4">
        <v>0.16</v>
      </c>
      <c r="R473" s="34">
        <f t="shared" si="11"/>
        <v>0.21541152263374486</v>
      </c>
      <c r="S473" s="22">
        <f t="shared" si="12"/>
        <v>3.2921810699588475E-4</v>
      </c>
    </row>
    <row r="474" spans="1:19" ht="16">
      <c r="A474" s="19" t="s">
        <v>342</v>
      </c>
      <c r="B474" s="80">
        <v>122121221221</v>
      </c>
      <c r="C474" s="80"/>
      <c r="D474" s="81">
        <v>0.25</v>
      </c>
      <c r="E474" s="82">
        <v>12</v>
      </c>
      <c r="F474" s="82">
        <v>7</v>
      </c>
      <c r="G474" s="82">
        <v>18</v>
      </c>
      <c r="H474" s="21">
        <v>5.9473000000000003</v>
      </c>
      <c r="I474" s="4">
        <v>5.9999999999999995E-4</v>
      </c>
      <c r="J474" s="20">
        <v>-33.6691</v>
      </c>
      <c r="K474" s="4">
        <v>1.5E-3</v>
      </c>
      <c r="L474" s="4">
        <v>3.2000000000000001E-2</v>
      </c>
      <c r="M474" s="4">
        <v>5.0000000000000001E-3</v>
      </c>
      <c r="N474" s="4">
        <v>-6.1999999999999998E-3</v>
      </c>
      <c r="O474" s="4">
        <v>2.0000000000000001E-4</v>
      </c>
      <c r="P474" s="4">
        <v>132.88</v>
      </c>
      <c r="Q474" s="4">
        <v>0.05</v>
      </c>
      <c r="R474" s="20">
        <f t="shared" si="11"/>
        <v>0.27341563786008227</v>
      </c>
      <c r="S474" s="22">
        <f t="shared" si="12"/>
        <v>1.02880658436214E-4</v>
      </c>
    </row>
    <row r="475" spans="1:19" ht="16">
      <c r="A475" s="23" t="s">
        <v>342</v>
      </c>
      <c r="B475" s="82">
        <v>122121221221</v>
      </c>
      <c r="C475" s="82"/>
      <c r="D475" s="83">
        <v>0.5</v>
      </c>
      <c r="E475" s="82">
        <v>12</v>
      </c>
      <c r="F475" s="82">
        <v>7</v>
      </c>
      <c r="G475" s="82">
        <v>18</v>
      </c>
      <c r="H475" s="24">
        <v>5.3913000000000002</v>
      </c>
      <c r="I475" s="4">
        <v>8.9999999999999998E-4</v>
      </c>
      <c r="J475" s="4">
        <v>-30.820599999999999</v>
      </c>
      <c r="K475" s="4">
        <v>1E-3</v>
      </c>
      <c r="L475" s="4">
        <v>4.2000000000000003E-2</v>
      </c>
      <c r="M475" s="4">
        <v>8.9999999999999993E-3</v>
      </c>
      <c r="N475" s="4">
        <v>-7.3000000000000001E-3</v>
      </c>
      <c r="O475" s="4">
        <v>2.0000000000000001E-4</v>
      </c>
      <c r="P475" s="4">
        <v>131.35</v>
      </c>
      <c r="Q475" s="4">
        <v>0.2</v>
      </c>
      <c r="R475" s="4">
        <f t="shared" si="11"/>
        <v>0.27026748971193415</v>
      </c>
      <c r="S475" s="22">
        <f t="shared" si="12"/>
        <v>4.1152263374485601E-4</v>
      </c>
    </row>
    <row r="476" spans="1:19" ht="16">
      <c r="A476" s="28" t="s">
        <v>342</v>
      </c>
      <c r="B476" s="84">
        <v>122121221221</v>
      </c>
      <c r="C476" s="84"/>
      <c r="D476" s="85">
        <v>0.75</v>
      </c>
      <c r="E476" s="82">
        <v>12</v>
      </c>
      <c r="F476" s="82">
        <v>7</v>
      </c>
      <c r="G476" s="82">
        <v>18</v>
      </c>
      <c r="H476" s="30">
        <v>4.8295000000000003</v>
      </c>
      <c r="I476" s="4">
        <v>8.0000000000000004E-4</v>
      </c>
      <c r="J476" s="29">
        <v>-28.158300000000001</v>
      </c>
      <c r="K476" s="4">
        <v>2.0999999999999999E-3</v>
      </c>
      <c r="L476" s="4">
        <v>7.0000000000000007E-2</v>
      </c>
      <c r="M476" s="4">
        <v>7.0000000000000001E-3</v>
      </c>
      <c r="N476" s="4">
        <v>-9.7000000000000003E-3</v>
      </c>
      <c r="O476" s="4">
        <v>4.0000000000000002E-4</v>
      </c>
      <c r="P476" s="4">
        <v>126.91</v>
      </c>
      <c r="Q476" s="4">
        <v>0.3</v>
      </c>
      <c r="R476" s="29">
        <f t="shared" si="11"/>
        <v>0.26113168724279839</v>
      </c>
      <c r="S476" s="22">
        <f t="shared" si="12"/>
        <v>6.1728395061728394E-4</v>
      </c>
    </row>
    <row r="477" spans="1:19" ht="16">
      <c r="A477" s="19" t="s">
        <v>343</v>
      </c>
      <c r="B477" s="80">
        <v>112122112222</v>
      </c>
      <c r="C477" s="80"/>
      <c r="D477" s="81">
        <v>0.25</v>
      </c>
      <c r="E477" s="82">
        <v>12</v>
      </c>
      <c r="F477" s="82">
        <v>7</v>
      </c>
      <c r="G477" s="82">
        <v>18</v>
      </c>
      <c r="H477" s="21">
        <v>5.9711999999999996</v>
      </c>
      <c r="I477" s="4">
        <v>1E-3</v>
      </c>
      <c r="J477" s="20">
        <v>-33.732300000000002</v>
      </c>
      <c r="K477" s="4">
        <v>2.0999999999999999E-3</v>
      </c>
      <c r="L477" s="4">
        <v>2.9000000000000001E-2</v>
      </c>
      <c r="M477" s="4">
        <v>6.0000000000000001E-3</v>
      </c>
      <c r="N477" s="4">
        <v>-6.4000000000000003E-3</v>
      </c>
      <c r="O477" s="4">
        <v>1E-4</v>
      </c>
      <c r="P477" s="4">
        <v>131.91</v>
      </c>
      <c r="Q477" s="4">
        <v>0.18</v>
      </c>
      <c r="R477" s="20">
        <f t="shared" si="11"/>
        <v>0.27141975308641975</v>
      </c>
      <c r="S477" s="22">
        <f t="shared" si="12"/>
        <v>3.7037037037037041E-4</v>
      </c>
    </row>
    <row r="478" spans="1:19" ht="16">
      <c r="A478" s="23" t="s">
        <v>343</v>
      </c>
      <c r="B478" s="82">
        <v>112122112222</v>
      </c>
      <c r="C478" s="82"/>
      <c r="D478" s="83">
        <v>0.5</v>
      </c>
      <c r="E478" s="82">
        <v>12</v>
      </c>
      <c r="F478" s="82">
        <v>7</v>
      </c>
      <c r="G478" s="82">
        <v>18</v>
      </c>
      <c r="H478" s="24">
        <v>5.4237000000000002</v>
      </c>
      <c r="I478" s="4">
        <v>5.9999999999999995E-4</v>
      </c>
      <c r="J478" s="4">
        <v>-31.113800000000001</v>
      </c>
      <c r="K478" s="4">
        <v>1.2999999999999999E-3</v>
      </c>
      <c r="L478" s="4">
        <v>7.1999999999999995E-2</v>
      </c>
      <c r="M478" s="4">
        <v>7.0000000000000001E-3</v>
      </c>
      <c r="N478" s="4">
        <v>-8.8999999999999999E-3</v>
      </c>
      <c r="O478" s="4">
        <v>1E-4</v>
      </c>
      <c r="P478" s="4">
        <v>125.92</v>
      </c>
      <c r="Q478" s="4">
        <v>0.14000000000000001</v>
      </c>
      <c r="R478" s="4">
        <f t="shared" si="11"/>
        <v>0.25909465020576133</v>
      </c>
      <c r="S478" s="22">
        <f t="shared" si="12"/>
        <v>2.8806584362139919E-4</v>
      </c>
    </row>
    <row r="479" spans="1:19" ht="16">
      <c r="A479" s="28" t="s">
        <v>343</v>
      </c>
      <c r="B479" s="84">
        <v>112122112222</v>
      </c>
      <c r="C479" s="84"/>
      <c r="D479" s="85">
        <v>0.75</v>
      </c>
      <c r="E479" s="82">
        <v>12</v>
      </c>
      <c r="F479" s="82">
        <v>7</v>
      </c>
      <c r="G479" s="82">
        <v>18</v>
      </c>
      <c r="H479" s="32">
        <v>4.8371000000000004</v>
      </c>
      <c r="I479" s="4">
        <v>5.0000000000000001E-4</v>
      </c>
      <c r="J479" s="29">
        <v>-29.040600000000001</v>
      </c>
      <c r="K479" s="4">
        <v>4.0000000000000002E-4</v>
      </c>
      <c r="L479" s="4">
        <v>0.16200000000000001</v>
      </c>
      <c r="M479" s="4">
        <v>7.0000000000000001E-3</v>
      </c>
      <c r="N479" s="4">
        <v>-1.7100000000000001E-2</v>
      </c>
      <c r="O479" s="4">
        <v>1E-4</v>
      </c>
      <c r="P479" s="4">
        <v>106.59</v>
      </c>
      <c r="Q479" s="4">
        <v>0.28000000000000003</v>
      </c>
      <c r="R479" s="29">
        <f t="shared" si="11"/>
        <v>0.21932098765432098</v>
      </c>
      <c r="S479" s="22">
        <f t="shared" si="12"/>
        <v>5.7613168724279839E-4</v>
      </c>
    </row>
    <row r="480" spans="1:19" ht="16">
      <c r="A480" s="19" t="s">
        <v>344</v>
      </c>
      <c r="B480" s="80">
        <v>122211112222</v>
      </c>
      <c r="C480" s="80"/>
      <c r="D480" s="81">
        <v>0.25</v>
      </c>
      <c r="E480" s="82">
        <v>12</v>
      </c>
      <c r="F480" s="82">
        <v>7</v>
      </c>
      <c r="G480" s="82">
        <v>18</v>
      </c>
      <c r="H480" s="21">
        <v>6.0069999999999997</v>
      </c>
      <c r="I480" s="4">
        <v>5.9999999999999995E-4</v>
      </c>
      <c r="J480" s="20">
        <v>-33.599600000000002</v>
      </c>
      <c r="K480" s="4">
        <v>1.1000000000000001E-3</v>
      </c>
      <c r="L480" s="4">
        <v>0.02</v>
      </c>
      <c r="M480" s="4">
        <v>5.0000000000000001E-3</v>
      </c>
      <c r="N480" s="4">
        <v>-6.4000000000000003E-3</v>
      </c>
      <c r="O480" s="4">
        <v>1E-4</v>
      </c>
      <c r="P480" s="4">
        <v>131.63999999999999</v>
      </c>
      <c r="Q480" s="4">
        <v>0.03</v>
      </c>
      <c r="R480" s="20">
        <f t="shared" si="11"/>
        <v>0.27086419753086416</v>
      </c>
      <c r="S480" s="22">
        <f t="shared" si="12"/>
        <v>6.1728395061728397E-5</v>
      </c>
    </row>
    <row r="481" spans="1:19" ht="16">
      <c r="A481" s="23" t="s">
        <v>344</v>
      </c>
      <c r="B481" s="82">
        <v>122211112222</v>
      </c>
      <c r="C481" s="82"/>
      <c r="D481" s="83">
        <v>0.5</v>
      </c>
      <c r="E481" s="82">
        <v>12</v>
      </c>
      <c r="F481" s="82">
        <v>7</v>
      </c>
      <c r="G481" s="82">
        <v>18</v>
      </c>
      <c r="H481" s="24">
        <v>5.5137</v>
      </c>
      <c r="I481" s="4">
        <v>1E-3</v>
      </c>
      <c r="J481" s="4">
        <v>-30.8627</v>
      </c>
      <c r="K481" s="4">
        <v>1.6000000000000001E-3</v>
      </c>
      <c r="L481" s="4">
        <v>0.02</v>
      </c>
      <c r="M481" s="4">
        <v>1.6E-2</v>
      </c>
      <c r="N481" s="4">
        <v>-8.0999999999999996E-3</v>
      </c>
      <c r="O481" s="4">
        <v>5.0000000000000001E-4</v>
      </c>
      <c r="P481" s="4">
        <v>126.55</v>
      </c>
      <c r="Q481" s="4">
        <v>0.44</v>
      </c>
      <c r="R481" s="4">
        <f t="shared" si="11"/>
        <v>0.26039094650205757</v>
      </c>
      <c r="S481" s="22">
        <f t="shared" si="12"/>
        <v>9.0534979423868313E-4</v>
      </c>
    </row>
    <row r="482" spans="1:19" ht="16">
      <c r="A482" s="28" t="s">
        <v>344</v>
      </c>
      <c r="B482" s="84">
        <v>122211112222</v>
      </c>
      <c r="C482" s="84"/>
      <c r="D482" s="85">
        <v>0.75</v>
      </c>
      <c r="E482" s="82">
        <v>12</v>
      </c>
      <c r="F482" s="82">
        <v>7</v>
      </c>
      <c r="G482" s="82">
        <v>18</v>
      </c>
      <c r="H482" s="30">
        <v>5.0355999999999996</v>
      </c>
      <c r="I482" s="4">
        <v>8.9999999999999998E-4</v>
      </c>
      <c r="J482" s="29">
        <v>-28.636299999999999</v>
      </c>
      <c r="K482" s="4">
        <v>1.1000000000000001E-3</v>
      </c>
      <c r="L482" s="4">
        <v>7.1999999999999995E-2</v>
      </c>
      <c r="M482" s="4">
        <v>1.0999999999999999E-2</v>
      </c>
      <c r="N482" s="4">
        <v>-1.1900000000000001E-2</v>
      </c>
      <c r="O482" s="4">
        <v>2.9999999999999997E-4</v>
      </c>
      <c r="P482" s="4">
        <v>114.55</v>
      </c>
      <c r="Q482" s="4">
        <v>0.27</v>
      </c>
      <c r="R482" s="29">
        <f t="shared" si="11"/>
        <v>0.23569958847736625</v>
      </c>
      <c r="S482" s="22">
        <f t="shared" si="12"/>
        <v>5.5555555555555556E-4</v>
      </c>
    </row>
    <row r="483" spans="1:19" ht="16">
      <c r="A483" s="19" t="s">
        <v>345</v>
      </c>
      <c r="B483" s="80">
        <v>121211222212</v>
      </c>
      <c r="C483" s="80"/>
      <c r="D483" s="81">
        <v>0.25</v>
      </c>
      <c r="E483" s="82">
        <v>12</v>
      </c>
      <c r="F483" s="82">
        <v>7</v>
      </c>
      <c r="G483" s="82">
        <v>18</v>
      </c>
      <c r="H483" s="21">
        <v>5.9646999999999997</v>
      </c>
      <c r="I483" s="4">
        <v>1E-3</v>
      </c>
      <c r="J483" s="20">
        <v>-33.795200000000001</v>
      </c>
      <c r="K483" s="4">
        <v>1.2999999999999999E-3</v>
      </c>
      <c r="L483" s="4">
        <v>3.7999999999999999E-2</v>
      </c>
      <c r="M483" s="4">
        <v>0.01</v>
      </c>
      <c r="N483" s="4">
        <v>-6.7999999999999996E-3</v>
      </c>
      <c r="O483" s="4">
        <v>2.9999999999999997E-4</v>
      </c>
      <c r="P483" s="4">
        <v>132.11000000000001</v>
      </c>
      <c r="Q483" s="4">
        <v>0.24</v>
      </c>
      <c r="R483" s="20">
        <f t="shared" si="11"/>
        <v>0.27183127572016463</v>
      </c>
      <c r="S483" s="22">
        <f t="shared" si="12"/>
        <v>4.9382716049382717E-4</v>
      </c>
    </row>
    <row r="484" spans="1:19" ht="16">
      <c r="A484" s="23" t="s">
        <v>345</v>
      </c>
      <c r="B484" s="82">
        <v>121211222212</v>
      </c>
      <c r="C484" s="82"/>
      <c r="D484" s="83">
        <v>0.5</v>
      </c>
      <c r="E484" s="82">
        <v>12</v>
      </c>
      <c r="F484" s="82">
        <v>7</v>
      </c>
      <c r="G484" s="82">
        <v>18</v>
      </c>
      <c r="H484" s="24">
        <v>5.4225000000000003</v>
      </c>
      <c r="I484" s="4">
        <v>5.0000000000000001E-4</v>
      </c>
      <c r="J484" s="4">
        <v>-31.1478</v>
      </c>
      <c r="K484" s="4">
        <v>8.9999999999999998E-4</v>
      </c>
      <c r="L484" s="4">
        <v>5.5E-2</v>
      </c>
      <c r="M484" s="4">
        <v>0.01</v>
      </c>
      <c r="N484" s="4">
        <v>-8.0999999999999996E-3</v>
      </c>
      <c r="O484" s="4">
        <v>2.0000000000000001E-4</v>
      </c>
      <c r="P484" s="4">
        <v>128.76</v>
      </c>
      <c r="Q484" s="4">
        <v>0.21</v>
      </c>
      <c r="R484" s="4">
        <f t="shared" si="11"/>
        <v>0.26493827160493827</v>
      </c>
      <c r="S484" s="22">
        <f t="shared" si="12"/>
        <v>4.3209876543209879E-4</v>
      </c>
    </row>
    <row r="485" spans="1:19" ht="16">
      <c r="A485" s="28" t="s">
        <v>345</v>
      </c>
      <c r="B485" s="84">
        <v>121211222212</v>
      </c>
      <c r="C485" s="84"/>
      <c r="D485" s="85">
        <v>0.75</v>
      </c>
      <c r="E485" s="82">
        <v>12</v>
      </c>
      <c r="F485" s="82">
        <v>7</v>
      </c>
      <c r="G485" s="82">
        <v>18</v>
      </c>
      <c r="H485" s="30">
        <v>4.8583999999999996</v>
      </c>
      <c r="I485" s="4">
        <v>5.9999999999999995E-4</v>
      </c>
      <c r="J485" s="29">
        <v>-28.8337</v>
      </c>
      <c r="K485" s="4">
        <v>1E-3</v>
      </c>
      <c r="L485" s="4">
        <v>0.11600000000000001</v>
      </c>
      <c r="M485" s="4">
        <v>6.0000000000000001E-3</v>
      </c>
      <c r="N485" s="4">
        <v>-1.2500000000000001E-2</v>
      </c>
      <c r="O485" s="4">
        <v>1E-4</v>
      </c>
      <c r="P485" s="4">
        <v>118.91</v>
      </c>
      <c r="Q485" s="4">
        <v>0.21</v>
      </c>
      <c r="R485" s="29">
        <f t="shared" si="11"/>
        <v>0.24467078189300412</v>
      </c>
      <c r="S485" s="22">
        <f t="shared" si="12"/>
        <v>4.3209876543209879E-4</v>
      </c>
    </row>
    <row r="486" spans="1:19" ht="16">
      <c r="A486" s="19" t="s">
        <v>346</v>
      </c>
      <c r="B486" s="80">
        <v>112122221212</v>
      </c>
      <c r="C486" s="80"/>
      <c r="D486" s="81">
        <v>0.25</v>
      </c>
      <c r="E486" s="82">
        <v>12</v>
      </c>
      <c r="F486" s="82">
        <v>7</v>
      </c>
      <c r="G486" s="82">
        <v>18</v>
      </c>
      <c r="H486" s="21">
        <v>5.9404000000000003</v>
      </c>
      <c r="I486" s="4">
        <v>6.9999999999999999E-4</v>
      </c>
      <c r="J486" s="20">
        <v>-33.863900000000001</v>
      </c>
      <c r="K486" s="4">
        <v>5.0000000000000001E-4</v>
      </c>
      <c r="L486" s="4">
        <v>3.5999999999999997E-2</v>
      </c>
      <c r="M486" s="4">
        <v>0.01</v>
      </c>
      <c r="N486" s="4">
        <v>-6.4999999999999997E-3</v>
      </c>
      <c r="O486" s="4">
        <v>1E-4</v>
      </c>
      <c r="P486" s="4">
        <v>132.37</v>
      </c>
      <c r="Q486" s="4">
        <v>0.1</v>
      </c>
      <c r="R486" s="20">
        <f t="shared" si="11"/>
        <v>0.27236625514403295</v>
      </c>
      <c r="S486" s="22">
        <f t="shared" si="12"/>
        <v>2.0576131687242801E-4</v>
      </c>
    </row>
    <row r="487" spans="1:19" ht="16">
      <c r="A487" s="23" t="s">
        <v>346</v>
      </c>
      <c r="B487" s="82">
        <v>112122221212</v>
      </c>
      <c r="C487" s="82"/>
      <c r="D487" s="83">
        <v>0.5</v>
      </c>
      <c r="E487" s="82">
        <v>12</v>
      </c>
      <c r="F487" s="82">
        <v>7</v>
      </c>
      <c r="G487" s="82">
        <v>18</v>
      </c>
      <c r="H487" s="24">
        <v>5.3672000000000004</v>
      </c>
      <c r="I487" s="4">
        <v>8.9999999999999998E-4</v>
      </c>
      <c r="J487" s="4">
        <v>-31.316099999999999</v>
      </c>
      <c r="K487" s="4">
        <v>2E-3</v>
      </c>
      <c r="L487" s="4">
        <v>7.2999999999999995E-2</v>
      </c>
      <c r="M487" s="4">
        <v>0.01</v>
      </c>
      <c r="N487" s="4">
        <v>-8.2000000000000007E-3</v>
      </c>
      <c r="O487" s="4">
        <v>2.0000000000000001E-4</v>
      </c>
      <c r="P487" s="4">
        <v>128.41</v>
      </c>
      <c r="Q487" s="4">
        <v>0.16</v>
      </c>
      <c r="R487" s="4">
        <f t="shared" si="11"/>
        <v>0.26421810699588477</v>
      </c>
      <c r="S487" s="22">
        <f t="shared" si="12"/>
        <v>3.2921810699588475E-4</v>
      </c>
    </row>
    <row r="488" spans="1:19" ht="16">
      <c r="A488" s="19" t="s">
        <v>347</v>
      </c>
      <c r="B488" s="80">
        <v>122221121122</v>
      </c>
      <c r="C488" s="80"/>
      <c r="D488" s="81">
        <v>0.25</v>
      </c>
      <c r="E488" s="82">
        <v>12</v>
      </c>
      <c r="F488" s="82">
        <v>7</v>
      </c>
      <c r="G488" s="82">
        <v>18</v>
      </c>
      <c r="H488" s="21">
        <v>5.9904000000000002</v>
      </c>
      <c r="I488" s="4">
        <v>8.0000000000000004E-4</v>
      </c>
      <c r="J488" s="20">
        <v>-33.616999999999997</v>
      </c>
      <c r="K488" s="4">
        <v>1.6999999999999999E-3</v>
      </c>
      <c r="L488" s="4">
        <v>3.3000000000000002E-2</v>
      </c>
      <c r="M488" s="4">
        <v>6.0000000000000001E-3</v>
      </c>
      <c r="N488" s="4">
        <v>-6.1000000000000004E-3</v>
      </c>
      <c r="O488" s="4">
        <v>2.0000000000000001E-4</v>
      </c>
      <c r="P488" s="4">
        <v>132.31</v>
      </c>
      <c r="Q488" s="4">
        <v>0.21</v>
      </c>
      <c r="R488" s="20">
        <f t="shared" si="11"/>
        <v>0.27224279835390947</v>
      </c>
      <c r="S488" s="22">
        <f t="shared" si="12"/>
        <v>4.3209876543209879E-4</v>
      </c>
    </row>
    <row r="489" spans="1:19" ht="16">
      <c r="A489" s="23" t="s">
        <v>347</v>
      </c>
      <c r="B489" s="82">
        <v>122221121122</v>
      </c>
      <c r="C489" s="82"/>
      <c r="D489" s="83">
        <v>0.5</v>
      </c>
      <c r="E489" s="82">
        <v>12</v>
      </c>
      <c r="F489" s="82">
        <v>7</v>
      </c>
      <c r="G489" s="82">
        <v>18</v>
      </c>
      <c r="H489" s="24">
        <v>5.4813000000000001</v>
      </c>
      <c r="I489" s="4">
        <v>6.9999999999999999E-4</v>
      </c>
      <c r="J489" s="4">
        <v>-30.785299999999999</v>
      </c>
      <c r="K489" s="4">
        <v>1.6999999999999999E-3</v>
      </c>
      <c r="L489" s="4">
        <v>2.9000000000000001E-2</v>
      </c>
      <c r="M489" s="4">
        <v>7.0000000000000001E-3</v>
      </c>
      <c r="N489" s="4">
        <v>-7.4000000000000003E-3</v>
      </c>
      <c r="O489" s="4">
        <v>2.9999999999999997E-4</v>
      </c>
      <c r="P489" s="4">
        <v>129.30000000000001</v>
      </c>
      <c r="Q489" s="4">
        <v>0.41</v>
      </c>
      <c r="R489" s="4">
        <f t="shared" si="11"/>
        <v>0.26604938271604939</v>
      </c>
      <c r="S489" s="22">
        <f t="shared" si="12"/>
        <v>8.4362139917695475E-4</v>
      </c>
    </row>
    <row r="490" spans="1:19" ht="16">
      <c r="A490" s="19" t="s">
        <v>348</v>
      </c>
      <c r="B490" s="80">
        <v>121212222121</v>
      </c>
      <c r="C490" s="80"/>
      <c r="D490" s="81">
        <v>0.25</v>
      </c>
      <c r="E490" s="82">
        <v>12</v>
      </c>
      <c r="F490" s="82">
        <v>7</v>
      </c>
      <c r="G490" s="82">
        <v>18</v>
      </c>
      <c r="H490" s="21">
        <v>5.9264000000000001</v>
      </c>
      <c r="I490" s="4">
        <v>8.0000000000000004E-4</v>
      </c>
      <c r="J490" s="20">
        <v>-33.797800000000002</v>
      </c>
      <c r="K490" s="4">
        <v>2E-3</v>
      </c>
      <c r="L490" s="4">
        <v>0.03</v>
      </c>
      <c r="M490" s="4">
        <v>5.0000000000000001E-3</v>
      </c>
      <c r="N490" s="4">
        <v>-6.3E-3</v>
      </c>
      <c r="O490" s="4">
        <v>1E-4</v>
      </c>
      <c r="P490" s="4">
        <v>132.68</v>
      </c>
      <c r="Q490" s="4">
        <v>0.15</v>
      </c>
      <c r="R490" s="20">
        <f t="shared" si="11"/>
        <v>0.27300411522633744</v>
      </c>
      <c r="S490" s="22">
        <f t="shared" si="12"/>
        <v>3.0864197530864197E-4</v>
      </c>
    </row>
    <row r="491" spans="1:19" ht="16">
      <c r="A491" s="23" t="s">
        <v>348</v>
      </c>
      <c r="B491" s="82">
        <v>121212222121</v>
      </c>
      <c r="C491" s="82"/>
      <c r="D491" s="83">
        <v>0.5</v>
      </c>
      <c r="E491" s="82">
        <v>12</v>
      </c>
      <c r="F491" s="82">
        <v>7</v>
      </c>
      <c r="G491" s="82">
        <v>18</v>
      </c>
      <c r="H491" s="24">
        <v>5.3415999999999997</v>
      </c>
      <c r="I491" s="4">
        <v>8.9999999999999998E-4</v>
      </c>
      <c r="J491" s="4">
        <v>-31.1418</v>
      </c>
      <c r="K491" s="4">
        <v>1.4E-3</v>
      </c>
      <c r="L491" s="4">
        <v>7.8E-2</v>
      </c>
      <c r="M491" s="4">
        <v>3.0000000000000001E-3</v>
      </c>
      <c r="N491" s="4">
        <v>-8.0999999999999996E-3</v>
      </c>
      <c r="O491" s="4">
        <v>2.0000000000000001E-4</v>
      </c>
      <c r="P491" s="4">
        <v>129.77000000000001</v>
      </c>
      <c r="Q491" s="4">
        <v>0.15</v>
      </c>
      <c r="R491" s="4">
        <f t="shared" si="11"/>
        <v>0.26701646090534986</v>
      </c>
      <c r="S491" s="22">
        <f t="shared" si="12"/>
        <v>3.0864197530864197E-4</v>
      </c>
    </row>
    <row r="492" spans="1:19" ht="16">
      <c r="A492" s="19" t="s">
        <v>349</v>
      </c>
      <c r="B492" s="80">
        <v>112211222212</v>
      </c>
      <c r="C492" s="80"/>
      <c r="D492" s="81">
        <v>0.25</v>
      </c>
      <c r="E492" s="82">
        <v>12</v>
      </c>
      <c r="F492" s="82">
        <v>7</v>
      </c>
      <c r="G492" s="82">
        <v>18</v>
      </c>
      <c r="H492" s="21">
        <v>5.9527000000000001</v>
      </c>
      <c r="I492" s="4">
        <v>1E-3</v>
      </c>
      <c r="J492" s="20">
        <v>-33.711100000000002</v>
      </c>
      <c r="K492" s="4">
        <v>8.0000000000000004E-4</v>
      </c>
      <c r="L492" s="4">
        <v>3.3000000000000002E-2</v>
      </c>
      <c r="M492" s="4">
        <v>1.0999999999999999E-2</v>
      </c>
      <c r="N492" s="4">
        <v>-6.4999999999999997E-3</v>
      </c>
      <c r="O492" s="4">
        <v>2.0000000000000001E-4</v>
      </c>
      <c r="P492" s="4">
        <v>132.1</v>
      </c>
      <c r="Q492" s="4">
        <v>0.09</v>
      </c>
      <c r="R492" s="20">
        <f t="shared" si="11"/>
        <v>0.27181069958847731</v>
      </c>
      <c r="S492" s="22">
        <f t="shared" si="12"/>
        <v>1.851851851851852E-4</v>
      </c>
    </row>
    <row r="493" spans="1:19" ht="16">
      <c r="A493" s="23" t="s">
        <v>349</v>
      </c>
      <c r="B493" s="82">
        <v>112211222212</v>
      </c>
      <c r="C493" s="82"/>
      <c r="D493" s="83">
        <v>0.5</v>
      </c>
      <c r="E493" s="82">
        <v>12</v>
      </c>
      <c r="F493" s="82">
        <v>7</v>
      </c>
      <c r="G493" s="82">
        <v>18</v>
      </c>
      <c r="H493" s="24">
        <v>5.3891999999999998</v>
      </c>
      <c r="I493" s="4">
        <v>8.9999999999999998E-4</v>
      </c>
      <c r="J493" s="4">
        <v>-31.028199999999998</v>
      </c>
      <c r="K493" s="4">
        <v>8.9999999999999998E-4</v>
      </c>
      <c r="L493" s="4">
        <v>7.0999999999999994E-2</v>
      </c>
      <c r="M493" s="4">
        <v>1.2999999999999999E-2</v>
      </c>
      <c r="N493" s="4">
        <v>-8.6999999999999994E-3</v>
      </c>
      <c r="O493" s="4">
        <v>2.0000000000000001E-4</v>
      </c>
      <c r="P493" s="4">
        <v>127.63</v>
      </c>
      <c r="Q493" s="4">
        <v>0.26</v>
      </c>
      <c r="R493" s="4">
        <f t="shared" si="11"/>
        <v>0.26261316872427981</v>
      </c>
      <c r="S493" s="22">
        <f t="shared" si="12"/>
        <v>5.3497942386831272E-4</v>
      </c>
    </row>
    <row r="494" spans="1:19" ht="16">
      <c r="A494" s="19" t="s">
        <v>350</v>
      </c>
      <c r="B494" s="80">
        <v>122111222221</v>
      </c>
      <c r="C494" s="80"/>
      <c r="D494" s="81">
        <v>0.25</v>
      </c>
      <c r="E494" s="82">
        <v>12</v>
      </c>
      <c r="F494" s="82">
        <v>7</v>
      </c>
      <c r="G494" s="82">
        <v>18</v>
      </c>
      <c r="H494" s="21">
        <v>5.9504999999999999</v>
      </c>
      <c r="I494" s="4">
        <v>5.9999999999999995E-4</v>
      </c>
      <c r="J494" s="20">
        <v>-33.5809</v>
      </c>
      <c r="K494" s="4">
        <v>1.2999999999999999E-3</v>
      </c>
      <c r="L494" s="4">
        <v>2.8000000000000001E-2</v>
      </c>
      <c r="M494" s="4">
        <v>4.0000000000000001E-3</v>
      </c>
      <c r="N494" s="4">
        <v>-6.3E-3</v>
      </c>
      <c r="O494" s="4">
        <v>2.0000000000000001E-4</v>
      </c>
      <c r="P494" s="4">
        <v>132.22</v>
      </c>
      <c r="Q494" s="4">
        <v>0.28000000000000003</v>
      </c>
      <c r="R494" s="20">
        <f t="shared" si="11"/>
        <v>0.27205761316872423</v>
      </c>
      <c r="S494" s="22">
        <f t="shared" si="12"/>
        <v>5.7613168724279839E-4</v>
      </c>
    </row>
    <row r="495" spans="1:19" ht="16">
      <c r="A495" s="23" t="s">
        <v>350</v>
      </c>
      <c r="B495" s="82">
        <v>122111222221</v>
      </c>
      <c r="C495" s="82"/>
      <c r="D495" s="83">
        <v>0.5</v>
      </c>
      <c r="E495" s="82">
        <v>12</v>
      </c>
      <c r="F495" s="82">
        <v>7</v>
      </c>
      <c r="G495" s="82">
        <v>18</v>
      </c>
      <c r="H495" s="24">
        <v>5.3926999999999996</v>
      </c>
      <c r="I495" s="4">
        <v>8.9999999999999998E-4</v>
      </c>
      <c r="J495" s="4">
        <v>-30.7895</v>
      </c>
      <c r="K495" s="4">
        <v>1.4E-3</v>
      </c>
      <c r="L495" s="4">
        <v>5.6000000000000001E-2</v>
      </c>
      <c r="M495" s="4">
        <v>3.0000000000000001E-3</v>
      </c>
      <c r="N495" s="4">
        <v>-8.2000000000000007E-3</v>
      </c>
      <c r="O495" s="4">
        <v>2.0000000000000001E-4</v>
      </c>
      <c r="P495" s="4">
        <v>127.69</v>
      </c>
      <c r="Q495" s="4">
        <v>0.09</v>
      </c>
      <c r="R495" s="4">
        <f t="shared" si="11"/>
        <v>0.2627366255144033</v>
      </c>
      <c r="S495" s="22">
        <f t="shared" si="12"/>
        <v>1.851851851851852E-4</v>
      </c>
    </row>
    <row r="496" spans="1:19" ht="16">
      <c r="A496" s="19" t="s">
        <v>351</v>
      </c>
      <c r="B496" s="80">
        <v>111122222122</v>
      </c>
      <c r="C496" s="80"/>
      <c r="D496" s="81">
        <v>0.25</v>
      </c>
      <c r="E496" s="82">
        <v>12</v>
      </c>
      <c r="F496" s="82">
        <v>7</v>
      </c>
      <c r="G496" s="82">
        <v>18</v>
      </c>
      <c r="H496" s="21">
        <v>5.9378000000000002</v>
      </c>
      <c r="I496" s="4">
        <v>5.0000000000000001E-4</v>
      </c>
      <c r="J496" s="20">
        <v>-33.8977</v>
      </c>
      <c r="K496" s="4">
        <v>5.9999999999999995E-4</v>
      </c>
      <c r="L496" s="4">
        <v>4.2000000000000003E-2</v>
      </c>
      <c r="M496" s="4">
        <v>3.0000000000000001E-3</v>
      </c>
      <c r="N496" s="4">
        <v>-6.8999999999999999E-3</v>
      </c>
      <c r="O496" s="4">
        <v>2.0000000000000001E-4</v>
      </c>
      <c r="P496" s="4">
        <v>130.96</v>
      </c>
      <c r="Q496" s="4">
        <v>0.11</v>
      </c>
      <c r="R496" s="20">
        <f t="shared" si="11"/>
        <v>0.2694650205761317</v>
      </c>
      <c r="S496" s="22">
        <f t="shared" si="12"/>
        <v>2.2633744855967078E-4</v>
      </c>
    </row>
    <row r="497" spans="1:19" ht="16">
      <c r="A497" s="23" t="s">
        <v>351</v>
      </c>
      <c r="B497" s="82">
        <v>111122222122</v>
      </c>
      <c r="C497" s="82"/>
      <c r="D497" s="83">
        <v>0.5</v>
      </c>
      <c r="E497" s="82">
        <v>12</v>
      </c>
      <c r="F497" s="82">
        <v>7</v>
      </c>
      <c r="G497" s="82">
        <v>18</v>
      </c>
      <c r="H497" s="24">
        <v>5.3362999999999996</v>
      </c>
      <c r="I497" s="4">
        <v>8.0000000000000004E-4</v>
      </c>
      <c r="J497" s="4">
        <v>-31.729500000000002</v>
      </c>
      <c r="K497" s="4">
        <v>2.9999999999999997E-4</v>
      </c>
      <c r="L497" s="4">
        <v>0.14699999999999999</v>
      </c>
      <c r="M497" s="4">
        <v>8.0000000000000002E-3</v>
      </c>
      <c r="N497" s="4">
        <v>-1.2200000000000001E-2</v>
      </c>
      <c r="O497" s="4">
        <v>4.0000000000000002E-4</v>
      </c>
      <c r="P497" s="4">
        <v>118.06</v>
      </c>
      <c r="Q497" s="4">
        <v>0.48</v>
      </c>
      <c r="R497" s="4">
        <f t="shared" si="11"/>
        <v>0.24292181069958849</v>
      </c>
      <c r="S497" s="22">
        <f t="shared" si="12"/>
        <v>9.8765432098765434E-4</v>
      </c>
    </row>
    <row r="498" spans="1:19" ht="16">
      <c r="A498" s="19" t="s">
        <v>352</v>
      </c>
      <c r="B498" s="80">
        <v>112222211221</v>
      </c>
      <c r="C498" s="80"/>
      <c r="D498" s="81">
        <v>0.25</v>
      </c>
      <c r="E498" s="82">
        <v>12</v>
      </c>
      <c r="F498" s="82">
        <v>7</v>
      </c>
      <c r="G498" s="82">
        <v>18</v>
      </c>
      <c r="H498" s="21">
        <v>5.9218000000000002</v>
      </c>
      <c r="I498" s="4">
        <v>6.9999999999999999E-4</v>
      </c>
      <c r="J498" s="20">
        <v>-33.606299999999997</v>
      </c>
      <c r="K498" s="4">
        <v>1.5E-3</v>
      </c>
      <c r="L498" s="4">
        <v>3.9E-2</v>
      </c>
      <c r="M498" s="4">
        <v>6.0000000000000001E-3</v>
      </c>
      <c r="N498" s="4">
        <v>-6.6E-3</v>
      </c>
      <c r="O498" s="4">
        <v>1E-4</v>
      </c>
      <c r="P498" s="4">
        <v>132.15</v>
      </c>
      <c r="Q498" s="4">
        <v>0.17</v>
      </c>
      <c r="R498" s="20">
        <f t="shared" si="11"/>
        <v>0.27191358024691359</v>
      </c>
      <c r="S498" s="22">
        <f t="shared" si="12"/>
        <v>3.4979423868312758E-4</v>
      </c>
    </row>
    <row r="499" spans="1:19" ht="16">
      <c r="A499" s="23" t="s">
        <v>352</v>
      </c>
      <c r="B499" s="82">
        <v>112222211221</v>
      </c>
      <c r="C499" s="82"/>
      <c r="D499" s="83">
        <v>0.5</v>
      </c>
      <c r="E499" s="82">
        <v>12</v>
      </c>
      <c r="F499" s="82">
        <v>7</v>
      </c>
      <c r="G499" s="82">
        <v>18</v>
      </c>
      <c r="H499" s="24">
        <v>5.3288000000000002</v>
      </c>
      <c r="I499" s="4">
        <v>1E-3</v>
      </c>
      <c r="J499" s="4">
        <v>-30.837499999999999</v>
      </c>
      <c r="K499" s="4">
        <v>1.1000000000000001E-3</v>
      </c>
      <c r="L499" s="4">
        <v>7.9000000000000001E-2</v>
      </c>
      <c r="M499" s="4">
        <v>8.9999999999999993E-3</v>
      </c>
      <c r="N499" s="4">
        <v>-8.5000000000000006E-3</v>
      </c>
      <c r="O499" s="4">
        <v>2.0000000000000001E-4</v>
      </c>
      <c r="P499" s="4">
        <v>128.26</v>
      </c>
      <c r="Q499" s="4">
        <v>0.04</v>
      </c>
      <c r="R499" s="4">
        <f t="shared" si="11"/>
        <v>0.26390946502057611</v>
      </c>
      <c r="S499" s="22">
        <f t="shared" si="12"/>
        <v>8.2304526748971186E-5</v>
      </c>
    </row>
    <row r="500" spans="1:19" ht="16">
      <c r="A500" s="19" t="s">
        <v>353</v>
      </c>
      <c r="B500" s="80">
        <v>221121122122</v>
      </c>
      <c r="C500" s="80"/>
      <c r="D500" s="81">
        <v>0.25</v>
      </c>
      <c r="E500" s="82">
        <v>12</v>
      </c>
      <c r="F500" s="82">
        <v>7</v>
      </c>
      <c r="G500" s="82">
        <v>18</v>
      </c>
      <c r="H500" s="21">
        <v>6.0252999999999997</v>
      </c>
      <c r="I500" s="4">
        <v>1E-3</v>
      </c>
      <c r="J500" s="20">
        <v>-33.690199999999997</v>
      </c>
      <c r="K500" s="4">
        <v>1.8E-3</v>
      </c>
      <c r="L500" s="4">
        <v>2.5999999999999999E-2</v>
      </c>
      <c r="M500" s="4">
        <v>3.0000000000000001E-3</v>
      </c>
      <c r="N500" s="4">
        <v>-6.0000000000000001E-3</v>
      </c>
      <c r="O500" s="4">
        <v>2.9999999999999997E-4</v>
      </c>
      <c r="P500" s="4">
        <v>132.44</v>
      </c>
      <c r="Q500" s="4">
        <v>0.31</v>
      </c>
      <c r="R500" s="20">
        <f t="shared" si="11"/>
        <v>0.2725102880658436</v>
      </c>
      <c r="S500" s="22">
        <f t="shared" si="12"/>
        <v>6.3786008230452666E-4</v>
      </c>
    </row>
    <row r="501" spans="1:19" ht="16">
      <c r="A501" s="23" t="s">
        <v>353</v>
      </c>
      <c r="B501" s="82">
        <v>221121122122</v>
      </c>
      <c r="C501" s="82"/>
      <c r="D501" s="83">
        <v>0.5</v>
      </c>
      <c r="E501" s="82">
        <v>12</v>
      </c>
      <c r="F501" s="82">
        <v>7</v>
      </c>
      <c r="G501" s="82">
        <v>18</v>
      </c>
      <c r="H501" s="24">
        <v>5.5495000000000001</v>
      </c>
      <c r="I501" s="4">
        <v>4.0000000000000002E-4</v>
      </c>
      <c r="J501" s="4">
        <v>-30.905799999999999</v>
      </c>
      <c r="K501" s="4">
        <v>2.3E-3</v>
      </c>
      <c r="L501" s="4">
        <v>2.3E-2</v>
      </c>
      <c r="M501" s="4">
        <v>5.0000000000000001E-3</v>
      </c>
      <c r="N501" s="4">
        <v>-7.3000000000000001E-3</v>
      </c>
      <c r="O501" s="4">
        <v>1E-4</v>
      </c>
      <c r="P501" s="4">
        <v>129.52000000000001</v>
      </c>
      <c r="Q501" s="4">
        <v>0.1</v>
      </c>
      <c r="R501" s="4">
        <f t="shared" si="11"/>
        <v>0.26650205761316875</v>
      </c>
      <c r="S501" s="22">
        <f t="shared" si="12"/>
        <v>2.0576131687242801E-4</v>
      </c>
    </row>
    <row r="502" spans="1:19" ht="16">
      <c r="A502" s="19" t="s">
        <v>354</v>
      </c>
      <c r="B502" s="80">
        <v>111112222222</v>
      </c>
      <c r="C502" s="80" t="s">
        <v>17</v>
      </c>
      <c r="D502" s="81">
        <v>0.25</v>
      </c>
      <c r="E502" s="82">
        <v>12</v>
      </c>
      <c r="F502" s="82">
        <v>7</v>
      </c>
      <c r="G502" s="82">
        <v>18</v>
      </c>
      <c r="H502" s="21">
        <v>5.9454000000000002</v>
      </c>
      <c r="I502" s="4">
        <v>8.0000000000000004E-4</v>
      </c>
      <c r="J502" s="20">
        <v>-34.093000000000004</v>
      </c>
      <c r="K502" s="4">
        <v>1.4E-3</v>
      </c>
      <c r="L502" s="4">
        <v>5.1999999999999998E-2</v>
      </c>
      <c r="M502" s="4">
        <v>6.0000000000000001E-3</v>
      </c>
      <c r="N502" s="4">
        <v>-7.3000000000000001E-3</v>
      </c>
      <c r="O502" s="4">
        <v>2.9999999999999997E-4</v>
      </c>
      <c r="P502" s="4">
        <v>129.30000000000001</v>
      </c>
      <c r="Q502" s="4">
        <v>0.24</v>
      </c>
      <c r="R502" s="20">
        <f t="shared" si="11"/>
        <v>0.26604938271604939</v>
      </c>
      <c r="S502" s="22">
        <f t="shared" si="12"/>
        <v>4.9382716049382717E-4</v>
      </c>
    </row>
    <row r="503" spans="1:19" ht="16">
      <c r="A503" s="23" t="s">
        <v>354</v>
      </c>
      <c r="B503" s="82">
        <v>111112222222</v>
      </c>
      <c r="C503" s="82" t="s">
        <v>17</v>
      </c>
      <c r="D503" s="83">
        <v>0.5</v>
      </c>
      <c r="E503" s="82">
        <v>12</v>
      </c>
      <c r="F503" s="82">
        <v>7</v>
      </c>
      <c r="G503" s="82">
        <v>18</v>
      </c>
      <c r="H503" s="24">
        <v>5.3186</v>
      </c>
      <c r="I503" s="4">
        <v>1E-3</v>
      </c>
      <c r="J503" s="4">
        <v>-32.716000000000001</v>
      </c>
      <c r="K503" s="4">
        <v>6.9999999999999999E-4</v>
      </c>
      <c r="L503" s="4">
        <v>0.10100000000000001</v>
      </c>
      <c r="M503" s="4">
        <v>2.7E-2</v>
      </c>
      <c r="N503" s="4">
        <v>-1.7600000000000001E-2</v>
      </c>
      <c r="O503" s="4">
        <v>1E-4</v>
      </c>
      <c r="P503" s="4">
        <v>100.42</v>
      </c>
      <c r="Q503" s="4">
        <v>0.05</v>
      </c>
      <c r="R503" s="4">
        <f t="shared" si="11"/>
        <v>0.20662551440329219</v>
      </c>
      <c r="S503" s="22">
        <f t="shared" si="12"/>
        <v>1.02880658436214E-4</v>
      </c>
    </row>
    <row r="504" spans="1:19" ht="16">
      <c r="A504" s="19" t="s">
        <v>355</v>
      </c>
      <c r="B504" s="80">
        <v>121212122122</v>
      </c>
      <c r="C504" s="20"/>
      <c r="D504" s="81">
        <v>0.25</v>
      </c>
      <c r="E504" s="82">
        <v>12</v>
      </c>
      <c r="F504" s="82">
        <v>7</v>
      </c>
      <c r="G504" s="82">
        <v>18</v>
      </c>
      <c r="H504" s="21">
        <v>5.9789000000000003</v>
      </c>
      <c r="I504" s="4">
        <v>6.9999999999999999E-4</v>
      </c>
      <c r="J504" s="20">
        <v>-33.826099999999997</v>
      </c>
      <c r="K504" s="4">
        <v>1.1000000000000001E-3</v>
      </c>
      <c r="L504" s="4">
        <v>2.5000000000000001E-2</v>
      </c>
      <c r="M504" s="4">
        <v>3.0000000000000001E-3</v>
      </c>
      <c r="N504" s="4">
        <v>-6.1999999999999998E-3</v>
      </c>
      <c r="O504" s="4">
        <v>2.0000000000000001E-4</v>
      </c>
      <c r="P504" s="4">
        <v>132.68</v>
      </c>
      <c r="Q504" s="4">
        <v>0.17</v>
      </c>
      <c r="R504" s="20">
        <f t="shared" si="11"/>
        <v>0.27300411522633744</v>
      </c>
      <c r="S504" s="22">
        <f t="shared" si="12"/>
        <v>3.4979423868312758E-4</v>
      </c>
    </row>
    <row r="505" spans="1:19" ht="16">
      <c r="A505" s="23" t="s">
        <v>355</v>
      </c>
      <c r="B505" s="82">
        <v>121212122122</v>
      </c>
      <c r="C505" s="82"/>
      <c r="D505" s="83">
        <v>0.5</v>
      </c>
      <c r="E505" s="82">
        <v>12</v>
      </c>
      <c r="F505" s="82">
        <v>7</v>
      </c>
      <c r="G505" s="82">
        <v>18</v>
      </c>
      <c r="H505" s="24">
        <v>5.4518000000000004</v>
      </c>
      <c r="I505" s="4">
        <v>1E-3</v>
      </c>
      <c r="J505" s="4">
        <v>-31.155999999999999</v>
      </c>
      <c r="K505" s="4">
        <v>1.6000000000000001E-3</v>
      </c>
      <c r="L505" s="4">
        <v>3.7999999999999999E-2</v>
      </c>
      <c r="M505" s="4">
        <v>2.3E-2</v>
      </c>
      <c r="N505" s="4">
        <v>-7.4999999999999997E-3</v>
      </c>
      <c r="O505" s="4">
        <v>5.0000000000000001E-4</v>
      </c>
      <c r="P505" s="4">
        <v>130.21</v>
      </c>
      <c r="Q505" s="4">
        <v>0.27</v>
      </c>
      <c r="R505" s="4">
        <f t="shared" si="11"/>
        <v>0.26792181069958848</v>
      </c>
      <c r="S505" s="22">
        <f t="shared" si="12"/>
        <v>5.5555555555555556E-4</v>
      </c>
    </row>
    <row r="506" spans="1:19" ht="16">
      <c r="A506" s="19" t="s">
        <v>356</v>
      </c>
      <c r="B506" s="80">
        <v>122122112212</v>
      </c>
      <c r="C506" s="20"/>
      <c r="D506" s="81">
        <v>0.25</v>
      </c>
      <c r="E506" s="82">
        <v>12</v>
      </c>
      <c r="F506" s="82">
        <v>7</v>
      </c>
      <c r="G506" s="82">
        <v>18</v>
      </c>
      <c r="H506" s="21">
        <v>5.9776999999999996</v>
      </c>
      <c r="I506" s="4">
        <v>8.9999999999999998E-4</v>
      </c>
      <c r="J506" s="20">
        <v>-33.663200000000003</v>
      </c>
      <c r="K506" s="4">
        <v>6.9999999999999999E-4</v>
      </c>
      <c r="L506" s="4">
        <v>2.8000000000000001E-2</v>
      </c>
      <c r="M506" s="4">
        <v>5.0000000000000001E-3</v>
      </c>
      <c r="N506" s="4">
        <v>-6.1999999999999998E-3</v>
      </c>
      <c r="O506" s="4">
        <v>2.9999999999999997E-4</v>
      </c>
      <c r="P506" s="4">
        <v>132.74</v>
      </c>
      <c r="Q506" s="4">
        <v>0.22</v>
      </c>
      <c r="R506" s="20">
        <f t="shared" si="11"/>
        <v>0.27312757201646093</v>
      </c>
      <c r="S506" s="22">
        <f t="shared" si="12"/>
        <v>4.5267489711934157E-4</v>
      </c>
    </row>
    <row r="507" spans="1:19" ht="16">
      <c r="A507" s="23" t="s">
        <v>356</v>
      </c>
      <c r="B507" s="82">
        <v>122122112212</v>
      </c>
      <c r="C507" s="82"/>
      <c r="D507" s="83">
        <v>0.5</v>
      </c>
      <c r="E507" s="82">
        <v>12</v>
      </c>
      <c r="F507" s="82">
        <v>7</v>
      </c>
      <c r="G507" s="82">
        <v>18</v>
      </c>
      <c r="H507" s="24">
        <v>5.4516</v>
      </c>
      <c r="I507" s="4">
        <v>4.0000000000000002E-4</v>
      </c>
      <c r="J507" s="4">
        <v>-30.814900000000002</v>
      </c>
      <c r="K507" s="4">
        <v>1E-3</v>
      </c>
      <c r="L507" s="4">
        <v>4.7E-2</v>
      </c>
      <c r="M507" s="4">
        <v>5.0000000000000001E-3</v>
      </c>
      <c r="N507" s="4">
        <v>-7.4999999999999997E-3</v>
      </c>
      <c r="O507" s="4">
        <v>2.0000000000000001E-4</v>
      </c>
      <c r="P507" s="4">
        <v>130.93</v>
      </c>
      <c r="Q507" s="4">
        <v>0.2</v>
      </c>
      <c r="R507" s="4">
        <f t="shared" si="11"/>
        <v>0.26940329218106995</v>
      </c>
      <c r="S507" s="22">
        <f t="shared" si="12"/>
        <v>4.1152263374485601E-4</v>
      </c>
    </row>
    <row r="508" spans="1:19" ht="16">
      <c r="A508" s="19" t="s">
        <v>357</v>
      </c>
      <c r="B508" s="80">
        <v>121222112122</v>
      </c>
      <c r="C508" s="80"/>
      <c r="D508" s="81">
        <v>0.25</v>
      </c>
      <c r="E508" s="82">
        <v>12</v>
      </c>
      <c r="F508" s="82">
        <v>7</v>
      </c>
      <c r="G508" s="82">
        <v>18</v>
      </c>
      <c r="H508" s="21">
        <v>5.98</v>
      </c>
      <c r="I508" s="4">
        <v>8.9999999999999998E-4</v>
      </c>
      <c r="J508" s="20">
        <v>-33.705399999999997</v>
      </c>
      <c r="K508" s="4">
        <v>2.2000000000000001E-3</v>
      </c>
      <c r="L508" s="4">
        <v>2.9000000000000001E-2</v>
      </c>
      <c r="M508" s="4">
        <v>4.0000000000000001E-3</v>
      </c>
      <c r="N508" s="4">
        <v>-6.1000000000000004E-3</v>
      </c>
      <c r="O508" s="4">
        <v>2.9999999999999997E-4</v>
      </c>
      <c r="P508" s="4">
        <v>132.72</v>
      </c>
      <c r="Q508" s="4">
        <v>0.25</v>
      </c>
      <c r="R508" s="20">
        <f t="shared" si="11"/>
        <v>0.2730864197530864</v>
      </c>
      <c r="S508" s="22">
        <f t="shared" si="12"/>
        <v>5.1440329218107E-4</v>
      </c>
    </row>
    <row r="509" spans="1:19" ht="16">
      <c r="A509" s="23" t="s">
        <v>357</v>
      </c>
      <c r="B509" s="82">
        <v>121222112122</v>
      </c>
      <c r="C509" s="82"/>
      <c r="D509" s="83">
        <v>0.5</v>
      </c>
      <c r="E509" s="82">
        <v>12</v>
      </c>
      <c r="F509" s="82">
        <v>7</v>
      </c>
      <c r="G509" s="82">
        <v>18</v>
      </c>
      <c r="H509" s="24">
        <v>5.4585999999999997</v>
      </c>
      <c r="I509" s="4">
        <v>5.9999999999999995E-4</v>
      </c>
      <c r="J509" s="4">
        <v>-30.924600000000002</v>
      </c>
      <c r="K509" s="4">
        <v>1.4E-3</v>
      </c>
      <c r="L509" s="4">
        <v>3.6999999999999998E-2</v>
      </c>
      <c r="M509" s="4">
        <v>4.0000000000000001E-3</v>
      </c>
      <c r="N509" s="4">
        <v>-7.1999999999999998E-3</v>
      </c>
      <c r="O509" s="4">
        <v>2.9999999999999997E-4</v>
      </c>
      <c r="P509" s="4">
        <v>130.46</v>
      </c>
      <c r="Q509" s="4">
        <v>0.26</v>
      </c>
      <c r="R509" s="4">
        <f t="shared" si="11"/>
        <v>0.26843621399176953</v>
      </c>
      <c r="S509" s="22">
        <f t="shared" si="12"/>
        <v>5.3497942386831272E-4</v>
      </c>
    </row>
    <row r="510" spans="1:19" ht="16">
      <c r="A510" s="19" t="s">
        <v>358</v>
      </c>
      <c r="B510" s="80">
        <v>121221211222</v>
      </c>
      <c r="C510" s="80"/>
      <c r="D510" s="81">
        <v>0.25</v>
      </c>
      <c r="E510" s="82">
        <v>12</v>
      </c>
      <c r="F510" s="82">
        <v>7</v>
      </c>
      <c r="G510" s="82">
        <v>18</v>
      </c>
      <c r="H510" s="21">
        <v>5.9874999999999998</v>
      </c>
      <c r="I510" s="4">
        <v>5.9999999999999995E-4</v>
      </c>
      <c r="J510" s="20">
        <v>-33.7089</v>
      </c>
      <c r="K510" s="4">
        <v>1.5E-3</v>
      </c>
      <c r="L510" s="4">
        <v>2.3E-2</v>
      </c>
      <c r="M510" s="4">
        <v>3.0000000000000001E-3</v>
      </c>
      <c r="N510" s="4">
        <v>-6.4000000000000003E-3</v>
      </c>
      <c r="O510" s="4">
        <v>2.0000000000000001E-4</v>
      </c>
      <c r="P510" s="4">
        <v>132.38999999999999</v>
      </c>
      <c r="Q510" s="4">
        <v>0.17</v>
      </c>
      <c r="R510" s="20">
        <f t="shared" si="11"/>
        <v>0.27240740740740738</v>
      </c>
      <c r="S510" s="22">
        <f t="shared" si="12"/>
        <v>3.4979423868312758E-4</v>
      </c>
    </row>
    <row r="511" spans="1:19" ht="16">
      <c r="A511" s="23" t="s">
        <v>358</v>
      </c>
      <c r="B511" s="82">
        <v>121221211222</v>
      </c>
      <c r="C511" s="82"/>
      <c r="D511" s="83">
        <v>0.5</v>
      </c>
      <c r="E511" s="82">
        <v>12</v>
      </c>
      <c r="F511" s="82">
        <v>7</v>
      </c>
      <c r="G511" s="82">
        <v>18</v>
      </c>
      <c r="H511" s="24">
        <v>5.4715999999999996</v>
      </c>
      <c r="I511" s="4">
        <v>5.0000000000000001E-4</v>
      </c>
      <c r="J511" s="4">
        <v>-30.943000000000001</v>
      </c>
      <c r="K511" s="4">
        <v>1.6000000000000001E-3</v>
      </c>
      <c r="L511" s="4">
        <v>2.7E-2</v>
      </c>
      <c r="M511" s="4">
        <v>5.0000000000000001E-3</v>
      </c>
      <c r="N511" s="4">
        <v>-7.6E-3</v>
      </c>
      <c r="O511" s="4">
        <v>2.9999999999999997E-4</v>
      </c>
      <c r="P511" s="4">
        <v>129.62</v>
      </c>
      <c r="Q511" s="4">
        <v>0.24</v>
      </c>
      <c r="R511" s="4">
        <f t="shared" si="11"/>
        <v>0.26670781893004114</v>
      </c>
      <c r="S511" s="22">
        <f t="shared" si="12"/>
        <v>4.9382716049382717E-4</v>
      </c>
    </row>
    <row r="512" spans="1:19" ht="16">
      <c r="A512" s="19" t="s">
        <v>359</v>
      </c>
      <c r="B512" s="80">
        <v>122112212221</v>
      </c>
      <c r="C512" s="80"/>
      <c r="D512" s="81">
        <v>0.25</v>
      </c>
      <c r="E512" s="82">
        <v>12</v>
      </c>
      <c r="F512" s="82">
        <v>7</v>
      </c>
      <c r="G512" s="82">
        <v>18</v>
      </c>
      <c r="H512" s="21">
        <v>5.9486999999999997</v>
      </c>
      <c r="I512" s="4">
        <v>5.9999999999999995E-4</v>
      </c>
      <c r="J512" s="20">
        <v>-33.570900000000002</v>
      </c>
      <c r="K512" s="4">
        <v>2.3E-3</v>
      </c>
      <c r="L512" s="4">
        <v>3.3000000000000002E-2</v>
      </c>
      <c r="M512" s="4">
        <v>6.0000000000000001E-3</v>
      </c>
      <c r="N512" s="4">
        <v>-6.4999999999999997E-3</v>
      </c>
      <c r="O512" s="4">
        <v>2.0000000000000001E-4</v>
      </c>
      <c r="P512" s="4">
        <v>132.46</v>
      </c>
      <c r="Q512" s="4">
        <v>0.3</v>
      </c>
      <c r="R512" s="20">
        <f t="shared" si="11"/>
        <v>0.27255144032921813</v>
      </c>
      <c r="S512" s="22">
        <f t="shared" si="12"/>
        <v>6.1728395061728394E-4</v>
      </c>
    </row>
    <row r="513" spans="1:19" ht="16">
      <c r="A513" s="23" t="s">
        <v>359</v>
      </c>
      <c r="B513" s="82">
        <v>122112212221</v>
      </c>
      <c r="C513" s="82"/>
      <c r="D513" s="83">
        <v>0.5</v>
      </c>
      <c r="E513" s="82">
        <v>12</v>
      </c>
      <c r="F513" s="82">
        <v>7</v>
      </c>
      <c r="G513" s="82">
        <v>18</v>
      </c>
      <c r="H513" s="24">
        <v>5.3933999999999997</v>
      </c>
      <c r="I513" s="4">
        <v>8.9999999999999998E-4</v>
      </c>
      <c r="J513" s="4">
        <v>-30.6602</v>
      </c>
      <c r="K513" s="4">
        <v>1.6999999999999999E-3</v>
      </c>
      <c r="L513" s="4">
        <v>4.3999999999999997E-2</v>
      </c>
      <c r="M513" s="4">
        <v>1E-3</v>
      </c>
      <c r="N513" s="4">
        <v>-7.4999999999999997E-3</v>
      </c>
      <c r="O513" s="4">
        <v>2.9999999999999997E-4</v>
      </c>
      <c r="P513" s="4">
        <v>130.43</v>
      </c>
      <c r="Q513" s="4">
        <v>0.25</v>
      </c>
      <c r="R513" s="4">
        <f t="shared" si="11"/>
        <v>0.26837448559670785</v>
      </c>
      <c r="S513" s="22">
        <f t="shared" si="12"/>
        <v>5.1440329218107E-4</v>
      </c>
    </row>
    <row r="514" spans="1:19" ht="16">
      <c r="A514" s="19" t="s">
        <v>360</v>
      </c>
      <c r="B514" s="80">
        <v>112212122212</v>
      </c>
      <c r="C514" s="80"/>
      <c r="D514" s="81">
        <v>0.25</v>
      </c>
      <c r="E514" s="82">
        <v>12</v>
      </c>
      <c r="F514" s="82">
        <v>7</v>
      </c>
      <c r="G514" s="82">
        <v>18</v>
      </c>
      <c r="H514" s="21">
        <v>5.9527000000000001</v>
      </c>
      <c r="I514" s="4">
        <v>8.9999999999999998E-4</v>
      </c>
      <c r="J514" s="20">
        <v>-33.783799999999999</v>
      </c>
      <c r="K514" s="4">
        <v>2.8999999999999998E-3</v>
      </c>
      <c r="L514" s="4">
        <v>3.5999999999999997E-2</v>
      </c>
      <c r="M514" s="4">
        <v>6.0000000000000001E-3</v>
      </c>
      <c r="N514" s="4">
        <v>-6.4000000000000003E-3</v>
      </c>
      <c r="O514" s="4">
        <v>2.9999999999999997E-4</v>
      </c>
      <c r="P514" s="4">
        <v>132.5</v>
      </c>
      <c r="Q514" s="4">
        <v>0.32</v>
      </c>
      <c r="R514" s="20">
        <f t="shared" si="11"/>
        <v>0.27263374485596709</v>
      </c>
      <c r="S514" s="22">
        <f t="shared" si="12"/>
        <v>6.5843621399176949E-4</v>
      </c>
    </row>
    <row r="515" spans="1:19" ht="16">
      <c r="A515" s="23" t="s">
        <v>360</v>
      </c>
      <c r="B515" s="82">
        <v>112212122212</v>
      </c>
      <c r="C515" s="82"/>
      <c r="D515" s="83">
        <v>0.5</v>
      </c>
      <c r="E515" s="82">
        <v>12</v>
      </c>
      <c r="F515" s="82">
        <v>7</v>
      </c>
      <c r="G515" s="82">
        <v>18</v>
      </c>
      <c r="H515" s="24">
        <v>5.3947000000000003</v>
      </c>
      <c r="I515" s="4">
        <v>8.9999999999999998E-4</v>
      </c>
      <c r="J515" s="4">
        <v>-31.118400000000001</v>
      </c>
      <c r="K515" s="4">
        <v>1.4E-3</v>
      </c>
      <c r="L515" s="4">
        <v>6.5000000000000002E-2</v>
      </c>
      <c r="M515" s="4">
        <v>1.2E-2</v>
      </c>
      <c r="N515" s="4">
        <v>-8.5000000000000006E-3</v>
      </c>
      <c r="O515" s="4">
        <v>4.0000000000000002E-4</v>
      </c>
      <c r="P515" s="4">
        <v>128.84</v>
      </c>
      <c r="Q515" s="4">
        <v>0.37</v>
      </c>
      <c r="R515" s="4">
        <f t="shared" si="11"/>
        <v>0.26510288065843618</v>
      </c>
      <c r="S515" s="22">
        <f t="shared" si="12"/>
        <v>7.6131687242798343E-4</v>
      </c>
    </row>
    <row r="516" spans="1:19" ht="16">
      <c r="A516" s="19" t="s">
        <v>361</v>
      </c>
      <c r="B516" s="80">
        <v>121221112222</v>
      </c>
      <c r="C516" s="20"/>
      <c r="D516" s="81">
        <v>0.25</v>
      </c>
      <c r="E516" s="82">
        <v>12</v>
      </c>
      <c r="F516" s="82">
        <v>7</v>
      </c>
      <c r="G516" s="82">
        <v>18</v>
      </c>
      <c r="H516" s="21">
        <v>5.9927000000000001</v>
      </c>
      <c r="I516" s="4">
        <v>8.0000000000000004E-4</v>
      </c>
      <c r="J516" s="20">
        <v>-33.670499999999997</v>
      </c>
      <c r="K516" s="4">
        <v>2.3E-3</v>
      </c>
      <c r="L516" s="4">
        <v>2.8000000000000001E-2</v>
      </c>
      <c r="M516" s="4">
        <v>6.0000000000000001E-3</v>
      </c>
      <c r="N516" s="4">
        <v>-6.4999999999999997E-3</v>
      </c>
      <c r="O516" s="4">
        <v>1E-4</v>
      </c>
      <c r="P516" s="4">
        <v>131.87</v>
      </c>
      <c r="Q516" s="4">
        <v>0.18</v>
      </c>
      <c r="R516" s="20">
        <f t="shared" si="11"/>
        <v>0.27133744855967079</v>
      </c>
      <c r="S516" s="22">
        <f t="shared" si="12"/>
        <v>3.7037037037037041E-4</v>
      </c>
    </row>
    <row r="517" spans="1:19" ht="16">
      <c r="A517" s="23" t="s">
        <v>361</v>
      </c>
      <c r="B517" s="82">
        <v>121221112222</v>
      </c>
      <c r="C517" s="82"/>
      <c r="D517" s="83">
        <v>0.5</v>
      </c>
      <c r="E517" s="82">
        <v>12</v>
      </c>
      <c r="F517" s="82">
        <v>7</v>
      </c>
      <c r="G517" s="82">
        <v>18</v>
      </c>
      <c r="H517" s="24">
        <v>5.4786000000000001</v>
      </c>
      <c r="I517" s="4">
        <v>2.9999999999999997E-4</v>
      </c>
      <c r="J517" s="4">
        <v>-30.944700000000001</v>
      </c>
      <c r="K517" s="4">
        <v>1E-3</v>
      </c>
      <c r="L517" s="4">
        <v>4.1000000000000002E-2</v>
      </c>
      <c r="M517" s="4">
        <v>8.9999999999999993E-3</v>
      </c>
      <c r="N517" s="4">
        <v>-8.0999999999999996E-3</v>
      </c>
      <c r="O517" s="4">
        <v>5.0000000000000001E-4</v>
      </c>
      <c r="P517" s="4">
        <v>127.56</v>
      </c>
      <c r="Q517" s="4">
        <v>0.35</v>
      </c>
      <c r="R517" s="4">
        <f t="shared" si="11"/>
        <v>0.26246913580246917</v>
      </c>
      <c r="S517" s="22">
        <f t="shared" si="12"/>
        <v>7.2016460905349787E-4</v>
      </c>
    </row>
    <row r="518" spans="1:19" ht="16">
      <c r="A518" s="19" t="s">
        <v>362</v>
      </c>
      <c r="B518" s="80">
        <v>212122121122</v>
      </c>
      <c r="C518" s="20"/>
      <c r="D518" s="81">
        <v>0.25</v>
      </c>
      <c r="E518" s="82">
        <v>12</v>
      </c>
      <c r="F518" s="82">
        <v>7</v>
      </c>
      <c r="G518" s="82">
        <v>18</v>
      </c>
      <c r="H518" s="21">
        <v>6.0082000000000004</v>
      </c>
      <c r="I518" s="4">
        <v>8.9999999999999998E-4</v>
      </c>
      <c r="J518" s="20">
        <v>-33.794600000000003</v>
      </c>
      <c r="K518" s="4">
        <v>1.6999999999999999E-3</v>
      </c>
      <c r="L518" s="4">
        <v>2.1999999999999999E-2</v>
      </c>
      <c r="M518" s="4">
        <v>4.0000000000000001E-3</v>
      </c>
      <c r="N518" s="4">
        <v>-6.0000000000000001E-3</v>
      </c>
      <c r="O518" s="4">
        <v>2.0000000000000001E-4</v>
      </c>
      <c r="P518" s="4">
        <v>132.71</v>
      </c>
      <c r="Q518" s="4">
        <v>0.22</v>
      </c>
      <c r="R518" s="20">
        <f t="shared" si="11"/>
        <v>0.27306584362139918</v>
      </c>
      <c r="S518" s="22">
        <f t="shared" si="12"/>
        <v>4.5267489711934157E-4</v>
      </c>
    </row>
    <row r="519" spans="1:19" ht="16">
      <c r="A519" s="23" t="s">
        <v>362</v>
      </c>
      <c r="B519" s="82">
        <v>212122121122</v>
      </c>
      <c r="C519" s="82"/>
      <c r="D519" s="83">
        <v>0.5</v>
      </c>
      <c r="E519" s="82">
        <v>12</v>
      </c>
      <c r="F519" s="82">
        <v>7</v>
      </c>
      <c r="G519" s="82">
        <v>18</v>
      </c>
      <c r="H519" s="24">
        <v>5.5168999999999997</v>
      </c>
      <c r="I519" s="4">
        <v>1E-3</v>
      </c>
      <c r="J519" s="4">
        <v>-31.070499999999999</v>
      </c>
      <c r="K519" s="4">
        <v>1.5E-3</v>
      </c>
      <c r="L519" s="4">
        <v>0.02</v>
      </c>
      <c r="M519" s="4">
        <v>4.0000000000000001E-3</v>
      </c>
      <c r="N519" s="4">
        <v>-6.8999999999999999E-3</v>
      </c>
      <c r="O519" s="4">
        <v>1E-4</v>
      </c>
      <c r="P519" s="4">
        <v>130.94999999999999</v>
      </c>
      <c r="Q519" s="4">
        <v>0.12</v>
      </c>
      <c r="R519" s="4">
        <f t="shared" si="11"/>
        <v>0.26944444444444443</v>
      </c>
      <c r="S519" s="22">
        <f t="shared" si="12"/>
        <v>2.4691358024691359E-4</v>
      </c>
    </row>
    <row r="520" spans="1:19" ht="16">
      <c r="A520" s="19" t="s">
        <v>363</v>
      </c>
      <c r="B520" s="80">
        <v>111222212212</v>
      </c>
      <c r="C520" s="20"/>
      <c r="D520" s="81">
        <v>0.25</v>
      </c>
      <c r="E520" s="82">
        <v>12</v>
      </c>
      <c r="F520" s="82">
        <v>7</v>
      </c>
      <c r="G520" s="82">
        <v>18</v>
      </c>
      <c r="H520" s="21">
        <v>5.9347000000000003</v>
      </c>
      <c r="I520" s="4">
        <v>6.9999999999999999E-4</v>
      </c>
      <c r="J520" s="20">
        <v>-33.813099999999999</v>
      </c>
      <c r="K520" s="4">
        <v>1E-3</v>
      </c>
      <c r="L520" s="4">
        <v>3.5999999999999997E-2</v>
      </c>
      <c r="M520" s="4">
        <v>6.0000000000000001E-3</v>
      </c>
      <c r="N520" s="4">
        <v>-6.6E-3</v>
      </c>
      <c r="O520" s="4">
        <v>2.9999999999999997E-4</v>
      </c>
      <c r="P520" s="4">
        <v>132.02000000000001</v>
      </c>
      <c r="Q520" s="4">
        <v>0.14000000000000001</v>
      </c>
      <c r="R520" s="20">
        <f t="shared" si="11"/>
        <v>0.27164609053497946</v>
      </c>
      <c r="S520" s="22">
        <f t="shared" si="12"/>
        <v>2.8806584362139919E-4</v>
      </c>
    </row>
    <row r="521" spans="1:19" ht="16">
      <c r="A521" s="23" t="s">
        <v>363</v>
      </c>
      <c r="B521" s="82">
        <v>111222212212</v>
      </c>
      <c r="C521" s="82"/>
      <c r="D521" s="83">
        <v>0.5</v>
      </c>
      <c r="E521" s="82">
        <v>12</v>
      </c>
      <c r="F521" s="82">
        <v>7</v>
      </c>
      <c r="G521" s="82">
        <v>18</v>
      </c>
      <c r="H521" s="24">
        <v>5.3487999999999998</v>
      </c>
      <c r="I521" s="4">
        <v>5.0000000000000001E-4</v>
      </c>
      <c r="J521" s="4">
        <v>-31.296500000000002</v>
      </c>
      <c r="K521" s="4">
        <v>8.9999999999999998E-4</v>
      </c>
      <c r="L521" s="4">
        <v>8.5999999999999993E-2</v>
      </c>
      <c r="M521" s="4">
        <v>3.0000000000000001E-3</v>
      </c>
      <c r="N521" s="4">
        <v>-9.2999999999999992E-3</v>
      </c>
      <c r="O521" s="4">
        <v>2.0000000000000001E-4</v>
      </c>
      <c r="P521" s="4">
        <v>126.13</v>
      </c>
      <c r="Q521" s="4">
        <v>0.21</v>
      </c>
      <c r="R521" s="4">
        <f t="shared" si="11"/>
        <v>0.25952674897119343</v>
      </c>
      <c r="S521" s="22">
        <f t="shared" si="12"/>
        <v>4.3209876543209879E-4</v>
      </c>
    </row>
    <row r="522" spans="1:19" ht="16">
      <c r="A522" s="19" t="s">
        <v>364</v>
      </c>
      <c r="B522" s="80">
        <v>211212112222</v>
      </c>
      <c r="C522" s="20"/>
      <c r="D522" s="81">
        <v>0.25</v>
      </c>
      <c r="E522" s="82">
        <v>12</v>
      </c>
      <c r="F522" s="82">
        <v>7</v>
      </c>
      <c r="G522" s="82">
        <v>18</v>
      </c>
      <c r="H522" s="21">
        <v>6.0143000000000004</v>
      </c>
      <c r="I522" s="4">
        <v>2.9999999999999997E-4</v>
      </c>
      <c r="J522" s="20">
        <v>-33.797699999999999</v>
      </c>
      <c r="K522" s="4">
        <v>1.1999999999999999E-3</v>
      </c>
      <c r="L522" s="4">
        <v>0.03</v>
      </c>
      <c r="M522" s="4">
        <v>2E-3</v>
      </c>
      <c r="N522" s="4">
        <v>-6.3E-3</v>
      </c>
      <c r="O522" s="4">
        <v>2.0000000000000001E-4</v>
      </c>
      <c r="P522" s="4">
        <v>131.97999999999999</v>
      </c>
      <c r="Q522" s="4">
        <v>0.1</v>
      </c>
      <c r="R522" s="20">
        <f t="shared" si="11"/>
        <v>0.27156378600823039</v>
      </c>
      <c r="S522" s="22">
        <f t="shared" si="12"/>
        <v>2.0576131687242801E-4</v>
      </c>
    </row>
    <row r="523" spans="1:19" ht="16">
      <c r="A523" s="23" t="s">
        <v>364</v>
      </c>
      <c r="B523" s="82">
        <v>211212112222</v>
      </c>
      <c r="C523" s="82"/>
      <c r="D523" s="83">
        <v>0.5</v>
      </c>
      <c r="E523" s="82">
        <v>12</v>
      </c>
      <c r="F523" s="82">
        <v>7</v>
      </c>
      <c r="G523" s="82">
        <v>18</v>
      </c>
      <c r="H523" s="24">
        <v>5.5206999999999997</v>
      </c>
      <c r="I523" s="4">
        <v>8.9999999999999998E-4</v>
      </c>
      <c r="J523" s="4">
        <v>-31.1813</v>
      </c>
      <c r="K523" s="4">
        <v>2E-3</v>
      </c>
      <c r="L523" s="4">
        <v>3.4000000000000002E-2</v>
      </c>
      <c r="M523" s="4">
        <v>6.0000000000000001E-3</v>
      </c>
      <c r="N523" s="4">
        <v>-7.9000000000000008E-3</v>
      </c>
      <c r="O523" s="4">
        <v>1E-4</v>
      </c>
      <c r="P523" s="4">
        <v>127.9</v>
      </c>
      <c r="Q523" s="4">
        <v>0.2</v>
      </c>
      <c r="R523" s="4">
        <f t="shared" si="11"/>
        <v>0.2631687242798354</v>
      </c>
      <c r="S523" s="22">
        <f t="shared" si="12"/>
        <v>4.1152263374485601E-4</v>
      </c>
    </row>
    <row r="524" spans="1:19" ht="16">
      <c r="A524" s="19" t="s">
        <v>365</v>
      </c>
      <c r="B524" s="80">
        <v>121221121222</v>
      </c>
      <c r="C524" s="20"/>
      <c r="D524" s="81">
        <v>0.25</v>
      </c>
      <c r="E524" s="82">
        <v>12</v>
      </c>
      <c r="F524" s="82">
        <v>7</v>
      </c>
      <c r="G524" s="82">
        <v>18</v>
      </c>
      <c r="H524" s="21">
        <v>5.9888000000000003</v>
      </c>
      <c r="I524" s="4">
        <v>5.9999999999999995E-4</v>
      </c>
      <c r="J524" s="20">
        <v>-33.720300000000002</v>
      </c>
      <c r="K524" s="4">
        <v>1.2999999999999999E-3</v>
      </c>
      <c r="L524" s="4">
        <v>2.7E-2</v>
      </c>
      <c r="M524" s="4">
        <v>3.0000000000000001E-3</v>
      </c>
      <c r="N524" s="4">
        <v>-6.1999999999999998E-3</v>
      </c>
      <c r="O524" s="4">
        <v>1E-4</v>
      </c>
      <c r="P524" s="4">
        <v>132.46</v>
      </c>
      <c r="Q524" s="4">
        <v>0.05</v>
      </c>
      <c r="R524" s="20">
        <f t="shared" si="11"/>
        <v>0.27255144032921813</v>
      </c>
      <c r="S524" s="22">
        <f t="shared" si="12"/>
        <v>1.02880658436214E-4</v>
      </c>
    </row>
    <row r="525" spans="1:19" ht="16">
      <c r="A525" s="23" t="s">
        <v>365</v>
      </c>
      <c r="B525" s="82">
        <v>121221121222</v>
      </c>
      <c r="C525" s="82"/>
      <c r="D525" s="83">
        <v>0.5</v>
      </c>
      <c r="E525" s="82">
        <v>12</v>
      </c>
      <c r="F525" s="82">
        <v>7</v>
      </c>
      <c r="G525" s="82">
        <v>18</v>
      </c>
      <c r="H525" s="24">
        <v>5.4728000000000003</v>
      </c>
      <c r="I525" s="4">
        <v>8.9999999999999998E-4</v>
      </c>
      <c r="J525" s="4">
        <v>-30.976900000000001</v>
      </c>
      <c r="K525" s="4">
        <v>2E-3</v>
      </c>
      <c r="L525" s="4">
        <v>3.1E-2</v>
      </c>
      <c r="M525" s="4">
        <v>8.9999999999999993E-3</v>
      </c>
      <c r="N525" s="4">
        <v>-7.6E-3</v>
      </c>
      <c r="O525" s="4">
        <v>2.9999999999999997E-4</v>
      </c>
      <c r="P525" s="4">
        <v>129.22999999999999</v>
      </c>
      <c r="Q525" s="4">
        <v>0.22</v>
      </c>
      <c r="R525" s="4">
        <f t="shared" si="11"/>
        <v>0.26590534979423863</v>
      </c>
      <c r="S525" s="22">
        <f t="shared" si="12"/>
        <v>4.5267489711934157E-4</v>
      </c>
    </row>
    <row r="526" spans="1:19" ht="16">
      <c r="A526" s="19" t="s">
        <v>366</v>
      </c>
      <c r="B526" s="80">
        <v>122211122212</v>
      </c>
      <c r="C526" s="20"/>
      <c r="D526" s="81">
        <v>0.25</v>
      </c>
      <c r="E526" s="82">
        <v>12</v>
      </c>
      <c r="F526" s="82">
        <v>7</v>
      </c>
      <c r="G526" s="82">
        <v>18</v>
      </c>
      <c r="H526" s="21">
        <v>5.9835000000000003</v>
      </c>
      <c r="I526" s="4">
        <v>2.9999999999999997E-4</v>
      </c>
      <c r="J526" s="20">
        <v>-33.608499999999999</v>
      </c>
      <c r="K526" s="4">
        <v>1.1999999999999999E-3</v>
      </c>
      <c r="L526" s="4">
        <v>2.8000000000000001E-2</v>
      </c>
      <c r="M526" s="4">
        <v>3.0000000000000001E-3</v>
      </c>
      <c r="N526" s="4">
        <v>-6.3E-3</v>
      </c>
      <c r="O526" s="4">
        <v>1E-4</v>
      </c>
      <c r="P526" s="4">
        <v>132.38</v>
      </c>
      <c r="Q526" s="4">
        <v>7.0000000000000007E-2</v>
      </c>
      <c r="R526" s="20">
        <f t="shared" si="11"/>
        <v>0.27238683127572016</v>
      </c>
      <c r="S526" s="22">
        <f t="shared" si="12"/>
        <v>1.440329218106996E-4</v>
      </c>
    </row>
    <row r="527" spans="1:19" ht="16">
      <c r="A527" s="23" t="s">
        <v>366</v>
      </c>
      <c r="B527" s="82">
        <v>122211122212</v>
      </c>
      <c r="C527" s="82"/>
      <c r="D527" s="83">
        <v>0.5</v>
      </c>
      <c r="E527" s="82">
        <v>12</v>
      </c>
      <c r="F527" s="82">
        <v>7</v>
      </c>
      <c r="G527" s="82">
        <v>18</v>
      </c>
      <c r="H527" s="24">
        <v>5.4660000000000002</v>
      </c>
      <c r="I527" s="4">
        <v>6.9999999999999999E-4</v>
      </c>
      <c r="J527" s="4">
        <v>-30.764299999999999</v>
      </c>
      <c r="K527" s="4">
        <v>1.5E-3</v>
      </c>
      <c r="L527" s="4">
        <v>3.5999999999999997E-2</v>
      </c>
      <c r="M527" s="4">
        <v>1.0999999999999999E-2</v>
      </c>
      <c r="N527" s="4">
        <v>-7.4999999999999997E-3</v>
      </c>
      <c r="O527" s="4">
        <v>1E-4</v>
      </c>
      <c r="P527" s="4">
        <v>129.51</v>
      </c>
      <c r="Q527" s="4">
        <v>0.08</v>
      </c>
      <c r="R527" s="4">
        <f t="shared" si="11"/>
        <v>0.26648148148148149</v>
      </c>
      <c r="S527" s="22">
        <f t="shared" si="12"/>
        <v>1.6460905349794237E-4</v>
      </c>
    </row>
    <row r="528" spans="1:19" ht="16">
      <c r="A528" s="19" t="s">
        <v>367</v>
      </c>
      <c r="B528" s="80">
        <v>121122112222</v>
      </c>
      <c r="C528" s="20"/>
      <c r="D528" s="81">
        <v>0.25</v>
      </c>
      <c r="E528" s="82">
        <v>12</v>
      </c>
      <c r="F528" s="82">
        <v>7</v>
      </c>
      <c r="G528" s="82">
        <v>18</v>
      </c>
      <c r="H528" s="21">
        <v>5.9843000000000002</v>
      </c>
      <c r="I528" s="4">
        <v>5.9999999999999995E-4</v>
      </c>
      <c r="J528" s="20">
        <v>-33.681600000000003</v>
      </c>
      <c r="K528" s="4">
        <v>8.0000000000000004E-4</v>
      </c>
      <c r="L528" s="4">
        <v>2.1999999999999999E-2</v>
      </c>
      <c r="M528" s="4">
        <v>8.9999999999999993E-3</v>
      </c>
      <c r="N528" s="4">
        <v>-6.6E-3</v>
      </c>
      <c r="O528" s="4">
        <v>2.0000000000000001E-4</v>
      </c>
      <c r="P528" s="4">
        <v>131.74</v>
      </c>
      <c r="Q528" s="4">
        <v>0.15</v>
      </c>
      <c r="R528" s="20">
        <f t="shared" si="11"/>
        <v>0.27106995884773666</v>
      </c>
      <c r="S528" s="22">
        <f t="shared" si="12"/>
        <v>3.0864197530864197E-4</v>
      </c>
    </row>
    <row r="529" spans="1:19" ht="16">
      <c r="A529" s="23" t="s">
        <v>367</v>
      </c>
      <c r="B529" s="82">
        <v>121122112222</v>
      </c>
      <c r="C529" s="82"/>
      <c r="D529" s="83">
        <v>0.5</v>
      </c>
      <c r="E529" s="82">
        <v>12</v>
      </c>
      <c r="F529" s="82">
        <v>7</v>
      </c>
      <c r="G529" s="82">
        <v>18</v>
      </c>
      <c r="H529" s="24">
        <v>5.4558</v>
      </c>
      <c r="I529" s="4">
        <v>8.0000000000000004E-4</v>
      </c>
      <c r="J529" s="4">
        <v>-30.9787</v>
      </c>
      <c r="K529" s="4">
        <v>1E-3</v>
      </c>
      <c r="L529" s="4">
        <v>0.05</v>
      </c>
      <c r="M529" s="4">
        <v>7.0000000000000001E-3</v>
      </c>
      <c r="N529" s="4">
        <v>-8.3999999999999995E-3</v>
      </c>
      <c r="O529" s="4">
        <v>2.9999999999999997E-4</v>
      </c>
      <c r="P529" s="4">
        <v>127.02</v>
      </c>
      <c r="Q529" s="4">
        <v>0.32</v>
      </c>
      <c r="R529" s="4">
        <f t="shared" si="11"/>
        <v>0.26135802469135805</v>
      </c>
      <c r="S529" s="22">
        <f t="shared" si="12"/>
        <v>6.5843621399176949E-4</v>
      </c>
    </row>
    <row r="530" spans="1:19" ht="16">
      <c r="A530" s="19" t="s">
        <v>368</v>
      </c>
      <c r="B530" s="80">
        <v>121122221122</v>
      </c>
      <c r="C530" s="20"/>
      <c r="D530" s="81">
        <v>0.25</v>
      </c>
      <c r="E530" s="82">
        <v>12</v>
      </c>
      <c r="F530" s="82">
        <v>7</v>
      </c>
      <c r="G530" s="82">
        <v>18</v>
      </c>
      <c r="H530" s="21">
        <v>5.9679000000000002</v>
      </c>
      <c r="I530" s="4">
        <v>8.9999999999999998E-4</v>
      </c>
      <c r="J530" s="20">
        <v>-33.6526</v>
      </c>
      <c r="K530" s="4">
        <v>1.6999999999999999E-3</v>
      </c>
      <c r="L530" s="4">
        <v>3.4000000000000002E-2</v>
      </c>
      <c r="M530" s="4">
        <v>8.9999999999999993E-3</v>
      </c>
      <c r="N530" s="4">
        <v>-6.1999999999999998E-3</v>
      </c>
      <c r="O530" s="4">
        <v>4.0000000000000002E-4</v>
      </c>
      <c r="P530" s="4">
        <v>132.57</v>
      </c>
      <c r="Q530" s="4">
        <v>0.17</v>
      </c>
      <c r="R530" s="20">
        <f t="shared" si="11"/>
        <v>0.27277777777777779</v>
      </c>
      <c r="S530" s="22">
        <f t="shared" si="12"/>
        <v>3.4979423868312758E-4</v>
      </c>
    </row>
    <row r="531" spans="1:19" ht="16">
      <c r="A531" s="23" t="s">
        <v>368</v>
      </c>
      <c r="B531" s="82">
        <v>121122221122</v>
      </c>
      <c r="C531" s="82"/>
      <c r="D531" s="83">
        <v>0.5</v>
      </c>
      <c r="E531" s="82">
        <v>12</v>
      </c>
      <c r="F531" s="82">
        <v>7</v>
      </c>
      <c r="G531" s="82">
        <v>18</v>
      </c>
      <c r="H531" s="24">
        <v>5.4297000000000004</v>
      </c>
      <c r="I531" s="4">
        <v>6.9999999999999999E-4</v>
      </c>
      <c r="J531" s="4">
        <v>-30.8766</v>
      </c>
      <c r="K531" s="4">
        <v>2.3999999999999998E-3</v>
      </c>
      <c r="L531" s="4">
        <v>5.2999999999999999E-2</v>
      </c>
      <c r="M531" s="4">
        <v>1.0999999999999999E-2</v>
      </c>
      <c r="N531" s="4">
        <v>-8.0000000000000002E-3</v>
      </c>
      <c r="O531" s="4">
        <v>4.0000000000000002E-4</v>
      </c>
      <c r="P531" s="4">
        <v>128.88999999999999</v>
      </c>
      <c r="Q531" s="4">
        <v>0.31</v>
      </c>
      <c r="R531" s="4">
        <f t="shared" si="11"/>
        <v>0.2652057613168724</v>
      </c>
      <c r="S531" s="22">
        <f t="shared" si="12"/>
        <v>6.3786008230452666E-4</v>
      </c>
    </row>
    <row r="532" spans="1:19" ht="16">
      <c r="A532" s="19" t="s">
        <v>369</v>
      </c>
      <c r="B532" s="80">
        <v>111212222122</v>
      </c>
      <c r="C532" s="20"/>
      <c r="D532" s="81">
        <v>0.25</v>
      </c>
      <c r="E532" s="82">
        <v>12</v>
      </c>
      <c r="F532" s="82">
        <v>7</v>
      </c>
      <c r="G532" s="82">
        <v>18</v>
      </c>
      <c r="H532" s="21">
        <v>5.944</v>
      </c>
      <c r="I532" s="4">
        <v>8.0000000000000004E-4</v>
      </c>
      <c r="J532" s="20">
        <v>-33.884900000000002</v>
      </c>
      <c r="K532" s="4">
        <v>1E-3</v>
      </c>
      <c r="L532" s="4">
        <v>3.6999999999999998E-2</v>
      </c>
      <c r="M532" s="4">
        <v>3.0000000000000001E-3</v>
      </c>
      <c r="N532" s="4">
        <v>-6.7000000000000002E-3</v>
      </c>
      <c r="O532" s="4">
        <v>1E-4</v>
      </c>
      <c r="P532" s="4">
        <v>131.37</v>
      </c>
      <c r="Q532" s="4">
        <v>0.11</v>
      </c>
      <c r="R532" s="20">
        <f t="shared" si="11"/>
        <v>0.27030864197530863</v>
      </c>
      <c r="S532" s="22">
        <f t="shared" si="12"/>
        <v>2.2633744855967078E-4</v>
      </c>
    </row>
    <row r="533" spans="1:19" ht="16">
      <c r="A533" s="23" t="s">
        <v>369</v>
      </c>
      <c r="B533" s="82">
        <v>111212222122</v>
      </c>
      <c r="C533" s="82"/>
      <c r="D533" s="83">
        <v>0.5</v>
      </c>
      <c r="E533" s="82">
        <v>12</v>
      </c>
      <c r="F533" s="82">
        <v>7</v>
      </c>
      <c r="G533" s="82">
        <v>18</v>
      </c>
      <c r="H533" s="24">
        <v>5.3555000000000001</v>
      </c>
      <c r="I533" s="4">
        <v>6.9999999999999999E-4</v>
      </c>
      <c r="J533" s="4">
        <v>-31.535499999999999</v>
      </c>
      <c r="K533" s="4">
        <v>1.6999999999999999E-3</v>
      </c>
      <c r="L533" s="4">
        <v>0.122</v>
      </c>
      <c r="M533" s="4">
        <v>6.0000000000000001E-3</v>
      </c>
      <c r="N533" s="4">
        <v>-1.0800000000000001E-2</v>
      </c>
      <c r="O533" s="4">
        <v>2.9999999999999997E-4</v>
      </c>
      <c r="P533" s="4">
        <v>122.25</v>
      </c>
      <c r="Q533" s="4">
        <v>0.24</v>
      </c>
      <c r="R533" s="4">
        <f t="shared" si="11"/>
        <v>0.25154320987654322</v>
      </c>
      <c r="S533" s="22">
        <f t="shared" si="12"/>
        <v>4.9382716049382717E-4</v>
      </c>
    </row>
    <row r="534" spans="1:19" ht="16">
      <c r="A534" s="19" t="s">
        <v>370</v>
      </c>
      <c r="B534" s="80">
        <v>121212221122</v>
      </c>
      <c r="C534" s="20"/>
      <c r="D534" s="81">
        <v>0.25</v>
      </c>
      <c r="E534" s="82">
        <v>12</v>
      </c>
      <c r="F534" s="82">
        <v>7</v>
      </c>
      <c r="G534" s="82">
        <v>18</v>
      </c>
      <c r="H534" s="21">
        <v>5.9730999999999996</v>
      </c>
      <c r="I534" s="4">
        <v>5.9999999999999995E-4</v>
      </c>
      <c r="J534" s="20">
        <v>-33.708199999999998</v>
      </c>
      <c r="K534" s="4">
        <v>1.8E-3</v>
      </c>
      <c r="L534" s="4">
        <v>3.2000000000000001E-2</v>
      </c>
      <c r="M534" s="4">
        <v>8.9999999999999993E-3</v>
      </c>
      <c r="N534" s="4">
        <v>-6.0000000000000001E-3</v>
      </c>
      <c r="O534" s="4">
        <v>2.0000000000000001E-4</v>
      </c>
      <c r="P534" s="4">
        <v>132.88</v>
      </c>
      <c r="Q534" s="4">
        <v>0.15</v>
      </c>
      <c r="R534" s="20">
        <f t="shared" si="11"/>
        <v>0.27341563786008227</v>
      </c>
      <c r="S534" s="22">
        <f t="shared" si="12"/>
        <v>3.0864197530864197E-4</v>
      </c>
    </row>
    <row r="535" spans="1:19" ht="16">
      <c r="A535" s="23" t="s">
        <v>370</v>
      </c>
      <c r="B535" s="82">
        <v>121212221122</v>
      </c>
      <c r="C535" s="82"/>
      <c r="D535" s="83">
        <v>0.5</v>
      </c>
      <c r="E535" s="82">
        <v>12</v>
      </c>
      <c r="F535" s="82">
        <v>7</v>
      </c>
      <c r="G535" s="82">
        <v>18</v>
      </c>
      <c r="H535" s="24">
        <v>5.4423000000000004</v>
      </c>
      <c r="I535" s="4">
        <v>6.9999999999999999E-4</v>
      </c>
      <c r="J535" s="4">
        <v>-30.935199999999998</v>
      </c>
      <c r="K535" s="4">
        <v>1.4E-3</v>
      </c>
      <c r="L535" s="4">
        <v>4.3999999999999997E-2</v>
      </c>
      <c r="M535" s="4">
        <v>8.9999999999999993E-3</v>
      </c>
      <c r="N535" s="4">
        <v>-7.4999999999999997E-3</v>
      </c>
      <c r="O535" s="4">
        <v>2.0000000000000001E-4</v>
      </c>
      <c r="P535" s="4">
        <v>130.26</v>
      </c>
      <c r="Q535" s="4">
        <v>0.27</v>
      </c>
      <c r="R535" s="4">
        <f t="shared" si="11"/>
        <v>0.26802469135802465</v>
      </c>
      <c r="S535" s="22">
        <f t="shared" si="12"/>
        <v>5.5555555555555556E-4</v>
      </c>
    </row>
    <row r="536" spans="1:19" ht="16">
      <c r="A536" s="19" t="s">
        <v>371</v>
      </c>
      <c r="B536" s="80">
        <v>212211212212</v>
      </c>
      <c r="C536" s="20"/>
      <c r="D536" s="81">
        <v>0.25</v>
      </c>
      <c r="E536" s="82">
        <v>12</v>
      </c>
      <c r="F536" s="82">
        <v>7</v>
      </c>
      <c r="G536" s="82">
        <v>18</v>
      </c>
      <c r="H536" s="21">
        <v>6.0042</v>
      </c>
      <c r="I536" s="4">
        <v>8.0000000000000004E-4</v>
      </c>
      <c r="J536" s="20">
        <v>-33.799199999999999</v>
      </c>
      <c r="K536" s="4">
        <v>5.9999999999999995E-4</v>
      </c>
      <c r="L536" s="4">
        <v>2.7E-2</v>
      </c>
      <c r="M536" s="4">
        <v>7.0000000000000001E-3</v>
      </c>
      <c r="N536" s="4">
        <v>-6.1999999999999998E-3</v>
      </c>
      <c r="O536" s="4">
        <v>2.0000000000000001E-4</v>
      </c>
      <c r="P536" s="4">
        <v>132.66999999999999</v>
      </c>
      <c r="Q536" s="4">
        <v>0.16</v>
      </c>
      <c r="R536" s="20">
        <f t="shared" si="11"/>
        <v>0.27298353909465017</v>
      </c>
      <c r="S536" s="22">
        <f t="shared" si="12"/>
        <v>3.2921810699588475E-4</v>
      </c>
    </row>
    <row r="537" spans="1:19" ht="16">
      <c r="A537" s="23" t="s">
        <v>371</v>
      </c>
      <c r="B537" s="82">
        <v>212211212212</v>
      </c>
      <c r="C537" s="82"/>
      <c r="D537" s="83">
        <v>0.5</v>
      </c>
      <c r="E537" s="82">
        <v>12</v>
      </c>
      <c r="F537" s="82">
        <v>7</v>
      </c>
      <c r="G537" s="82">
        <v>18</v>
      </c>
      <c r="H537" s="24">
        <v>5.5095000000000001</v>
      </c>
      <c r="I537" s="4">
        <v>5.0000000000000001E-4</v>
      </c>
      <c r="J537" s="4">
        <v>-31.0778</v>
      </c>
      <c r="K537" s="4">
        <v>8.9999999999999998E-4</v>
      </c>
      <c r="L537" s="4">
        <v>2.5000000000000001E-2</v>
      </c>
      <c r="M537" s="4">
        <v>2E-3</v>
      </c>
      <c r="N537" s="4">
        <v>-6.7999999999999996E-3</v>
      </c>
      <c r="O537" s="4">
        <v>2.0000000000000001E-4</v>
      </c>
      <c r="P537" s="4">
        <v>131.06</v>
      </c>
      <c r="Q537" s="4">
        <v>0.23</v>
      </c>
      <c r="R537" s="4">
        <f t="shared" si="11"/>
        <v>0.26967078189300414</v>
      </c>
      <c r="S537" s="22">
        <f t="shared" si="12"/>
        <v>4.732510288065844E-4</v>
      </c>
    </row>
    <row r="538" spans="1:19" ht="16">
      <c r="A538" s="19" t="s">
        <v>372</v>
      </c>
      <c r="B538" s="80">
        <v>221221111222</v>
      </c>
      <c r="C538" s="20"/>
      <c r="D538" s="81">
        <v>0.25</v>
      </c>
      <c r="E538" s="82">
        <v>12</v>
      </c>
      <c r="F538" s="82">
        <v>7</v>
      </c>
      <c r="G538" s="82">
        <v>18</v>
      </c>
      <c r="H538" s="21">
        <v>6.0377999999999998</v>
      </c>
      <c r="I538" s="4">
        <v>1E-3</v>
      </c>
      <c r="J538" s="20">
        <v>-33.661499999999997</v>
      </c>
      <c r="K538" s="4">
        <v>1E-3</v>
      </c>
      <c r="L538" s="4">
        <v>2.3E-2</v>
      </c>
      <c r="M538" s="4">
        <v>4.0000000000000001E-3</v>
      </c>
      <c r="N538" s="4">
        <v>-6.1000000000000004E-3</v>
      </c>
      <c r="O538" s="4">
        <v>2.0000000000000001E-4</v>
      </c>
      <c r="P538" s="4">
        <v>132.03</v>
      </c>
      <c r="Q538" s="4">
        <v>0.17</v>
      </c>
      <c r="R538" s="20">
        <f t="shared" si="11"/>
        <v>0.27166666666666667</v>
      </c>
      <c r="S538" s="22">
        <f t="shared" si="12"/>
        <v>3.4979423868312758E-4</v>
      </c>
    </row>
    <row r="539" spans="1:19" ht="16">
      <c r="A539" s="23" t="s">
        <v>372</v>
      </c>
      <c r="B539" s="82">
        <v>221221111222</v>
      </c>
      <c r="C539" s="82"/>
      <c r="D539" s="83">
        <v>0.5</v>
      </c>
      <c r="E539" s="82">
        <v>12</v>
      </c>
      <c r="F539" s="82">
        <v>7</v>
      </c>
      <c r="G539" s="82">
        <v>18</v>
      </c>
      <c r="H539" s="24">
        <v>5.5751999999999997</v>
      </c>
      <c r="I539" s="4">
        <v>8.9999999999999998E-4</v>
      </c>
      <c r="J539" s="4">
        <v>-30.933900000000001</v>
      </c>
      <c r="K539" s="4">
        <v>1.2999999999999999E-3</v>
      </c>
      <c r="L539" s="4">
        <v>2.7E-2</v>
      </c>
      <c r="M539" s="4">
        <v>7.0000000000000001E-3</v>
      </c>
      <c r="N539" s="4">
        <v>-7.4999999999999997E-3</v>
      </c>
      <c r="O539" s="4">
        <v>2.9999999999999997E-4</v>
      </c>
      <c r="P539" s="4">
        <v>127.85</v>
      </c>
      <c r="Q539" s="4">
        <v>0.2</v>
      </c>
      <c r="R539" s="4">
        <f t="shared" si="11"/>
        <v>0.26306584362139912</v>
      </c>
      <c r="S539" s="22">
        <f t="shared" si="12"/>
        <v>4.1152263374485601E-4</v>
      </c>
    </row>
    <row r="540" spans="1:19" ht="16">
      <c r="A540" s="19" t="s">
        <v>373</v>
      </c>
      <c r="B540" s="80">
        <v>211221121222</v>
      </c>
      <c r="C540" s="20"/>
      <c r="D540" s="81">
        <v>0.25</v>
      </c>
      <c r="E540" s="82">
        <v>12</v>
      </c>
      <c r="F540" s="82">
        <v>7</v>
      </c>
      <c r="G540" s="82">
        <v>18</v>
      </c>
      <c r="H540" s="21">
        <v>6.0136000000000003</v>
      </c>
      <c r="I540" s="4">
        <v>8.9999999999999998E-4</v>
      </c>
      <c r="J540" s="20">
        <v>-33.723799999999997</v>
      </c>
      <c r="K540" s="4">
        <v>5.0000000000000001E-4</v>
      </c>
      <c r="L540" s="4">
        <v>2.1000000000000001E-2</v>
      </c>
      <c r="M540" s="4">
        <v>2E-3</v>
      </c>
      <c r="N540" s="4">
        <v>-6.3E-3</v>
      </c>
      <c r="O540" s="4">
        <v>1E-4</v>
      </c>
      <c r="P540" s="4">
        <v>132.22999999999999</v>
      </c>
      <c r="Q540" s="4">
        <v>0.05</v>
      </c>
      <c r="R540" s="20">
        <f t="shared" si="11"/>
        <v>0.2720781893004115</v>
      </c>
      <c r="S540" s="22">
        <f t="shared" si="12"/>
        <v>1.02880658436214E-4</v>
      </c>
    </row>
    <row r="541" spans="1:19" ht="16">
      <c r="A541" s="23" t="s">
        <v>373</v>
      </c>
      <c r="B541" s="82">
        <v>211221121222</v>
      </c>
      <c r="C541" s="82"/>
      <c r="D541" s="83">
        <v>0.5</v>
      </c>
      <c r="E541" s="82">
        <v>12</v>
      </c>
      <c r="F541" s="82">
        <v>7</v>
      </c>
      <c r="G541" s="82">
        <v>18</v>
      </c>
      <c r="H541" s="24">
        <v>5.5218999999999996</v>
      </c>
      <c r="I541" s="4">
        <v>5.9999999999999995E-4</v>
      </c>
      <c r="J541" s="4">
        <v>-30.9849</v>
      </c>
      <c r="K541" s="4">
        <v>6.9999999999999999E-4</v>
      </c>
      <c r="L541" s="4">
        <v>0.03</v>
      </c>
      <c r="M541" s="4">
        <v>8.0000000000000002E-3</v>
      </c>
      <c r="N541" s="4">
        <v>-7.4000000000000003E-3</v>
      </c>
      <c r="O541" s="4">
        <v>2.0000000000000001E-4</v>
      </c>
      <c r="P541" s="4">
        <v>129.29</v>
      </c>
      <c r="Q541" s="4">
        <v>0.2</v>
      </c>
      <c r="R541" s="4">
        <f t="shared" si="11"/>
        <v>0.26602880658436212</v>
      </c>
      <c r="S541" s="22">
        <f t="shared" si="12"/>
        <v>4.1152263374485601E-4</v>
      </c>
    </row>
    <row r="542" spans="1:19" ht="16">
      <c r="A542" s="19" t="s">
        <v>374</v>
      </c>
      <c r="B542" s="80">
        <v>112122221122</v>
      </c>
      <c r="C542" s="20"/>
      <c r="D542" s="81">
        <v>0.25</v>
      </c>
      <c r="E542" s="82">
        <v>12</v>
      </c>
      <c r="F542" s="82">
        <v>7</v>
      </c>
      <c r="G542" s="82">
        <v>18</v>
      </c>
      <c r="H542" s="21">
        <v>5.9534000000000002</v>
      </c>
      <c r="I542" s="4">
        <v>1E-3</v>
      </c>
      <c r="J542" s="20">
        <v>-33.716900000000003</v>
      </c>
      <c r="K542" s="4">
        <v>1.5E-3</v>
      </c>
      <c r="L542" s="4">
        <v>3.9E-2</v>
      </c>
      <c r="M542" s="4">
        <v>6.0000000000000001E-3</v>
      </c>
      <c r="N542" s="4">
        <v>-6.4000000000000003E-3</v>
      </c>
      <c r="O542" s="4">
        <v>2.9999999999999997E-4</v>
      </c>
      <c r="P542" s="4">
        <v>132.31</v>
      </c>
      <c r="Q542" s="4">
        <v>0.2</v>
      </c>
      <c r="R542" s="20">
        <f t="shared" si="11"/>
        <v>0.27224279835390947</v>
      </c>
      <c r="S542" s="22">
        <f t="shared" si="12"/>
        <v>4.1152263374485601E-4</v>
      </c>
    </row>
    <row r="543" spans="1:19" ht="16">
      <c r="A543" s="23" t="s">
        <v>374</v>
      </c>
      <c r="B543" s="82">
        <v>112122221122</v>
      </c>
      <c r="C543" s="82"/>
      <c r="D543" s="83">
        <v>0.5</v>
      </c>
      <c r="E543" s="82">
        <v>12</v>
      </c>
      <c r="F543" s="82">
        <v>7</v>
      </c>
      <c r="G543" s="82">
        <v>18</v>
      </c>
      <c r="H543" s="24">
        <v>5.3930999999999996</v>
      </c>
      <c r="I543" s="4">
        <v>5.9999999999999995E-4</v>
      </c>
      <c r="J543" s="4">
        <v>-31.042999999999999</v>
      </c>
      <c r="K543" s="4">
        <v>2.9999999999999997E-4</v>
      </c>
      <c r="L543" s="4">
        <v>8.3000000000000004E-2</v>
      </c>
      <c r="M543" s="4">
        <v>1.2E-2</v>
      </c>
      <c r="N543" s="4">
        <v>-8.8999999999999999E-3</v>
      </c>
      <c r="O543" s="4">
        <v>1E-4</v>
      </c>
      <c r="P543" s="4">
        <v>127.67</v>
      </c>
      <c r="Q543" s="4">
        <v>0.16</v>
      </c>
      <c r="R543" s="4">
        <f t="shared" si="11"/>
        <v>0.26269547325102882</v>
      </c>
      <c r="S543" s="22">
        <f t="shared" si="12"/>
        <v>3.2921810699588475E-4</v>
      </c>
    </row>
    <row r="544" spans="1:19" ht="16">
      <c r="A544" s="19" t="s">
        <v>375</v>
      </c>
      <c r="B544" s="80">
        <v>111222122122</v>
      </c>
      <c r="C544" s="20"/>
      <c r="D544" s="81">
        <v>0.25</v>
      </c>
      <c r="E544" s="82">
        <v>12</v>
      </c>
      <c r="F544" s="82">
        <v>7</v>
      </c>
      <c r="G544" s="82">
        <v>18</v>
      </c>
      <c r="H544" s="21">
        <v>5.9484000000000004</v>
      </c>
      <c r="I544" s="4">
        <v>5.0000000000000001E-4</v>
      </c>
      <c r="J544" s="20">
        <v>-33.770800000000001</v>
      </c>
      <c r="K544" s="4">
        <v>1.1000000000000001E-3</v>
      </c>
      <c r="L544" s="4">
        <v>3.5000000000000003E-2</v>
      </c>
      <c r="M544" s="4">
        <v>4.0000000000000001E-3</v>
      </c>
      <c r="N544" s="4">
        <v>-6.4000000000000003E-3</v>
      </c>
      <c r="O544" s="4">
        <v>2.0000000000000001E-4</v>
      </c>
      <c r="P544" s="4">
        <v>132.03</v>
      </c>
      <c r="Q544" s="4">
        <v>0.23</v>
      </c>
      <c r="R544" s="20">
        <f t="shared" si="11"/>
        <v>0.27166666666666667</v>
      </c>
      <c r="S544" s="22">
        <f t="shared" si="12"/>
        <v>4.732510288065844E-4</v>
      </c>
    </row>
    <row r="545" spans="1:19" ht="16">
      <c r="A545" s="23" t="s">
        <v>375</v>
      </c>
      <c r="B545" s="82">
        <v>111222122122</v>
      </c>
      <c r="C545" s="82"/>
      <c r="D545" s="83">
        <v>0.5</v>
      </c>
      <c r="E545" s="82">
        <v>12</v>
      </c>
      <c r="F545" s="82">
        <v>7</v>
      </c>
      <c r="G545" s="82">
        <v>18</v>
      </c>
      <c r="H545" s="24">
        <v>5.3787000000000003</v>
      </c>
      <c r="I545" s="4">
        <v>5.0000000000000001E-4</v>
      </c>
      <c r="J545" s="4">
        <v>-31.2027</v>
      </c>
      <c r="K545" s="4">
        <v>6.9999999999999999E-4</v>
      </c>
      <c r="L545" s="4">
        <v>8.4000000000000005E-2</v>
      </c>
      <c r="M545" s="4">
        <v>8.0000000000000002E-3</v>
      </c>
      <c r="N545" s="4">
        <v>-9.7999999999999997E-3</v>
      </c>
      <c r="O545" s="4">
        <v>2.9999999999999997E-4</v>
      </c>
      <c r="P545" s="4">
        <v>125.38</v>
      </c>
      <c r="Q545" s="4">
        <v>0.26</v>
      </c>
      <c r="R545" s="4">
        <f t="shared" si="11"/>
        <v>0.25798353909465022</v>
      </c>
      <c r="S545" s="22">
        <f t="shared" si="12"/>
        <v>5.3497942386831272E-4</v>
      </c>
    </row>
    <row r="546" spans="1:19" ht="16">
      <c r="A546" s="19" t="s">
        <v>376</v>
      </c>
      <c r="B546" s="80">
        <v>112221122221</v>
      </c>
      <c r="C546" s="20"/>
      <c r="D546" s="81">
        <v>0.25</v>
      </c>
      <c r="E546" s="82">
        <v>12</v>
      </c>
      <c r="F546" s="82">
        <v>7</v>
      </c>
      <c r="G546" s="82">
        <v>18</v>
      </c>
      <c r="H546" s="21">
        <v>5.931</v>
      </c>
      <c r="I546" s="4">
        <v>5.0000000000000001E-4</v>
      </c>
      <c r="J546" s="20">
        <v>-33.56</v>
      </c>
      <c r="K546" s="4">
        <v>1.2999999999999999E-3</v>
      </c>
      <c r="L546" s="4">
        <v>3.5999999999999997E-2</v>
      </c>
      <c r="M546" s="4">
        <v>0.01</v>
      </c>
      <c r="N546" s="4">
        <v>-6.4000000000000003E-3</v>
      </c>
      <c r="O546" s="4">
        <v>2.0000000000000001E-4</v>
      </c>
      <c r="P546" s="4">
        <v>132.38</v>
      </c>
      <c r="Q546" s="4">
        <v>0.16</v>
      </c>
      <c r="R546" s="20">
        <f t="shared" si="11"/>
        <v>0.27238683127572016</v>
      </c>
      <c r="S546" s="22">
        <f t="shared" si="12"/>
        <v>3.2921810699588475E-4</v>
      </c>
    </row>
    <row r="547" spans="1:19" ht="16">
      <c r="A547" s="23" t="s">
        <v>376</v>
      </c>
      <c r="B547" s="82">
        <v>112221122221</v>
      </c>
      <c r="C547" s="82"/>
      <c r="D547" s="83">
        <v>0.5</v>
      </c>
      <c r="E547" s="82">
        <v>12</v>
      </c>
      <c r="F547" s="82">
        <v>7</v>
      </c>
      <c r="G547" s="82">
        <v>18</v>
      </c>
      <c r="H547" s="36">
        <v>5.3509000000000002</v>
      </c>
      <c r="I547" s="4">
        <v>8.0000000000000004E-4</v>
      </c>
      <c r="J547" s="4">
        <v>-30.726500000000001</v>
      </c>
      <c r="K547" s="4">
        <v>1.1000000000000001E-3</v>
      </c>
      <c r="L547" s="4">
        <v>6.6000000000000003E-2</v>
      </c>
      <c r="M547" s="4">
        <v>5.0000000000000001E-3</v>
      </c>
      <c r="N547" s="4">
        <v>-8.6E-3</v>
      </c>
      <c r="O547" s="4">
        <v>1E-4</v>
      </c>
      <c r="P547" s="4">
        <v>128.1</v>
      </c>
      <c r="Q547" s="4">
        <v>0.06</v>
      </c>
      <c r="R547" s="4">
        <f t="shared" si="11"/>
        <v>0.26358024691358023</v>
      </c>
      <c r="S547" s="22">
        <f t="shared" si="12"/>
        <v>1.2345679012345679E-4</v>
      </c>
    </row>
    <row r="548" spans="1:19" ht="16">
      <c r="A548" s="19" t="s">
        <v>377</v>
      </c>
      <c r="B548" s="80">
        <v>112122222211</v>
      </c>
      <c r="C548" s="20"/>
      <c r="D548" s="81">
        <v>0.25</v>
      </c>
      <c r="E548" s="82">
        <v>12</v>
      </c>
      <c r="F548" s="82">
        <v>7</v>
      </c>
      <c r="G548" s="82">
        <v>18</v>
      </c>
      <c r="H548" s="21">
        <v>5.8895999999999997</v>
      </c>
      <c r="I548" s="4">
        <v>8.0000000000000004E-4</v>
      </c>
      <c r="J548" s="20">
        <v>-33.8018</v>
      </c>
      <c r="K548" s="4">
        <v>2.0000000000000001E-4</v>
      </c>
      <c r="L548" s="4">
        <v>4.9000000000000002E-2</v>
      </c>
      <c r="M548" s="4">
        <v>3.0000000000000001E-3</v>
      </c>
      <c r="N548" s="4">
        <v>-6.7000000000000002E-3</v>
      </c>
      <c r="O548" s="4">
        <v>1E-4</v>
      </c>
      <c r="P548" s="4">
        <v>132.01</v>
      </c>
      <c r="Q548" s="4">
        <v>0.12</v>
      </c>
      <c r="R548" s="20">
        <f t="shared" si="11"/>
        <v>0.27162551440329219</v>
      </c>
      <c r="S548" s="22">
        <f t="shared" si="12"/>
        <v>2.4691358024691359E-4</v>
      </c>
    </row>
    <row r="549" spans="1:19" ht="16">
      <c r="A549" s="23" t="s">
        <v>377</v>
      </c>
      <c r="B549" s="82">
        <v>112122222211</v>
      </c>
      <c r="C549" s="82"/>
      <c r="D549" s="83">
        <v>0.5</v>
      </c>
      <c r="E549" s="82">
        <v>12</v>
      </c>
      <c r="F549" s="82">
        <v>7</v>
      </c>
      <c r="G549" s="82">
        <v>18</v>
      </c>
      <c r="H549" s="24">
        <v>5.2423000000000002</v>
      </c>
      <c r="I549" s="4">
        <v>5.9999999999999995E-4</v>
      </c>
      <c r="J549" s="4">
        <v>-31.392800000000001</v>
      </c>
      <c r="K549" s="4">
        <v>1E-3</v>
      </c>
      <c r="L549" s="4">
        <v>0.14299999999999999</v>
      </c>
      <c r="M549" s="4">
        <v>1.2999999999999999E-2</v>
      </c>
      <c r="N549" s="4">
        <v>-1.03E-2</v>
      </c>
      <c r="O549" s="4">
        <v>1E-4</v>
      </c>
      <c r="P549" s="4">
        <v>124.04</v>
      </c>
      <c r="Q549" s="4">
        <v>0.27</v>
      </c>
      <c r="R549" s="4">
        <f t="shared" si="11"/>
        <v>0.25522633744855966</v>
      </c>
      <c r="S549" s="22">
        <f t="shared" si="12"/>
        <v>5.5555555555555556E-4</v>
      </c>
    </row>
    <row r="550" spans="1:19" ht="16">
      <c r="A550" s="19" t="s">
        <v>378</v>
      </c>
      <c r="B550" s="80">
        <v>121212122212</v>
      </c>
      <c r="C550" s="20"/>
      <c r="D550" s="81">
        <v>0.25</v>
      </c>
      <c r="E550" s="82">
        <v>12</v>
      </c>
      <c r="F550" s="82">
        <v>7</v>
      </c>
      <c r="G550" s="82">
        <v>18</v>
      </c>
      <c r="H550" s="21">
        <v>5.9660000000000002</v>
      </c>
      <c r="I550" s="4">
        <v>1E-4</v>
      </c>
      <c r="J550" s="20">
        <v>-33.855699999999999</v>
      </c>
      <c r="K550" s="4">
        <v>1.5E-3</v>
      </c>
      <c r="L550" s="4">
        <v>3.1E-2</v>
      </c>
      <c r="M550" s="4">
        <v>5.0000000000000001E-3</v>
      </c>
      <c r="N550" s="4">
        <v>-6.3E-3</v>
      </c>
      <c r="O550" s="4">
        <v>2.0000000000000001E-4</v>
      </c>
      <c r="P550" s="4">
        <v>132.77000000000001</v>
      </c>
      <c r="Q550" s="4">
        <v>0.13</v>
      </c>
      <c r="R550" s="20">
        <f t="shared" si="11"/>
        <v>0.27318930041152267</v>
      </c>
      <c r="S550" s="22">
        <f t="shared" si="12"/>
        <v>2.6748971193415636E-4</v>
      </c>
    </row>
    <row r="551" spans="1:19" ht="16">
      <c r="A551" s="23" t="s">
        <v>378</v>
      </c>
      <c r="B551" s="82">
        <v>121212122212</v>
      </c>
      <c r="C551" s="82"/>
      <c r="D551" s="83">
        <v>0.5</v>
      </c>
      <c r="E551" s="82">
        <v>12</v>
      </c>
      <c r="F551" s="82">
        <v>7</v>
      </c>
      <c r="G551" s="82">
        <v>18</v>
      </c>
      <c r="H551" s="24">
        <v>5.4276999999999997</v>
      </c>
      <c r="I551" s="4">
        <v>5.9999999999999995E-4</v>
      </c>
      <c r="J551" s="4">
        <v>-31.218399999999999</v>
      </c>
      <c r="K551" s="4">
        <v>8.9999999999999998E-4</v>
      </c>
      <c r="L551" s="4">
        <v>0.05</v>
      </c>
      <c r="M551" s="4">
        <v>1.2E-2</v>
      </c>
      <c r="N551" s="4">
        <v>-7.6E-3</v>
      </c>
      <c r="O551" s="4">
        <v>5.0000000000000001E-4</v>
      </c>
      <c r="P551" s="4">
        <v>130.35</v>
      </c>
      <c r="Q551" s="4">
        <v>0.31</v>
      </c>
      <c r="R551" s="4">
        <f t="shared" si="11"/>
        <v>0.26820987654320982</v>
      </c>
      <c r="S551" s="22">
        <f t="shared" si="12"/>
        <v>6.3786008230452666E-4</v>
      </c>
    </row>
    <row r="552" spans="1:19" ht="16">
      <c r="A552" s="19" t="s">
        <v>379</v>
      </c>
      <c r="B552" s="80">
        <v>211221122122</v>
      </c>
      <c r="C552" s="20"/>
      <c r="D552" s="81">
        <v>0.25</v>
      </c>
      <c r="E552" s="82">
        <v>12</v>
      </c>
      <c r="F552" s="82">
        <v>7</v>
      </c>
      <c r="G552" s="82">
        <v>18</v>
      </c>
      <c r="H552" s="21">
        <v>6.0063000000000004</v>
      </c>
      <c r="I552" s="4">
        <v>5.9999999999999995E-4</v>
      </c>
      <c r="J552" s="20">
        <v>-33.689900000000002</v>
      </c>
      <c r="K552" s="4">
        <v>5.9999999999999995E-4</v>
      </c>
      <c r="L552" s="4">
        <v>2.3E-2</v>
      </c>
      <c r="M552" s="4">
        <v>2E-3</v>
      </c>
      <c r="N552" s="4">
        <v>-6.3E-3</v>
      </c>
      <c r="O552" s="4">
        <v>1E-4</v>
      </c>
      <c r="P552" s="4">
        <v>132.41</v>
      </c>
      <c r="Q552" s="4">
        <v>0.19</v>
      </c>
      <c r="R552" s="20">
        <f t="shared" si="11"/>
        <v>0.27244855967078191</v>
      </c>
      <c r="S552" s="22">
        <f t="shared" si="12"/>
        <v>3.9094650205761324E-4</v>
      </c>
    </row>
    <row r="553" spans="1:19" ht="16">
      <c r="A553" s="23" t="s">
        <v>379</v>
      </c>
      <c r="B553" s="82">
        <v>211221122122</v>
      </c>
      <c r="C553" s="82"/>
      <c r="D553" s="83">
        <v>0.5</v>
      </c>
      <c r="E553" s="82">
        <v>12</v>
      </c>
      <c r="F553" s="82">
        <v>7</v>
      </c>
      <c r="G553" s="82">
        <v>18</v>
      </c>
      <c r="H553" s="24">
        <v>5.5084</v>
      </c>
      <c r="I553" s="4">
        <v>4.0000000000000002E-4</v>
      </c>
      <c r="J553" s="4">
        <v>-30.8902</v>
      </c>
      <c r="K553" s="4">
        <v>2.2000000000000001E-3</v>
      </c>
      <c r="L553" s="4">
        <v>2.4E-2</v>
      </c>
      <c r="M553" s="4">
        <v>7.0000000000000001E-3</v>
      </c>
      <c r="N553" s="4">
        <v>-7.0000000000000001E-3</v>
      </c>
      <c r="O553" s="4">
        <v>2.9999999999999997E-4</v>
      </c>
      <c r="P553" s="4">
        <v>130.38999999999999</v>
      </c>
      <c r="Q553" s="4">
        <v>0.34</v>
      </c>
      <c r="R553" s="4">
        <f t="shared" si="11"/>
        <v>0.26829218106995883</v>
      </c>
      <c r="S553" s="22">
        <f t="shared" si="12"/>
        <v>6.9958847736625515E-4</v>
      </c>
    </row>
    <row r="554" spans="1:19" ht="16">
      <c r="A554" s="19" t="s">
        <v>380</v>
      </c>
      <c r="B554" s="87">
        <v>222211111222</v>
      </c>
      <c r="C554" s="87" t="s">
        <v>30</v>
      </c>
      <c r="D554" s="81">
        <v>0.25</v>
      </c>
      <c r="E554" s="82">
        <v>12</v>
      </c>
      <c r="F554" s="82">
        <v>7</v>
      </c>
      <c r="G554" s="82">
        <v>18</v>
      </c>
      <c r="H554" s="21">
        <v>6.0505000000000004</v>
      </c>
      <c r="I554" s="4">
        <v>8.9999999999999998E-4</v>
      </c>
      <c r="J554" s="20">
        <v>-33.690300000000001</v>
      </c>
      <c r="K554" s="4">
        <v>1.5E-3</v>
      </c>
      <c r="L554" s="4">
        <v>2.4E-2</v>
      </c>
      <c r="M554" s="4">
        <v>3.0000000000000001E-3</v>
      </c>
      <c r="N554" s="4">
        <v>-6.3E-3</v>
      </c>
      <c r="O554" s="4">
        <v>2.0000000000000001E-4</v>
      </c>
      <c r="P554" s="4">
        <v>131.22</v>
      </c>
      <c r="Q554" s="4">
        <v>0.24</v>
      </c>
      <c r="R554" s="21">
        <f>P554*E554/G554^3</f>
        <v>0.26999999999999996</v>
      </c>
      <c r="S554" s="22">
        <f t="shared" si="12"/>
        <v>4.9382716049382717E-4</v>
      </c>
    </row>
    <row r="555" spans="1:19" ht="16">
      <c r="A555" s="23" t="s">
        <v>380</v>
      </c>
      <c r="B555" s="90">
        <v>222211111222</v>
      </c>
      <c r="C555" s="90" t="s">
        <v>30</v>
      </c>
      <c r="D555" s="83">
        <v>0.5</v>
      </c>
      <c r="E555" s="82">
        <v>12</v>
      </c>
      <c r="F555" s="82">
        <v>7</v>
      </c>
      <c r="G555" s="82">
        <v>18</v>
      </c>
      <c r="H555" s="24">
        <v>5.6077000000000004</v>
      </c>
      <c r="I555" s="4">
        <v>8.9999999999999998E-4</v>
      </c>
      <c r="J555" s="4">
        <v>-31.122699999999998</v>
      </c>
      <c r="K555" s="4">
        <v>5.0000000000000001E-4</v>
      </c>
      <c r="L555" s="4">
        <v>2.1000000000000001E-2</v>
      </c>
      <c r="M555" s="4">
        <v>4.0000000000000001E-3</v>
      </c>
      <c r="N555" s="4">
        <v>-8.2000000000000007E-3</v>
      </c>
      <c r="O555" s="4">
        <v>2.0000000000000001E-4</v>
      </c>
      <c r="P555" s="4">
        <v>125.07</v>
      </c>
      <c r="Q555" s="4">
        <v>0.09</v>
      </c>
      <c r="R555" s="4">
        <f t="shared" si="11"/>
        <v>0.25734567901234567</v>
      </c>
      <c r="S555" s="22">
        <f t="shared" si="12"/>
        <v>1.851851851851852E-4</v>
      </c>
    </row>
    <row r="556" spans="1:19" ht="16">
      <c r="A556" s="86" t="s">
        <v>381</v>
      </c>
      <c r="B556" s="87">
        <v>112222222111</v>
      </c>
      <c r="C556" s="87" t="s">
        <v>19</v>
      </c>
      <c r="D556" s="88">
        <v>0.25</v>
      </c>
      <c r="E556" s="82">
        <v>12</v>
      </c>
      <c r="F556" s="82">
        <v>7</v>
      </c>
      <c r="G556" s="82">
        <v>18</v>
      </c>
      <c r="H556" s="21">
        <v>5.8789999999999996</v>
      </c>
      <c r="I556" s="4">
        <v>1E-3</v>
      </c>
      <c r="J556" s="20">
        <v>-33.809399999999997</v>
      </c>
      <c r="K556" s="4">
        <v>1.4E-3</v>
      </c>
      <c r="L556" s="4">
        <v>6.2E-2</v>
      </c>
      <c r="M556" s="4">
        <v>6.0000000000000001E-3</v>
      </c>
      <c r="N556" s="4">
        <v>-6.7999999999999996E-3</v>
      </c>
      <c r="O556" s="4">
        <v>1E-4</v>
      </c>
      <c r="P556" s="4">
        <v>131.47</v>
      </c>
      <c r="Q556" s="4">
        <v>0.13</v>
      </c>
      <c r="R556" s="21">
        <f>P556*E556/G556^3</f>
        <v>0.27051440329218107</v>
      </c>
      <c r="S556" s="22">
        <f t="shared" si="12"/>
        <v>2.6748971193415636E-4</v>
      </c>
    </row>
    <row r="557" spans="1:19" ht="17" thickBot="1">
      <c r="A557" s="95" t="s">
        <v>381</v>
      </c>
      <c r="B557" s="64">
        <v>112222222111</v>
      </c>
      <c r="C557" s="64" t="s">
        <v>19</v>
      </c>
      <c r="D557" s="65">
        <v>0.5</v>
      </c>
      <c r="E557" s="72">
        <v>12</v>
      </c>
      <c r="F557" s="72">
        <v>7</v>
      </c>
      <c r="G557" s="72">
        <v>18</v>
      </c>
      <c r="H557" s="58">
        <v>5.2069000000000001</v>
      </c>
      <c r="I557" s="10">
        <v>5.9999999999999995E-4</v>
      </c>
      <c r="J557" s="10">
        <v>-31.587199999999999</v>
      </c>
      <c r="K557" s="10">
        <v>4.0000000000000002E-4</v>
      </c>
      <c r="L557" s="10">
        <v>0.188</v>
      </c>
      <c r="M557" s="10">
        <v>1.0999999999999999E-2</v>
      </c>
      <c r="N557" s="10">
        <v>-1.21E-2</v>
      </c>
      <c r="O557" s="10">
        <v>1E-4</v>
      </c>
      <c r="P557" s="10">
        <v>119.6</v>
      </c>
      <c r="Q557" s="10">
        <v>0.16</v>
      </c>
      <c r="R557" s="10">
        <f t="shared" si="11"/>
        <v>0.24609053497942385</v>
      </c>
      <c r="S557" s="26">
        <f t="shared" si="12"/>
        <v>3.2921810699588475E-4</v>
      </c>
    </row>
    <row r="558" spans="1:19" ht="17" thickTop="1">
      <c r="A558" s="27" t="s">
        <v>382</v>
      </c>
      <c r="B558" s="73">
        <v>221212212122</v>
      </c>
      <c r="C558" s="73"/>
      <c r="D558" s="5">
        <v>0.25</v>
      </c>
      <c r="E558" s="69">
        <v>12</v>
      </c>
      <c r="F558" s="69">
        <v>8</v>
      </c>
      <c r="G558" s="69">
        <v>18</v>
      </c>
      <c r="H558" s="12">
        <v>6.3558000000000003</v>
      </c>
      <c r="I558" s="7">
        <v>5.9999999999999995E-4</v>
      </c>
      <c r="J558" s="5">
        <v>-35.709699999999998</v>
      </c>
      <c r="K558" s="7">
        <v>8.9999999999999998E-4</v>
      </c>
      <c r="L558" s="7">
        <v>2.5999999999999999E-2</v>
      </c>
      <c r="M558" s="7">
        <v>4.0000000000000001E-3</v>
      </c>
      <c r="N558" s="7">
        <v>-5.5999999999999999E-3</v>
      </c>
      <c r="O558" s="7">
        <v>2.0000000000000001E-4</v>
      </c>
      <c r="P558" s="7">
        <v>132.71</v>
      </c>
      <c r="Q558" s="7">
        <v>0.23</v>
      </c>
      <c r="R558" s="5">
        <f t="shared" si="11"/>
        <v>0.27306584362139918</v>
      </c>
      <c r="S558" s="18">
        <f t="shared" si="12"/>
        <v>4.732510288065844E-4</v>
      </c>
    </row>
    <row r="559" spans="1:19" ht="16">
      <c r="A559" s="23" t="s">
        <v>382</v>
      </c>
      <c r="B559" s="82">
        <v>221212212122</v>
      </c>
      <c r="C559" s="82"/>
      <c r="D559" s="83">
        <v>0.5</v>
      </c>
      <c r="E559" s="82">
        <v>12</v>
      </c>
      <c r="F559" s="82">
        <v>8</v>
      </c>
      <c r="G559" s="82">
        <v>18</v>
      </c>
      <c r="H559" s="24">
        <v>6.2084000000000001</v>
      </c>
      <c r="I559" s="4">
        <v>5.9999999999999995E-4</v>
      </c>
      <c r="J559" s="4">
        <v>-34.889800000000001</v>
      </c>
      <c r="K559" s="4">
        <v>1.6000000000000001E-3</v>
      </c>
      <c r="L559" s="4">
        <v>2.4E-2</v>
      </c>
      <c r="M559" s="4">
        <v>5.0000000000000001E-3</v>
      </c>
      <c r="N559" s="4">
        <v>-6.0000000000000001E-3</v>
      </c>
      <c r="O559" s="4">
        <v>2.0000000000000001E-4</v>
      </c>
      <c r="P559" s="4">
        <v>131.16999999999999</v>
      </c>
      <c r="Q559" s="4">
        <v>0.25</v>
      </c>
      <c r="R559" s="4">
        <f t="shared" si="11"/>
        <v>0.2698971193415638</v>
      </c>
      <c r="S559" s="22">
        <f t="shared" si="12"/>
        <v>5.1440329218107E-4</v>
      </c>
    </row>
    <row r="560" spans="1:19" ht="16">
      <c r="A560" s="28" t="s">
        <v>382</v>
      </c>
      <c r="B560" s="84">
        <v>221212212122</v>
      </c>
      <c r="C560" s="84"/>
      <c r="D560" s="85">
        <v>0.75</v>
      </c>
      <c r="E560" s="82">
        <v>12</v>
      </c>
      <c r="F560" s="82">
        <v>8</v>
      </c>
      <c r="G560" s="82">
        <v>18</v>
      </c>
      <c r="H560" s="30">
        <v>6.0601000000000003</v>
      </c>
      <c r="I560" s="4">
        <v>8.9999999999999998E-4</v>
      </c>
      <c r="J560" s="29">
        <v>-34.190399999999997</v>
      </c>
      <c r="K560" s="4">
        <v>8.0000000000000004E-4</v>
      </c>
      <c r="L560" s="4">
        <v>2.5999999999999999E-2</v>
      </c>
      <c r="M560" s="4">
        <v>2E-3</v>
      </c>
      <c r="N560" s="4">
        <v>-6.8999999999999999E-3</v>
      </c>
      <c r="O560" s="4">
        <v>2.9999999999999997E-4</v>
      </c>
      <c r="P560" s="4">
        <v>128.38999999999999</v>
      </c>
      <c r="Q560" s="4">
        <v>0.19</v>
      </c>
      <c r="R560" s="29">
        <f t="shared" si="11"/>
        <v>0.26417695473251024</v>
      </c>
      <c r="S560" s="22">
        <f t="shared" si="12"/>
        <v>3.9094650205761324E-4</v>
      </c>
    </row>
    <row r="561" spans="1:19" ht="16">
      <c r="A561" s="33" t="s">
        <v>382</v>
      </c>
      <c r="B561" s="97">
        <v>221212212122</v>
      </c>
      <c r="C561" s="97"/>
      <c r="D561" s="98">
        <v>1</v>
      </c>
      <c r="E561" s="82">
        <v>12</v>
      </c>
      <c r="F561" s="82">
        <v>8</v>
      </c>
      <c r="G561" s="82">
        <v>18</v>
      </c>
      <c r="H561" s="34">
        <v>5.9127999999999998</v>
      </c>
      <c r="I561" s="4">
        <v>8.0000000000000004E-4</v>
      </c>
      <c r="J561" s="34">
        <v>-33.627800000000001</v>
      </c>
      <c r="K561" s="4">
        <v>1.1999999999999999E-3</v>
      </c>
      <c r="L561" s="4">
        <v>2.7E-2</v>
      </c>
      <c r="M561" s="4">
        <v>1.4E-2</v>
      </c>
      <c r="N561" s="4">
        <v>-7.7000000000000002E-3</v>
      </c>
      <c r="O561" s="4">
        <v>1E-4</v>
      </c>
      <c r="P561" s="4">
        <v>124.47</v>
      </c>
      <c r="Q561" s="4">
        <v>0.17</v>
      </c>
      <c r="R561" s="34">
        <f t="shared" si="11"/>
        <v>0.25611111111111107</v>
      </c>
      <c r="S561" s="22">
        <f t="shared" si="12"/>
        <v>3.4979423868312758E-4</v>
      </c>
    </row>
    <row r="562" spans="1:19" ht="16">
      <c r="A562" s="19" t="s">
        <v>383</v>
      </c>
      <c r="B562" s="80">
        <v>122221212122</v>
      </c>
      <c r="C562" s="80"/>
      <c r="D562" s="20">
        <v>0.25</v>
      </c>
      <c r="E562" s="82">
        <v>12</v>
      </c>
      <c r="F562" s="82">
        <v>8</v>
      </c>
      <c r="G562" s="82">
        <v>18</v>
      </c>
      <c r="H562" s="21">
        <v>6.3160999999999996</v>
      </c>
      <c r="I562" s="4">
        <v>8.9999999999999998E-4</v>
      </c>
      <c r="J562" s="20">
        <v>-35.640700000000002</v>
      </c>
      <c r="K562" s="4">
        <v>1.9E-3</v>
      </c>
      <c r="L562" s="4">
        <v>2.5000000000000001E-2</v>
      </c>
      <c r="M562" s="4">
        <v>4.0000000000000001E-3</v>
      </c>
      <c r="N562" s="4">
        <v>-5.7999999999999996E-3</v>
      </c>
      <c r="O562" s="4">
        <v>1E-4</v>
      </c>
      <c r="P562" s="4">
        <v>132.79</v>
      </c>
      <c r="Q562" s="4">
        <v>0.18</v>
      </c>
      <c r="R562" s="20">
        <f t="shared" si="11"/>
        <v>0.2732304526748971</v>
      </c>
      <c r="S562" s="22">
        <f t="shared" si="12"/>
        <v>3.7037037037037041E-4</v>
      </c>
    </row>
    <row r="563" spans="1:19" ht="16">
      <c r="A563" s="23" t="s">
        <v>383</v>
      </c>
      <c r="B563" s="82">
        <v>122221212122</v>
      </c>
      <c r="C563" s="82"/>
      <c r="D563" s="83">
        <v>0.5</v>
      </c>
      <c r="E563" s="82">
        <v>12</v>
      </c>
      <c r="F563" s="82">
        <v>8</v>
      </c>
      <c r="G563" s="82">
        <v>18</v>
      </c>
      <c r="H563" s="24">
        <v>6.1291000000000002</v>
      </c>
      <c r="I563" s="4">
        <v>4.0000000000000002E-4</v>
      </c>
      <c r="J563" s="4">
        <v>-34.779899999999998</v>
      </c>
      <c r="K563" s="4">
        <v>1.1999999999999999E-3</v>
      </c>
      <c r="L563" s="4">
        <v>3.1E-2</v>
      </c>
      <c r="M563" s="4">
        <v>5.0000000000000001E-3</v>
      </c>
      <c r="N563" s="4">
        <v>-6.4000000000000003E-3</v>
      </c>
      <c r="O563" s="4">
        <v>1E-4</v>
      </c>
      <c r="P563" s="4">
        <v>130.69999999999999</v>
      </c>
      <c r="Q563" s="4">
        <v>0.17</v>
      </c>
      <c r="R563" s="4">
        <f t="shared" si="11"/>
        <v>0.26893004115226338</v>
      </c>
      <c r="S563" s="22">
        <f t="shared" si="12"/>
        <v>3.4979423868312758E-4</v>
      </c>
    </row>
    <row r="564" spans="1:19" ht="16">
      <c r="A564" s="28" t="s">
        <v>383</v>
      </c>
      <c r="B564" s="84">
        <v>122221212122</v>
      </c>
      <c r="C564" s="84"/>
      <c r="D564" s="85">
        <v>0.75</v>
      </c>
      <c r="E564" s="82">
        <v>12</v>
      </c>
      <c r="F564" s="82">
        <v>8</v>
      </c>
      <c r="G564" s="82">
        <v>18</v>
      </c>
      <c r="H564" s="30">
        <v>5.9389000000000003</v>
      </c>
      <c r="I564" s="4">
        <v>6.9999999999999999E-4</v>
      </c>
      <c r="J564" s="29">
        <v>-34.079900000000002</v>
      </c>
      <c r="K564" s="4">
        <v>1.1999999999999999E-3</v>
      </c>
      <c r="L564" s="4">
        <v>4.4999999999999998E-2</v>
      </c>
      <c r="M564" s="4">
        <v>4.0000000000000001E-3</v>
      </c>
      <c r="N564" s="4">
        <v>-7.6E-3</v>
      </c>
      <c r="O564" s="4">
        <v>1E-4</v>
      </c>
      <c r="P564" s="4">
        <v>126.88</v>
      </c>
      <c r="Q564" s="4">
        <v>0.08</v>
      </c>
      <c r="R564" s="29">
        <f t="shared" si="11"/>
        <v>0.26106995884773659</v>
      </c>
      <c r="S564" s="22">
        <f t="shared" si="12"/>
        <v>1.6460905349794237E-4</v>
      </c>
    </row>
    <row r="565" spans="1:19" ht="16">
      <c r="A565" s="33" t="s">
        <v>383</v>
      </c>
      <c r="B565" s="97">
        <v>122221212122</v>
      </c>
      <c r="C565" s="97"/>
      <c r="D565" s="98">
        <v>1</v>
      </c>
      <c r="E565" s="82">
        <v>12</v>
      </c>
      <c r="F565" s="82">
        <v>8</v>
      </c>
      <c r="G565" s="82">
        <v>18</v>
      </c>
      <c r="H565" s="34">
        <v>5.7477</v>
      </c>
      <c r="I565" s="4">
        <v>6.9999999999999999E-4</v>
      </c>
      <c r="J565" s="34">
        <v>-33.581600000000002</v>
      </c>
      <c r="K565" s="4">
        <v>2E-3</v>
      </c>
      <c r="L565" s="4">
        <v>7.4999999999999997E-2</v>
      </c>
      <c r="M565" s="4">
        <v>1.6E-2</v>
      </c>
      <c r="N565" s="4">
        <v>-8.9999999999999993E-3</v>
      </c>
      <c r="O565" s="4">
        <v>1E-4</v>
      </c>
      <c r="P565" s="4">
        <v>120.88</v>
      </c>
      <c r="Q565" s="4">
        <v>0.17</v>
      </c>
      <c r="R565" s="34">
        <f t="shared" si="11"/>
        <v>0.24872427983539094</v>
      </c>
      <c r="S565" s="22">
        <f t="shared" si="12"/>
        <v>3.4979423868312758E-4</v>
      </c>
    </row>
    <row r="566" spans="1:19" ht="16">
      <c r="A566" s="19" t="s">
        <v>384</v>
      </c>
      <c r="B566" s="80">
        <v>211222212122</v>
      </c>
      <c r="C566" s="80"/>
      <c r="D566" s="20">
        <v>0.25</v>
      </c>
      <c r="E566" s="82">
        <v>12</v>
      </c>
      <c r="F566" s="82">
        <v>8</v>
      </c>
      <c r="G566" s="82">
        <v>18</v>
      </c>
      <c r="H566" s="21">
        <v>6.3261000000000003</v>
      </c>
      <c r="I566" s="4">
        <v>8.0000000000000004E-4</v>
      </c>
      <c r="J566" s="20">
        <v>-35.688200000000002</v>
      </c>
      <c r="K566" s="4">
        <v>1.1000000000000001E-3</v>
      </c>
      <c r="L566" s="4">
        <v>2.7E-2</v>
      </c>
      <c r="M566" s="4">
        <v>1.0999999999999999E-2</v>
      </c>
      <c r="N566" s="4">
        <v>-6.0000000000000001E-3</v>
      </c>
      <c r="O566" s="4">
        <v>1E-4</v>
      </c>
      <c r="P566" s="4">
        <v>132.41</v>
      </c>
      <c r="Q566" s="4">
        <v>0.09</v>
      </c>
      <c r="R566" s="20">
        <f t="shared" si="11"/>
        <v>0.27244855967078191</v>
      </c>
      <c r="S566" s="22">
        <f t="shared" si="12"/>
        <v>1.851851851851852E-4</v>
      </c>
    </row>
    <row r="567" spans="1:19" ht="16">
      <c r="A567" s="23" t="s">
        <v>384</v>
      </c>
      <c r="B567" s="82">
        <v>211222212122</v>
      </c>
      <c r="C567" s="82"/>
      <c r="D567" s="83">
        <v>0.5</v>
      </c>
      <c r="E567" s="82">
        <v>12</v>
      </c>
      <c r="F567" s="82">
        <v>8</v>
      </c>
      <c r="G567" s="82">
        <v>18</v>
      </c>
      <c r="H567" s="24">
        <v>6.1470000000000002</v>
      </c>
      <c r="I567" s="4">
        <v>1E-3</v>
      </c>
      <c r="J567" s="4">
        <v>-34.886400000000002</v>
      </c>
      <c r="K567" s="4">
        <v>2.0999999999999999E-3</v>
      </c>
      <c r="L567" s="4">
        <v>4.3999999999999997E-2</v>
      </c>
      <c r="M567" s="4">
        <v>4.0000000000000001E-3</v>
      </c>
      <c r="N567" s="4">
        <v>-6.4999999999999997E-3</v>
      </c>
      <c r="O567" s="4">
        <v>2.0000000000000001E-4</v>
      </c>
      <c r="P567" s="4">
        <v>130.49</v>
      </c>
      <c r="Q567" s="4">
        <v>0.11</v>
      </c>
      <c r="R567" s="4">
        <f t="shared" si="11"/>
        <v>0.26849794238683128</v>
      </c>
      <c r="S567" s="22">
        <f t="shared" si="12"/>
        <v>2.2633744855967078E-4</v>
      </c>
    </row>
    <row r="568" spans="1:19" ht="16">
      <c r="A568" s="28" t="s">
        <v>384</v>
      </c>
      <c r="B568" s="84">
        <v>211222212122</v>
      </c>
      <c r="C568" s="84"/>
      <c r="D568" s="85">
        <v>0.75</v>
      </c>
      <c r="E568" s="82">
        <v>12</v>
      </c>
      <c r="F568" s="82">
        <v>8</v>
      </c>
      <c r="G568" s="82">
        <v>18</v>
      </c>
      <c r="H568" s="30">
        <v>5.9656000000000002</v>
      </c>
      <c r="I568" s="4">
        <v>6.9999999999999999E-4</v>
      </c>
      <c r="J568" s="29">
        <v>-34.262799999999999</v>
      </c>
      <c r="K568" s="4">
        <v>1.8E-3</v>
      </c>
      <c r="L568" s="4">
        <v>4.1000000000000002E-2</v>
      </c>
      <c r="M568" s="4">
        <v>3.0000000000000001E-3</v>
      </c>
      <c r="N568" s="4">
        <v>-7.7999999999999996E-3</v>
      </c>
      <c r="O568" s="4">
        <v>2.0000000000000001E-4</v>
      </c>
      <c r="P568" s="4">
        <v>126.12</v>
      </c>
      <c r="Q568" s="4">
        <v>0.18</v>
      </c>
      <c r="R568" s="29">
        <f t="shared" si="11"/>
        <v>0.25950617283950617</v>
      </c>
      <c r="S568" s="22">
        <f t="shared" si="12"/>
        <v>3.7037037037037041E-4</v>
      </c>
    </row>
    <row r="569" spans="1:19" ht="16">
      <c r="A569" s="33" t="s">
        <v>384</v>
      </c>
      <c r="B569" s="97">
        <v>211222212122</v>
      </c>
      <c r="C569" s="97"/>
      <c r="D569" s="98">
        <v>1</v>
      </c>
      <c r="E569" s="82">
        <v>12</v>
      </c>
      <c r="F569" s="82">
        <v>8</v>
      </c>
      <c r="G569" s="82">
        <v>18</v>
      </c>
      <c r="H569" s="34">
        <v>5.7792000000000003</v>
      </c>
      <c r="I569" s="4">
        <v>1E-3</v>
      </c>
      <c r="J569" s="34">
        <v>-33.864800000000002</v>
      </c>
      <c r="K569" s="4">
        <v>1.1000000000000001E-3</v>
      </c>
      <c r="L569" s="4">
        <v>9.4E-2</v>
      </c>
      <c r="M569" s="4">
        <v>1.7000000000000001E-2</v>
      </c>
      <c r="N569" s="4">
        <v>-9.2999999999999992E-3</v>
      </c>
      <c r="O569" s="4">
        <v>4.0000000000000002E-4</v>
      </c>
      <c r="P569" s="4">
        <v>119.73</v>
      </c>
      <c r="Q569" s="4">
        <v>0.51</v>
      </c>
      <c r="R569" s="34">
        <f t="shared" si="11"/>
        <v>0.24635802469135804</v>
      </c>
      <c r="S569" s="22">
        <f t="shared" si="12"/>
        <v>1.0493827160493827E-3</v>
      </c>
    </row>
    <row r="570" spans="1:19" ht="16">
      <c r="A570" s="19" t="s">
        <v>385</v>
      </c>
      <c r="B570" s="80">
        <v>221221112222</v>
      </c>
      <c r="C570" s="80"/>
      <c r="D570" s="20">
        <v>0.25</v>
      </c>
      <c r="E570" s="82">
        <v>12</v>
      </c>
      <c r="F570" s="82">
        <v>8</v>
      </c>
      <c r="G570" s="82">
        <v>18</v>
      </c>
      <c r="H570" s="21">
        <v>6.3712999999999997</v>
      </c>
      <c r="I570" s="4">
        <v>5.0000000000000001E-4</v>
      </c>
      <c r="J570" s="20">
        <v>-35.575400000000002</v>
      </c>
      <c r="K570" s="4">
        <v>1.1000000000000001E-3</v>
      </c>
      <c r="L570" s="4">
        <v>2.1000000000000001E-2</v>
      </c>
      <c r="M570" s="4">
        <v>8.9999999999999993E-3</v>
      </c>
      <c r="N570" s="4">
        <v>-5.7999999999999996E-3</v>
      </c>
      <c r="O570" s="4">
        <v>1E-4</v>
      </c>
      <c r="P570" s="4">
        <v>132.07</v>
      </c>
      <c r="Q570" s="4">
        <v>0.22</v>
      </c>
      <c r="R570" s="20">
        <f t="shared" si="11"/>
        <v>0.27174897119341562</v>
      </c>
      <c r="S570" s="22">
        <f t="shared" si="12"/>
        <v>4.5267489711934157E-4</v>
      </c>
    </row>
    <row r="571" spans="1:19" ht="16">
      <c r="A571" s="23" t="s">
        <v>385</v>
      </c>
      <c r="B571" s="82">
        <v>221221112222</v>
      </c>
      <c r="C571" s="82"/>
      <c r="D571" s="83">
        <v>0.5</v>
      </c>
      <c r="E571" s="82">
        <v>12</v>
      </c>
      <c r="F571" s="82">
        <v>8</v>
      </c>
      <c r="G571" s="82">
        <v>18</v>
      </c>
      <c r="H571" s="24">
        <v>6.2392000000000003</v>
      </c>
      <c r="I571" s="4">
        <v>8.0000000000000004E-4</v>
      </c>
      <c r="J571" s="4">
        <v>-34.728200000000001</v>
      </c>
      <c r="K571" s="4">
        <v>1E-3</v>
      </c>
      <c r="L571" s="4">
        <v>1.7999999999999999E-2</v>
      </c>
      <c r="M571" s="4">
        <v>4.0000000000000001E-3</v>
      </c>
      <c r="N571" s="4">
        <v>-6.4999999999999997E-3</v>
      </c>
      <c r="O571" s="4">
        <v>1E-4</v>
      </c>
      <c r="P571" s="4">
        <v>128.46</v>
      </c>
      <c r="Q571" s="4">
        <v>0.12</v>
      </c>
      <c r="R571" s="4">
        <f t="shared" si="11"/>
        <v>0.26432098765432099</v>
      </c>
      <c r="S571" s="22">
        <f t="shared" si="12"/>
        <v>2.4691358024691359E-4</v>
      </c>
    </row>
    <row r="572" spans="1:19" ht="16">
      <c r="A572" s="28" t="s">
        <v>385</v>
      </c>
      <c r="B572" s="84">
        <v>221221112222</v>
      </c>
      <c r="C572" s="84"/>
      <c r="D572" s="85">
        <v>0.75</v>
      </c>
      <c r="E572" s="82">
        <v>12</v>
      </c>
      <c r="F572" s="82">
        <v>8</v>
      </c>
      <c r="G572" s="82">
        <v>18</v>
      </c>
      <c r="H572" s="30">
        <v>6.1086</v>
      </c>
      <c r="I572" s="4">
        <v>1E-3</v>
      </c>
      <c r="J572" s="29">
        <v>-34.144100000000002</v>
      </c>
      <c r="K572" s="4">
        <v>8.0000000000000004E-4</v>
      </c>
      <c r="L572" s="4">
        <v>3.3000000000000002E-2</v>
      </c>
      <c r="M572" s="4">
        <v>8.0000000000000002E-3</v>
      </c>
      <c r="N572" s="4">
        <v>-8.0000000000000002E-3</v>
      </c>
      <c r="O572" s="4">
        <v>2.9999999999999997E-4</v>
      </c>
      <c r="P572" s="4">
        <v>122.15</v>
      </c>
      <c r="Q572" s="4">
        <v>0.18</v>
      </c>
      <c r="R572" s="29">
        <f t="shared" si="11"/>
        <v>0.25133744855967083</v>
      </c>
      <c r="S572" s="22">
        <f t="shared" si="12"/>
        <v>3.7037037037037041E-4</v>
      </c>
    </row>
    <row r="573" spans="1:19" ht="16">
      <c r="A573" s="33" t="s">
        <v>385</v>
      </c>
      <c r="B573" s="97">
        <v>221221112222</v>
      </c>
      <c r="C573" s="97"/>
      <c r="D573" s="98">
        <v>1</v>
      </c>
      <c r="E573" s="82">
        <v>12</v>
      </c>
      <c r="F573" s="82">
        <v>8</v>
      </c>
      <c r="G573" s="82">
        <v>18</v>
      </c>
      <c r="H573" s="34">
        <v>5.9957000000000003</v>
      </c>
      <c r="I573" s="4">
        <v>1E-3</v>
      </c>
      <c r="J573" s="34">
        <v>-33.8872</v>
      </c>
      <c r="K573" s="4">
        <v>5.9999999999999995E-4</v>
      </c>
      <c r="L573" s="4">
        <v>4.2000000000000003E-2</v>
      </c>
      <c r="M573" s="4">
        <v>7.0000000000000001E-3</v>
      </c>
      <c r="N573" s="4">
        <v>-1.01E-2</v>
      </c>
      <c r="O573" s="4">
        <v>1E-4</v>
      </c>
      <c r="P573" s="4">
        <v>112.88</v>
      </c>
      <c r="Q573" s="4">
        <v>0.1</v>
      </c>
      <c r="R573" s="34">
        <f t="shared" si="11"/>
        <v>0.2322633744855967</v>
      </c>
      <c r="S573" s="22">
        <f t="shared" si="12"/>
        <v>2.0576131687242801E-4</v>
      </c>
    </row>
    <row r="574" spans="1:19" ht="16">
      <c r="A574" s="19" t="s">
        <v>386</v>
      </c>
      <c r="B574" s="80">
        <v>111222221222</v>
      </c>
      <c r="C574" s="80"/>
      <c r="D574" s="20">
        <v>0.25</v>
      </c>
      <c r="E574" s="82">
        <v>12</v>
      </c>
      <c r="F574" s="82">
        <v>8</v>
      </c>
      <c r="G574" s="82">
        <v>18</v>
      </c>
      <c r="H574" s="21">
        <v>6.2672999999999996</v>
      </c>
      <c r="I574" s="4">
        <v>8.9999999999999998E-4</v>
      </c>
      <c r="J574" s="20">
        <v>-35.736400000000003</v>
      </c>
      <c r="K574" s="4">
        <v>1.6000000000000001E-3</v>
      </c>
      <c r="L574" s="4">
        <v>4.1000000000000002E-2</v>
      </c>
      <c r="M574" s="4">
        <v>5.0000000000000001E-3</v>
      </c>
      <c r="N574" s="4">
        <v>-6.4000000000000003E-3</v>
      </c>
      <c r="O574" s="4">
        <v>2.0000000000000001E-4</v>
      </c>
      <c r="P574" s="4">
        <v>131.25</v>
      </c>
      <c r="Q574" s="4">
        <v>0.25</v>
      </c>
      <c r="R574" s="20">
        <f t="shared" si="11"/>
        <v>0.27006172839506171</v>
      </c>
      <c r="S574" s="22">
        <f t="shared" si="12"/>
        <v>5.1440329218107E-4</v>
      </c>
    </row>
    <row r="575" spans="1:19" ht="16">
      <c r="A575" s="23" t="s">
        <v>386</v>
      </c>
      <c r="B575" s="82">
        <v>111222221222</v>
      </c>
      <c r="C575" s="82"/>
      <c r="D575" s="83">
        <v>0.5</v>
      </c>
      <c r="E575" s="82">
        <v>12</v>
      </c>
      <c r="F575" s="82">
        <v>8</v>
      </c>
      <c r="G575" s="82">
        <v>18</v>
      </c>
      <c r="H575" s="24">
        <v>5.9985999999999997</v>
      </c>
      <c r="I575" s="4">
        <v>8.0000000000000004E-4</v>
      </c>
      <c r="J575" s="4">
        <v>-35.2607</v>
      </c>
      <c r="K575" s="4">
        <v>1.5E-3</v>
      </c>
      <c r="L575" s="4">
        <v>0.11899999999999999</v>
      </c>
      <c r="M575" s="4">
        <v>6.0000000000000001E-3</v>
      </c>
      <c r="N575" s="4">
        <v>-9.5999999999999992E-3</v>
      </c>
      <c r="O575" s="4">
        <v>1E-4</v>
      </c>
      <c r="P575" s="4">
        <v>122.1</v>
      </c>
      <c r="Q575" s="4">
        <v>0.18</v>
      </c>
      <c r="R575" s="4">
        <f t="shared" si="11"/>
        <v>0.25123456790123455</v>
      </c>
      <c r="S575" s="22">
        <f t="shared" si="12"/>
        <v>3.7037037037037041E-4</v>
      </c>
    </row>
    <row r="576" spans="1:19" ht="16">
      <c r="A576" s="28" t="s">
        <v>386</v>
      </c>
      <c r="B576" s="84">
        <v>111222221222</v>
      </c>
      <c r="C576" s="84"/>
      <c r="D576" s="85">
        <v>0.75</v>
      </c>
      <c r="E576" s="82">
        <v>12</v>
      </c>
      <c r="F576" s="82">
        <v>8</v>
      </c>
      <c r="G576" s="82">
        <v>18</v>
      </c>
      <c r="H576" s="30">
        <v>5.6624999999999996</v>
      </c>
      <c r="I576" s="4">
        <v>8.9999999999999998E-4</v>
      </c>
      <c r="J576" s="29">
        <v>-35.543700000000001</v>
      </c>
      <c r="K576" s="4">
        <v>2.3999999999999998E-3</v>
      </c>
      <c r="L576" s="4">
        <v>4.9000000000000002E-2</v>
      </c>
      <c r="M576" s="4">
        <v>1E-3</v>
      </c>
      <c r="N576" s="4">
        <v>-1.7299999999999999E-2</v>
      </c>
      <c r="O576" s="4">
        <v>1E-4</v>
      </c>
      <c r="P576" s="4">
        <v>95.36</v>
      </c>
      <c r="Q576" s="4">
        <v>0.32</v>
      </c>
      <c r="R576" s="29">
        <f t="shared" si="11"/>
        <v>0.19621399176954732</v>
      </c>
      <c r="S576" s="22">
        <f t="shared" si="12"/>
        <v>6.5843621399176949E-4</v>
      </c>
    </row>
    <row r="577" spans="1:19" ht="16">
      <c r="A577" s="19" t="s">
        <v>387</v>
      </c>
      <c r="B577" s="80">
        <v>112122122222</v>
      </c>
      <c r="C577" s="80"/>
      <c r="D577" s="20">
        <v>0.25</v>
      </c>
      <c r="E577" s="82">
        <v>12</v>
      </c>
      <c r="F577" s="82">
        <v>8</v>
      </c>
      <c r="G577" s="82">
        <v>18</v>
      </c>
      <c r="H577" s="21">
        <v>6.2850999999999999</v>
      </c>
      <c r="I577" s="4">
        <v>5.9999999999999995E-4</v>
      </c>
      <c r="J577" s="20">
        <v>-35.779000000000003</v>
      </c>
      <c r="K577" s="4">
        <v>8.9999999999999998E-4</v>
      </c>
      <c r="L577" s="4">
        <v>4.1000000000000002E-2</v>
      </c>
      <c r="M577" s="4">
        <v>4.0000000000000001E-3</v>
      </c>
      <c r="N577" s="4">
        <v>-6.4000000000000003E-3</v>
      </c>
      <c r="O577" s="4">
        <v>2.0000000000000001E-4</v>
      </c>
      <c r="P577" s="4">
        <v>131.32</v>
      </c>
      <c r="Q577" s="4">
        <v>0.21</v>
      </c>
      <c r="R577" s="20">
        <f t="shared" si="11"/>
        <v>0.27020576131687241</v>
      </c>
      <c r="S577" s="22">
        <f t="shared" si="12"/>
        <v>4.3209876543209879E-4</v>
      </c>
    </row>
    <row r="578" spans="1:19" ht="16">
      <c r="A578" s="23" t="s">
        <v>387</v>
      </c>
      <c r="B578" s="82">
        <v>112122122222</v>
      </c>
      <c r="C578" s="82"/>
      <c r="D578" s="83">
        <v>0.5</v>
      </c>
      <c r="E578" s="82">
        <v>12</v>
      </c>
      <c r="F578" s="82">
        <v>8</v>
      </c>
      <c r="G578" s="82">
        <v>18</v>
      </c>
      <c r="H578" s="24">
        <v>6.0358000000000001</v>
      </c>
      <c r="I578" s="4">
        <v>1E-3</v>
      </c>
      <c r="J578" s="4">
        <v>-35.2669</v>
      </c>
      <c r="K578" s="4">
        <v>8.0000000000000004E-4</v>
      </c>
      <c r="L578" s="4">
        <v>9.7000000000000003E-2</v>
      </c>
      <c r="M578" s="4">
        <v>1.4E-2</v>
      </c>
      <c r="N578" s="4">
        <v>-9.1999999999999998E-3</v>
      </c>
      <c r="O578" s="4">
        <v>2.0000000000000001E-4</v>
      </c>
      <c r="P578" s="4">
        <v>123.37</v>
      </c>
      <c r="Q578" s="4">
        <v>0.19</v>
      </c>
      <c r="R578" s="4">
        <f t="shared" si="11"/>
        <v>0.25384773662551441</v>
      </c>
      <c r="S578" s="22">
        <f t="shared" si="12"/>
        <v>3.9094650205761324E-4</v>
      </c>
    </row>
    <row r="579" spans="1:19" ht="16">
      <c r="A579" s="28" t="s">
        <v>387</v>
      </c>
      <c r="B579" s="84">
        <v>112122122222</v>
      </c>
      <c r="C579" s="84"/>
      <c r="D579" s="85">
        <v>0.75</v>
      </c>
      <c r="E579" s="82">
        <v>12</v>
      </c>
      <c r="F579" s="82">
        <v>8</v>
      </c>
      <c r="G579" s="82">
        <v>18</v>
      </c>
      <c r="H579" s="30">
        <v>5.7214999999999998</v>
      </c>
      <c r="I579" s="4">
        <v>5.0000000000000001E-4</v>
      </c>
      <c r="J579" s="29">
        <v>-35.351799999999997</v>
      </c>
      <c r="K579" s="4">
        <v>1.4E-3</v>
      </c>
      <c r="L579" s="4">
        <v>0.124</v>
      </c>
      <c r="M579" s="4">
        <v>1.9E-2</v>
      </c>
      <c r="N579" s="4">
        <v>-1.6199999999999999E-2</v>
      </c>
      <c r="O579" s="4">
        <v>1E-4</v>
      </c>
      <c r="P579" s="4">
        <v>100.18</v>
      </c>
      <c r="Q579" s="4">
        <v>0.21</v>
      </c>
      <c r="R579" s="29">
        <f t="shared" si="11"/>
        <v>0.20613168724279837</v>
      </c>
      <c r="S579" s="22">
        <f t="shared" si="12"/>
        <v>4.3209876543209879E-4</v>
      </c>
    </row>
    <row r="580" spans="1:19" ht="16">
      <c r="A580" s="19" t="s">
        <v>388</v>
      </c>
      <c r="B580" s="80">
        <v>122222122112</v>
      </c>
      <c r="C580" s="80"/>
      <c r="D580" s="20">
        <v>0.25</v>
      </c>
      <c r="E580" s="82">
        <v>12</v>
      </c>
      <c r="F580" s="82">
        <v>8</v>
      </c>
      <c r="G580" s="82">
        <v>18</v>
      </c>
      <c r="H580" s="21">
        <v>6.2850000000000001</v>
      </c>
      <c r="I580" s="4">
        <v>5.0000000000000001E-4</v>
      </c>
      <c r="J580" s="20">
        <v>-35.632199999999997</v>
      </c>
      <c r="K580" s="4">
        <v>1.1999999999999999E-3</v>
      </c>
      <c r="L580" s="4">
        <v>2.5999999999999999E-2</v>
      </c>
      <c r="M580" s="4">
        <v>4.0000000000000001E-3</v>
      </c>
      <c r="N580" s="4">
        <v>-6.1000000000000004E-3</v>
      </c>
      <c r="O580" s="4">
        <v>2.9999999999999997E-4</v>
      </c>
      <c r="P580" s="4">
        <v>132.27000000000001</v>
      </c>
      <c r="Q580" s="4">
        <v>0.37</v>
      </c>
      <c r="R580" s="20">
        <f t="shared" si="11"/>
        <v>0.27216049382716051</v>
      </c>
      <c r="S580" s="22">
        <f t="shared" si="12"/>
        <v>7.6131687242798343E-4</v>
      </c>
    </row>
    <row r="581" spans="1:19" ht="16">
      <c r="A581" s="23" t="s">
        <v>388</v>
      </c>
      <c r="B581" s="82">
        <v>122222122112</v>
      </c>
      <c r="C581" s="82"/>
      <c r="D581" s="83">
        <v>0.5</v>
      </c>
      <c r="E581" s="82">
        <v>12</v>
      </c>
      <c r="F581" s="82">
        <v>8</v>
      </c>
      <c r="G581" s="82">
        <v>18</v>
      </c>
      <c r="H581" s="24">
        <v>6.0570000000000004</v>
      </c>
      <c r="I581" s="4">
        <v>8.0000000000000004E-4</v>
      </c>
      <c r="J581" s="4">
        <v>-34.821199999999997</v>
      </c>
      <c r="K581" s="4">
        <v>1.4E-3</v>
      </c>
      <c r="L581" s="4">
        <v>7.0999999999999994E-2</v>
      </c>
      <c r="M581" s="4">
        <v>1.0999999999999999E-2</v>
      </c>
      <c r="N581" s="4">
        <v>-6.8999999999999999E-3</v>
      </c>
      <c r="O581" s="4">
        <v>2.0000000000000001E-4</v>
      </c>
      <c r="P581" s="4">
        <v>129.51</v>
      </c>
      <c r="Q581" s="4">
        <v>0.18</v>
      </c>
      <c r="R581" s="4">
        <f t="shared" si="11"/>
        <v>0.26648148148148149</v>
      </c>
      <c r="S581" s="22">
        <f t="shared" si="12"/>
        <v>3.7037037037037041E-4</v>
      </c>
    </row>
    <row r="582" spans="1:19" ht="16">
      <c r="A582" s="28" t="s">
        <v>388</v>
      </c>
      <c r="B582" s="84">
        <v>122222122112</v>
      </c>
      <c r="C582" s="84"/>
      <c r="D582" s="85">
        <v>0.75</v>
      </c>
      <c r="E582" s="82">
        <v>12</v>
      </c>
      <c r="F582" s="82">
        <v>8</v>
      </c>
      <c r="G582" s="82">
        <v>18</v>
      </c>
      <c r="H582" s="30">
        <v>5.8154000000000003</v>
      </c>
      <c r="I582" s="4">
        <v>6.9999999999999999E-4</v>
      </c>
      <c r="J582" s="29">
        <v>-34.2682</v>
      </c>
      <c r="K582" s="4">
        <v>5.9999999999999995E-4</v>
      </c>
      <c r="L582" s="4">
        <v>0.105</v>
      </c>
      <c r="M582" s="4">
        <v>7.0000000000000001E-3</v>
      </c>
      <c r="N582" s="4">
        <v>-9.2999999999999992E-3</v>
      </c>
      <c r="O582" s="4">
        <v>2.0000000000000001E-4</v>
      </c>
      <c r="P582" s="4">
        <v>122.7</v>
      </c>
      <c r="Q582" s="4">
        <v>0.14000000000000001</v>
      </c>
      <c r="R582" s="29">
        <f t="shared" si="11"/>
        <v>0.25246913580246916</v>
      </c>
      <c r="S582" s="22">
        <f t="shared" si="12"/>
        <v>2.8806584362139919E-4</v>
      </c>
    </row>
    <row r="583" spans="1:19" ht="16">
      <c r="A583" s="19" t="s">
        <v>389</v>
      </c>
      <c r="B583" s="80">
        <v>121221222221</v>
      </c>
      <c r="C583" s="80"/>
      <c r="D583" s="20">
        <v>0.25</v>
      </c>
      <c r="E583" s="82">
        <v>12</v>
      </c>
      <c r="F583" s="82">
        <v>8</v>
      </c>
      <c r="G583" s="82">
        <v>18</v>
      </c>
      <c r="H583" s="21">
        <v>6.2546999999999997</v>
      </c>
      <c r="I583" s="4">
        <v>1E-3</v>
      </c>
      <c r="J583" s="20">
        <v>-35.626100000000001</v>
      </c>
      <c r="K583" s="4">
        <v>8.0000000000000004E-4</v>
      </c>
      <c r="L583" s="4">
        <v>4.1000000000000002E-2</v>
      </c>
      <c r="M583" s="4">
        <v>0.01</v>
      </c>
      <c r="N583" s="4">
        <v>-6.1999999999999998E-3</v>
      </c>
      <c r="O583" s="4">
        <v>2.0000000000000001E-4</v>
      </c>
      <c r="P583" s="4">
        <v>132.33000000000001</v>
      </c>
      <c r="Q583" s="4">
        <v>0.16</v>
      </c>
      <c r="R583" s="20">
        <f t="shared" si="11"/>
        <v>0.27228395061728394</v>
      </c>
      <c r="S583" s="22">
        <f t="shared" si="12"/>
        <v>3.2921810699588475E-4</v>
      </c>
    </row>
    <row r="584" spans="1:19" ht="16">
      <c r="A584" s="23" t="s">
        <v>389</v>
      </c>
      <c r="B584" s="82">
        <v>121221222221</v>
      </c>
      <c r="C584" s="82"/>
      <c r="D584" s="83">
        <v>0.5</v>
      </c>
      <c r="E584" s="82">
        <v>12</v>
      </c>
      <c r="F584" s="82">
        <v>8</v>
      </c>
      <c r="G584" s="82">
        <v>18</v>
      </c>
      <c r="H584" s="24">
        <v>5.9943</v>
      </c>
      <c r="I584" s="4">
        <v>4.0000000000000002E-4</v>
      </c>
      <c r="J584" s="4">
        <v>-34.810699999999997</v>
      </c>
      <c r="K584" s="4">
        <v>2.5000000000000001E-3</v>
      </c>
      <c r="L584" s="4">
        <v>7.8E-2</v>
      </c>
      <c r="M584" s="4">
        <v>8.9999999999999993E-3</v>
      </c>
      <c r="N584" s="4">
        <v>-7.4999999999999997E-3</v>
      </c>
      <c r="O584" s="4">
        <v>4.0000000000000002E-4</v>
      </c>
      <c r="P584" s="4">
        <v>128.93</v>
      </c>
      <c r="Q584" s="4">
        <v>0.39</v>
      </c>
      <c r="R584" s="4">
        <f t="shared" si="11"/>
        <v>0.26528806584362141</v>
      </c>
      <c r="S584" s="22">
        <f t="shared" si="12"/>
        <v>8.0246913580246909E-4</v>
      </c>
    </row>
    <row r="585" spans="1:19" ht="16">
      <c r="A585" s="28" t="s">
        <v>389</v>
      </c>
      <c r="B585" s="84">
        <v>121221222221</v>
      </c>
      <c r="C585" s="84"/>
      <c r="D585" s="85">
        <v>0.75</v>
      </c>
      <c r="E585" s="82">
        <v>12</v>
      </c>
      <c r="F585" s="82">
        <v>8</v>
      </c>
      <c r="G585" s="82">
        <v>18</v>
      </c>
      <c r="H585" s="30">
        <v>5.7081999999999997</v>
      </c>
      <c r="I585" s="4">
        <v>8.9999999999999998E-4</v>
      </c>
      <c r="J585" s="29">
        <v>-34.272300000000001</v>
      </c>
      <c r="K585" s="4">
        <v>1.5E-3</v>
      </c>
      <c r="L585" s="4">
        <v>0.14399999999999999</v>
      </c>
      <c r="M585" s="4">
        <v>1.2999999999999999E-2</v>
      </c>
      <c r="N585" s="4">
        <v>-1.04E-2</v>
      </c>
      <c r="O585" s="4">
        <v>4.0000000000000002E-4</v>
      </c>
      <c r="P585" s="4">
        <v>121.01</v>
      </c>
      <c r="Q585" s="4">
        <v>0.39</v>
      </c>
      <c r="R585" s="29">
        <f t="shared" si="11"/>
        <v>0.24899176954732513</v>
      </c>
      <c r="S585" s="22">
        <f t="shared" si="12"/>
        <v>8.0246913580246909E-4</v>
      </c>
    </row>
    <row r="586" spans="1:19" ht="16">
      <c r="A586" s="19" t="s">
        <v>390</v>
      </c>
      <c r="B586" s="80">
        <v>121222222121</v>
      </c>
      <c r="C586" s="80"/>
      <c r="D586" s="20">
        <v>0.25</v>
      </c>
      <c r="E586" s="82">
        <v>12</v>
      </c>
      <c r="F586" s="82">
        <v>8</v>
      </c>
      <c r="G586" s="82">
        <v>18</v>
      </c>
      <c r="H586" s="21">
        <v>6.2356999999999996</v>
      </c>
      <c r="I586" s="4">
        <v>8.0000000000000004E-4</v>
      </c>
      <c r="J586" s="20">
        <v>-35.714100000000002</v>
      </c>
      <c r="K586" s="4">
        <v>1.1000000000000001E-3</v>
      </c>
      <c r="L586" s="4">
        <v>4.9000000000000002E-2</v>
      </c>
      <c r="M586" s="4">
        <v>1.4999999999999999E-2</v>
      </c>
      <c r="N586" s="4">
        <v>-6.1000000000000004E-3</v>
      </c>
      <c r="O586" s="4">
        <v>1E-4</v>
      </c>
      <c r="P586" s="4">
        <v>132.44999999999999</v>
      </c>
      <c r="Q586" s="4">
        <v>0.13</v>
      </c>
      <c r="R586" s="20">
        <f t="shared" si="11"/>
        <v>0.27253086419753086</v>
      </c>
      <c r="S586" s="22">
        <f t="shared" si="12"/>
        <v>2.6748971193415636E-4</v>
      </c>
    </row>
    <row r="587" spans="1:19" ht="16">
      <c r="A587" s="23" t="s">
        <v>390</v>
      </c>
      <c r="B587" s="82">
        <v>121222222121</v>
      </c>
      <c r="C587" s="82"/>
      <c r="D587" s="83">
        <v>0.5</v>
      </c>
      <c r="E587" s="82">
        <v>12</v>
      </c>
      <c r="F587" s="82">
        <v>8</v>
      </c>
      <c r="G587" s="82">
        <v>18</v>
      </c>
      <c r="H587" s="24">
        <v>5.9494999999999996</v>
      </c>
      <c r="I587" s="4">
        <v>1E-3</v>
      </c>
      <c r="J587" s="4">
        <v>-35.034700000000001</v>
      </c>
      <c r="K587" s="4">
        <v>2.9999999999999997E-4</v>
      </c>
      <c r="L587" s="4">
        <v>9.8000000000000004E-2</v>
      </c>
      <c r="M587" s="4">
        <v>4.0000000000000001E-3</v>
      </c>
      <c r="N587" s="4">
        <v>-7.7000000000000002E-3</v>
      </c>
      <c r="O587" s="4">
        <v>2.9999999999999997E-4</v>
      </c>
      <c r="P587" s="4">
        <v>128.34</v>
      </c>
      <c r="Q587" s="4">
        <v>0.25</v>
      </c>
      <c r="R587" s="4">
        <f t="shared" si="11"/>
        <v>0.26407407407407407</v>
      </c>
      <c r="S587" s="22">
        <f t="shared" si="12"/>
        <v>5.1440329218107E-4</v>
      </c>
    </row>
    <row r="588" spans="1:19" ht="16">
      <c r="A588" s="28" t="s">
        <v>390</v>
      </c>
      <c r="B588" s="84">
        <v>121222222121</v>
      </c>
      <c r="C588" s="84"/>
      <c r="D588" s="85">
        <v>0.75</v>
      </c>
      <c r="E588" s="82">
        <v>12</v>
      </c>
      <c r="F588" s="82">
        <v>8</v>
      </c>
      <c r="G588" s="82">
        <v>18</v>
      </c>
      <c r="H588" s="32">
        <v>5.6201999999999996</v>
      </c>
      <c r="I588" s="4">
        <v>6.9999999999999999E-4</v>
      </c>
      <c r="J588" s="29">
        <v>-34.7271</v>
      </c>
      <c r="K588" s="4">
        <v>1E-3</v>
      </c>
      <c r="L588" s="4">
        <v>0.19700000000000001</v>
      </c>
      <c r="M588" s="4">
        <v>3.0000000000000001E-3</v>
      </c>
      <c r="N588" s="4">
        <v>-1.1599999999999999E-2</v>
      </c>
      <c r="O588" s="4">
        <v>2.0000000000000001E-4</v>
      </c>
      <c r="P588" s="4">
        <v>117.78</v>
      </c>
      <c r="Q588" s="4">
        <v>0.35</v>
      </c>
      <c r="R588" s="29">
        <f t="shared" si="11"/>
        <v>0.24234567901234569</v>
      </c>
      <c r="S588" s="22">
        <f t="shared" si="12"/>
        <v>7.2016460905349787E-4</v>
      </c>
    </row>
    <row r="589" spans="1:19" ht="16">
      <c r="A589" s="19" t="s">
        <v>391</v>
      </c>
      <c r="B589" s="80">
        <v>112222221122</v>
      </c>
      <c r="C589" s="80"/>
      <c r="D589" s="20">
        <v>0.25</v>
      </c>
      <c r="E589" s="82">
        <v>12</v>
      </c>
      <c r="F589" s="82">
        <v>8</v>
      </c>
      <c r="G589" s="82">
        <v>18</v>
      </c>
      <c r="H589" s="21">
        <v>6.2748999999999997</v>
      </c>
      <c r="I589" s="4">
        <v>8.9999999999999998E-4</v>
      </c>
      <c r="J589" s="20">
        <v>-35.591900000000003</v>
      </c>
      <c r="K589" s="4">
        <v>4.0000000000000002E-4</v>
      </c>
      <c r="L589" s="4">
        <v>0.04</v>
      </c>
      <c r="M589" s="4">
        <v>4.0000000000000001E-3</v>
      </c>
      <c r="N589" s="4">
        <v>-6.3E-3</v>
      </c>
      <c r="O589" s="4">
        <v>2.0000000000000001E-4</v>
      </c>
      <c r="P589" s="4">
        <v>131.97</v>
      </c>
      <c r="Q589" s="4">
        <v>0.16</v>
      </c>
      <c r="R589" s="20">
        <f t="shared" si="11"/>
        <v>0.27154320987654318</v>
      </c>
      <c r="S589" s="22">
        <f t="shared" si="12"/>
        <v>3.2921810699588475E-4</v>
      </c>
    </row>
    <row r="590" spans="1:19" ht="16">
      <c r="A590" s="23" t="s">
        <v>391</v>
      </c>
      <c r="B590" s="82">
        <v>112222221122</v>
      </c>
      <c r="C590" s="82"/>
      <c r="D590" s="83">
        <v>0.5</v>
      </c>
      <c r="E590" s="82">
        <v>12</v>
      </c>
      <c r="F590" s="82">
        <v>8</v>
      </c>
      <c r="G590" s="82">
        <v>18</v>
      </c>
      <c r="H590" s="24">
        <v>6.0349000000000004</v>
      </c>
      <c r="I590" s="4">
        <v>8.0000000000000004E-4</v>
      </c>
      <c r="J590" s="4">
        <v>-34.817399999999999</v>
      </c>
      <c r="K590" s="4">
        <v>2.9999999999999997E-4</v>
      </c>
      <c r="L590" s="4">
        <v>7.0000000000000007E-2</v>
      </c>
      <c r="M590" s="4">
        <v>1.0999999999999999E-2</v>
      </c>
      <c r="N590" s="4">
        <v>-7.7999999999999996E-3</v>
      </c>
      <c r="O590" s="4">
        <v>1E-4</v>
      </c>
      <c r="P590" s="4">
        <v>127.49</v>
      </c>
      <c r="Q590" s="4">
        <v>0.11</v>
      </c>
      <c r="R590" s="4">
        <f t="shared" si="11"/>
        <v>0.26232510288065841</v>
      </c>
      <c r="S590" s="22">
        <f t="shared" si="12"/>
        <v>2.2633744855967078E-4</v>
      </c>
    </row>
    <row r="591" spans="1:19" ht="16">
      <c r="A591" s="28" t="s">
        <v>391</v>
      </c>
      <c r="B591" s="84">
        <v>112222221122</v>
      </c>
      <c r="C591" s="84"/>
      <c r="D591" s="85">
        <v>0.75</v>
      </c>
      <c r="E591" s="82">
        <v>12</v>
      </c>
      <c r="F591" s="82">
        <v>8</v>
      </c>
      <c r="G591" s="82">
        <v>18</v>
      </c>
      <c r="H591" s="30">
        <v>5.7735000000000003</v>
      </c>
      <c r="I591" s="4">
        <v>1E-3</v>
      </c>
      <c r="J591" s="29">
        <v>-34.438400000000001</v>
      </c>
      <c r="K591" s="4">
        <v>8.9999999999999998E-4</v>
      </c>
      <c r="L591" s="4">
        <v>0.14499999999999999</v>
      </c>
      <c r="M591" s="4">
        <v>7.0000000000000001E-3</v>
      </c>
      <c r="N591" s="4">
        <v>-1.11E-2</v>
      </c>
      <c r="O591" s="4">
        <v>2.0000000000000001E-4</v>
      </c>
      <c r="P591" s="4">
        <v>116.75</v>
      </c>
      <c r="Q591" s="4">
        <v>0.38</v>
      </c>
      <c r="R591" s="29">
        <f t="shared" si="11"/>
        <v>0.24022633744855967</v>
      </c>
      <c r="S591" s="22">
        <f t="shared" si="12"/>
        <v>7.8189300411522647E-4</v>
      </c>
    </row>
    <row r="592" spans="1:19" ht="16">
      <c r="A592" s="19" t="s">
        <v>392</v>
      </c>
      <c r="B592" s="80">
        <v>111122222222</v>
      </c>
      <c r="C592" s="80" t="s">
        <v>17</v>
      </c>
      <c r="D592" s="20">
        <v>0.25</v>
      </c>
      <c r="E592" s="82">
        <v>12</v>
      </c>
      <c r="F592" s="82">
        <v>8</v>
      </c>
      <c r="G592" s="82">
        <v>18</v>
      </c>
      <c r="H592" s="21">
        <v>6.2571000000000003</v>
      </c>
      <c r="I592" s="4">
        <v>8.9999999999999998E-4</v>
      </c>
      <c r="J592" s="20">
        <v>-35.973300000000002</v>
      </c>
      <c r="K592" s="4">
        <v>1.4E-3</v>
      </c>
      <c r="L592" s="4">
        <v>5.1999999999999998E-2</v>
      </c>
      <c r="M592" s="4">
        <v>8.9999999999999993E-3</v>
      </c>
      <c r="N592" s="4">
        <v>-7.1999999999999998E-3</v>
      </c>
      <c r="O592" s="4">
        <v>2.9999999999999997E-4</v>
      </c>
      <c r="P592" s="4">
        <v>129.16</v>
      </c>
      <c r="Q592" s="4">
        <v>0.2</v>
      </c>
      <c r="R592" s="20">
        <f t="shared" si="11"/>
        <v>0.26576131687242799</v>
      </c>
      <c r="S592" s="22">
        <f t="shared" si="12"/>
        <v>4.1152263374485601E-4</v>
      </c>
    </row>
    <row r="593" spans="1:19" ht="16">
      <c r="A593" s="23" t="s">
        <v>392</v>
      </c>
      <c r="B593" s="82">
        <v>111122222222</v>
      </c>
      <c r="C593" s="82" t="s">
        <v>17</v>
      </c>
      <c r="D593" s="83">
        <v>0.5</v>
      </c>
      <c r="E593" s="82">
        <v>12</v>
      </c>
      <c r="F593" s="82">
        <v>8</v>
      </c>
      <c r="G593" s="82">
        <v>18</v>
      </c>
      <c r="H593" s="24">
        <v>5.9353999999999996</v>
      </c>
      <c r="I593" s="4">
        <v>1E-3</v>
      </c>
      <c r="J593" s="4">
        <v>-36.239199999999997</v>
      </c>
      <c r="K593" s="4">
        <v>1E-3</v>
      </c>
      <c r="L593" s="4">
        <v>0.151</v>
      </c>
      <c r="M593" s="4">
        <v>1.2999999999999999E-2</v>
      </c>
      <c r="N593" s="4">
        <v>-1.4800000000000001E-2</v>
      </c>
      <c r="O593" s="4">
        <v>1E-4</v>
      </c>
      <c r="P593" s="4">
        <v>105.72</v>
      </c>
      <c r="Q593" s="4">
        <v>0.27</v>
      </c>
      <c r="R593" s="4">
        <f>P593*E593/G593^3</f>
        <v>0.21753086419753084</v>
      </c>
      <c r="S593" s="22">
        <f t="shared" si="12"/>
        <v>5.5555555555555556E-4</v>
      </c>
    </row>
    <row r="594" spans="1:19" ht="16">
      <c r="A594" s="19" t="s">
        <v>393</v>
      </c>
      <c r="B594" s="80">
        <v>222112121222</v>
      </c>
      <c r="C594" s="80"/>
      <c r="D594" s="20">
        <v>0.25</v>
      </c>
      <c r="E594" s="82">
        <v>12</v>
      </c>
      <c r="F594" s="82">
        <v>8</v>
      </c>
      <c r="G594" s="82">
        <v>18</v>
      </c>
      <c r="H594" s="21">
        <v>6.3726000000000003</v>
      </c>
      <c r="I594" s="4">
        <v>2.0000000000000001E-4</v>
      </c>
      <c r="J594" s="20">
        <v>-35.647799999999997</v>
      </c>
      <c r="K594" s="4">
        <v>1.5E-3</v>
      </c>
      <c r="L594" s="4">
        <v>2.7E-2</v>
      </c>
      <c r="M594" s="4">
        <v>4.0000000000000001E-3</v>
      </c>
      <c r="N594" s="4">
        <v>-5.7999999999999996E-3</v>
      </c>
      <c r="O594" s="4">
        <v>1E-4</v>
      </c>
      <c r="P594" s="4">
        <v>132.16999999999999</v>
      </c>
      <c r="Q594" s="4">
        <v>7.0000000000000007E-2</v>
      </c>
      <c r="R594" s="20">
        <f t="shared" ref="R594" si="13">P594*E594/G594^3</f>
        <v>0.27195473251028807</v>
      </c>
      <c r="S594" s="22">
        <f t="shared" si="12"/>
        <v>1.440329218106996E-4</v>
      </c>
    </row>
    <row r="595" spans="1:19" ht="16">
      <c r="A595" s="23" t="s">
        <v>393</v>
      </c>
      <c r="B595" s="82">
        <v>222112121222</v>
      </c>
      <c r="C595" s="82"/>
      <c r="D595" s="83">
        <v>0.5</v>
      </c>
      <c r="E595" s="82">
        <v>12</v>
      </c>
      <c r="F595" s="82">
        <v>8</v>
      </c>
      <c r="G595" s="82">
        <v>18</v>
      </c>
      <c r="H595" s="24">
        <v>6.2419000000000002</v>
      </c>
      <c r="I595" s="4">
        <v>5.9999999999999995E-4</v>
      </c>
      <c r="J595" s="4">
        <v>-34.828400000000002</v>
      </c>
      <c r="K595" s="4">
        <v>8.0000000000000004E-4</v>
      </c>
      <c r="L595" s="4">
        <v>2.1000000000000001E-2</v>
      </c>
      <c r="M595" s="4">
        <v>3.0000000000000001E-3</v>
      </c>
      <c r="N595" s="4">
        <v>-6.4000000000000003E-3</v>
      </c>
      <c r="O595" s="4">
        <v>1E-4</v>
      </c>
      <c r="P595" s="4">
        <v>129.37</v>
      </c>
      <c r="Q595" s="4">
        <v>0.19</v>
      </c>
      <c r="R595" s="4">
        <f t="shared" si="11"/>
        <v>0.26619341563786009</v>
      </c>
      <c r="S595" s="22">
        <f t="shared" si="12"/>
        <v>3.9094650205761324E-4</v>
      </c>
    </row>
    <row r="596" spans="1:19" ht="16">
      <c r="A596" s="28" t="s">
        <v>393</v>
      </c>
      <c r="B596" s="84">
        <v>222112121222</v>
      </c>
      <c r="C596" s="84"/>
      <c r="D596" s="85">
        <v>0.75</v>
      </c>
      <c r="E596" s="82">
        <v>12</v>
      </c>
      <c r="F596" s="82">
        <v>8</v>
      </c>
      <c r="G596" s="82">
        <v>18</v>
      </c>
      <c r="H596" s="30">
        <v>6.1116000000000001</v>
      </c>
      <c r="I596" s="4">
        <v>8.0000000000000004E-4</v>
      </c>
      <c r="J596" s="29">
        <v>-34.21</v>
      </c>
      <c r="K596" s="4">
        <v>8.9999999999999998E-4</v>
      </c>
      <c r="L596" s="4">
        <v>1.7999999999999999E-2</v>
      </c>
      <c r="M596" s="4">
        <v>2E-3</v>
      </c>
      <c r="N596" s="4">
        <v>-7.4999999999999997E-3</v>
      </c>
      <c r="O596" s="4">
        <v>1E-4</v>
      </c>
      <c r="P596" s="4">
        <v>124.31</v>
      </c>
      <c r="Q596" s="4">
        <v>0.17</v>
      </c>
      <c r="R596" s="29">
        <f t="shared" si="11"/>
        <v>0.25578189300411525</v>
      </c>
      <c r="S596" s="22">
        <f t="shared" si="12"/>
        <v>3.4979423868312758E-4</v>
      </c>
    </row>
    <row r="597" spans="1:19" ht="16">
      <c r="A597" s="33" t="s">
        <v>393</v>
      </c>
      <c r="B597" s="97">
        <v>222112121222</v>
      </c>
      <c r="C597" s="97"/>
      <c r="D597" s="98">
        <v>1</v>
      </c>
      <c r="E597" s="82">
        <v>12</v>
      </c>
      <c r="F597" s="82">
        <v>8</v>
      </c>
      <c r="G597" s="82">
        <v>18</v>
      </c>
      <c r="H597" s="34">
        <v>5.9904999999999999</v>
      </c>
      <c r="I597" s="4">
        <v>6.9999999999999999E-4</v>
      </c>
      <c r="J597" s="34">
        <v>-33.832500000000003</v>
      </c>
      <c r="K597" s="4">
        <v>2E-3</v>
      </c>
      <c r="L597" s="4">
        <v>0.03</v>
      </c>
      <c r="M597" s="4">
        <v>8.9999999999999993E-3</v>
      </c>
      <c r="N597" s="4">
        <v>-9.1000000000000004E-3</v>
      </c>
      <c r="O597" s="4">
        <v>1E-4</v>
      </c>
      <c r="P597" s="4">
        <v>117.15</v>
      </c>
      <c r="Q597" s="4">
        <v>0.2</v>
      </c>
      <c r="R597" s="34">
        <f t="shared" si="11"/>
        <v>0.24104938271604942</v>
      </c>
      <c r="S597" s="22">
        <f t="shared" si="12"/>
        <v>4.1152263374485601E-4</v>
      </c>
    </row>
    <row r="598" spans="1:19" ht="16">
      <c r="A598" s="19" t="s">
        <v>394</v>
      </c>
      <c r="B598" s="80">
        <v>212212211222</v>
      </c>
      <c r="C598" s="20"/>
      <c r="D598" s="20">
        <v>0.25</v>
      </c>
      <c r="E598" s="82">
        <v>12</v>
      </c>
      <c r="F598" s="82">
        <v>8</v>
      </c>
      <c r="G598" s="82">
        <v>18</v>
      </c>
      <c r="H598" s="21">
        <v>6.3491</v>
      </c>
      <c r="I598" s="4">
        <v>5.0000000000000001E-4</v>
      </c>
      <c r="J598" s="20">
        <v>-35.617100000000001</v>
      </c>
      <c r="K598" s="4">
        <v>1.2999999999999999E-3</v>
      </c>
      <c r="L598" s="4">
        <v>3.1E-2</v>
      </c>
      <c r="M598" s="4">
        <v>2E-3</v>
      </c>
      <c r="N598" s="4">
        <v>-5.7999999999999996E-3</v>
      </c>
      <c r="O598" s="4">
        <v>1E-4</v>
      </c>
      <c r="P598" s="4">
        <v>132.57</v>
      </c>
      <c r="Q598" s="4">
        <v>0.1</v>
      </c>
      <c r="R598" s="20">
        <f t="shared" si="11"/>
        <v>0.27277777777777779</v>
      </c>
      <c r="S598" s="22">
        <f t="shared" si="12"/>
        <v>2.0576131687242801E-4</v>
      </c>
    </row>
    <row r="599" spans="1:19" ht="16">
      <c r="A599" s="23" t="s">
        <v>394</v>
      </c>
      <c r="B599" s="82">
        <v>212212211222</v>
      </c>
      <c r="C599" s="82"/>
      <c r="D599" s="83">
        <v>0.5</v>
      </c>
      <c r="E599" s="82">
        <v>12</v>
      </c>
      <c r="F599" s="82">
        <v>8</v>
      </c>
      <c r="G599" s="82">
        <v>18</v>
      </c>
      <c r="H599" s="24">
        <v>6.1961000000000004</v>
      </c>
      <c r="I599" s="4">
        <v>5.9999999999999995E-4</v>
      </c>
      <c r="J599" s="4">
        <v>-34.728700000000003</v>
      </c>
      <c r="K599" s="4">
        <v>1.8E-3</v>
      </c>
      <c r="L599" s="4">
        <v>2.4E-2</v>
      </c>
      <c r="M599" s="4">
        <v>7.0000000000000001E-3</v>
      </c>
      <c r="N599" s="4">
        <v>-6.3E-3</v>
      </c>
      <c r="O599" s="4">
        <v>2.0000000000000001E-4</v>
      </c>
      <c r="P599" s="4">
        <v>130.58000000000001</v>
      </c>
      <c r="Q599" s="4">
        <v>0.26</v>
      </c>
      <c r="R599" s="4">
        <f t="shared" si="11"/>
        <v>0.26868312757201646</v>
      </c>
      <c r="S599" s="22">
        <f t="shared" si="12"/>
        <v>5.3497942386831272E-4</v>
      </c>
    </row>
    <row r="600" spans="1:19" ht="16">
      <c r="A600" s="19" t="s">
        <v>395</v>
      </c>
      <c r="B600" s="80">
        <v>212121221222</v>
      </c>
      <c r="C600" s="80"/>
      <c r="D600" s="20">
        <v>0.25</v>
      </c>
      <c r="E600" s="82">
        <v>12</v>
      </c>
      <c r="F600" s="82">
        <v>8</v>
      </c>
      <c r="G600" s="82">
        <v>18</v>
      </c>
      <c r="H600" s="21">
        <v>6.3456999999999999</v>
      </c>
      <c r="I600" s="4">
        <v>6.9999999999999999E-4</v>
      </c>
      <c r="J600" s="20">
        <v>-35.7684</v>
      </c>
      <c r="K600" s="4">
        <v>2E-3</v>
      </c>
      <c r="L600" s="4">
        <v>2.5999999999999999E-2</v>
      </c>
      <c r="M600" s="4">
        <v>8.9999999999999993E-3</v>
      </c>
      <c r="N600" s="4">
        <v>-5.7000000000000002E-3</v>
      </c>
      <c r="O600" s="4">
        <v>2.0000000000000001E-4</v>
      </c>
      <c r="P600" s="4">
        <v>132.51</v>
      </c>
      <c r="Q600" s="4">
        <v>0.26</v>
      </c>
      <c r="R600" s="20">
        <f t="shared" si="11"/>
        <v>0.2726543209876543</v>
      </c>
      <c r="S600" s="22">
        <f t="shared" si="12"/>
        <v>5.3497942386831272E-4</v>
      </c>
    </row>
    <row r="601" spans="1:19" ht="16">
      <c r="A601" s="23" t="s">
        <v>395</v>
      </c>
      <c r="B601" s="82">
        <v>212121221222</v>
      </c>
      <c r="C601" s="82"/>
      <c r="D601" s="83">
        <v>0.5</v>
      </c>
      <c r="E601" s="82">
        <v>12</v>
      </c>
      <c r="F601" s="82">
        <v>8</v>
      </c>
      <c r="G601" s="82">
        <v>18</v>
      </c>
      <c r="H601" s="24">
        <v>6.1847000000000003</v>
      </c>
      <c r="I601" s="4">
        <v>5.9999999999999995E-4</v>
      </c>
      <c r="J601" s="4">
        <v>-35.030299999999997</v>
      </c>
      <c r="K601" s="4">
        <v>1.1000000000000001E-3</v>
      </c>
      <c r="L601" s="4">
        <v>2.9000000000000001E-2</v>
      </c>
      <c r="M601" s="4">
        <v>4.0000000000000001E-3</v>
      </c>
      <c r="N601" s="4">
        <v>-6.4999999999999997E-3</v>
      </c>
      <c r="O601" s="4">
        <v>2.0000000000000001E-4</v>
      </c>
      <c r="P601" s="4">
        <v>130.41</v>
      </c>
      <c r="Q601" s="4">
        <v>0.15</v>
      </c>
      <c r="R601" s="4">
        <f t="shared" si="11"/>
        <v>0.26833333333333337</v>
      </c>
      <c r="S601" s="22">
        <f t="shared" si="12"/>
        <v>3.0864197530864197E-4</v>
      </c>
    </row>
    <row r="602" spans="1:19" ht="16">
      <c r="A602" s="19" t="s">
        <v>396</v>
      </c>
      <c r="B602" s="80">
        <v>212212122212</v>
      </c>
      <c r="C602" s="80"/>
      <c r="D602" s="20">
        <v>0.25</v>
      </c>
      <c r="E602" s="82">
        <v>12</v>
      </c>
      <c r="F602" s="82">
        <v>8</v>
      </c>
      <c r="G602" s="82">
        <v>18</v>
      </c>
      <c r="H602" s="21">
        <v>6.3299000000000003</v>
      </c>
      <c r="I602" s="4">
        <v>8.9999999999999998E-4</v>
      </c>
      <c r="J602" s="20">
        <v>-35.752099999999999</v>
      </c>
      <c r="K602" s="4">
        <v>1.1999999999999999E-3</v>
      </c>
      <c r="L602" s="4">
        <v>2.5000000000000001E-2</v>
      </c>
      <c r="M602" s="4">
        <v>9.1999999999999998E-2</v>
      </c>
      <c r="N602" s="4">
        <v>-5.7999999999999996E-3</v>
      </c>
      <c r="O602" s="4">
        <v>2.2000000000000001E-3</v>
      </c>
      <c r="P602" s="4">
        <v>132.85</v>
      </c>
      <c r="Q602" s="4">
        <v>0.35</v>
      </c>
      <c r="R602" s="20">
        <f t="shared" si="11"/>
        <v>0.27335390946502053</v>
      </c>
      <c r="S602" s="22">
        <f t="shared" si="12"/>
        <v>7.2016460905349787E-4</v>
      </c>
    </row>
    <row r="603" spans="1:19" ht="16">
      <c r="A603" s="23" t="s">
        <v>396</v>
      </c>
      <c r="B603" s="82">
        <v>212212122212</v>
      </c>
      <c r="C603" s="82"/>
      <c r="D603" s="83">
        <v>0.5</v>
      </c>
      <c r="E603" s="82">
        <v>12</v>
      </c>
      <c r="F603" s="82">
        <v>8</v>
      </c>
      <c r="G603" s="82">
        <v>18</v>
      </c>
      <c r="H603" s="24">
        <v>6.1582999999999997</v>
      </c>
      <c r="I603" s="4">
        <v>6.9999999999999999E-4</v>
      </c>
      <c r="J603" s="4">
        <v>-34.969799999999999</v>
      </c>
      <c r="K603" s="4">
        <v>8.0000000000000004E-4</v>
      </c>
      <c r="L603" s="4">
        <v>2.8000000000000001E-2</v>
      </c>
      <c r="M603" s="4">
        <v>2E-3</v>
      </c>
      <c r="N603" s="4">
        <v>-6.1999999999999998E-3</v>
      </c>
      <c r="O603" s="4">
        <v>2.0000000000000001E-4</v>
      </c>
      <c r="P603" s="4">
        <v>131.44999999999999</v>
      </c>
      <c r="Q603" s="4">
        <v>0.03</v>
      </c>
      <c r="R603" s="4">
        <f t="shared" si="11"/>
        <v>0.27047325102880654</v>
      </c>
      <c r="S603" s="22">
        <f t="shared" si="12"/>
        <v>6.1728395061728397E-5</v>
      </c>
    </row>
    <row r="604" spans="1:19" ht="16">
      <c r="A604" s="19" t="s">
        <v>397</v>
      </c>
      <c r="B604" s="80">
        <v>221112221222</v>
      </c>
      <c r="C604" s="80"/>
      <c r="D604" s="20">
        <v>0.25</v>
      </c>
      <c r="E604" s="82">
        <v>12</v>
      </c>
      <c r="F604" s="82">
        <v>8</v>
      </c>
      <c r="G604" s="82">
        <v>18</v>
      </c>
      <c r="H604" s="21">
        <v>6.3555000000000001</v>
      </c>
      <c r="I604" s="4">
        <v>8.9999999999999998E-4</v>
      </c>
      <c r="J604" s="20">
        <v>-35.591200000000001</v>
      </c>
      <c r="K604" s="4">
        <v>1E-3</v>
      </c>
      <c r="L604" s="4">
        <v>2.7E-2</v>
      </c>
      <c r="M604" s="4">
        <v>4.0000000000000001E-3</v>
      </c>
      <c r="N604" s="4">
        <v>-5.8999999999999999E-3</v>
      </c>
      <c r="O604" s="4">
        <v>2.0000000000000001E-4</v>
      </c>
      <c r="P604" s="4">
        <v>132.06</v>
      </c>
      <c r="Q604" s="4">
        <v>0.18</v>
      </c>
      <c r="R604" s="20">
        <f t="shared" si="11"/>
        <v>0.27172839506172841</v>
      </c>
      <c r="S604" s="22">
        <f t="shared" si="12"/>
        <v>3.7037037037037041E-4</v>
      </c>
    </row>
    <row r="605" spans="1:19" ht="16">
      <c r="A605" s="23" t="s">
        <v>397</v>
      </c>
      <c r="B605" s="82">
        <v>221112221222</v>
      </c>
      <c r="C605" s="82"/>
      <c r="D605" s="83">
        <v>0.5</v>
      </c>
      <c r="E605" s="82">
        <v>12</v>
      </c>
      <c r="F605" s="82">
        <v>8</v>
      </c>
      <c r="G605" s="82">
        <v>18</v>
      </c>
      <c r="H605" s="24">
        <v>6.2057000000000002</v>
      </c>
      <c r="I605" s="4">
        <v>8.0000000000000004E-4</v>
      </c>
      <c r="J605" s="4">
        <v>-34.756700000000002</v>
      </c>
      <c r="K605" s="4">
        <v>1.5E-3</v>
      </c>
      <c r="L605" s="4">
        <v>2.8000000000000001E-2</v>
      </c>
      <c r="M605" s="4">
        <v>6.0000000000000001E-3</v>
      </c>
      <c r="N605" s="4">
        <v>-7.0000000000000001E-3</v>
      </c>
      <c r="O605" s="4">
        <v>2.9999999999999997E-4</v>
      </c>
      <c r="P605" s="4">
        <v>128.26</v>
      </c>
      <c r="Q605" s="4">
        <v>0.26</v>
      </c>
      <c r="R605" s="4">
        <f t="shared" si="11"/>
        <v>0.26390946502057611</v>
      </c>
      <c r="S605" s="22">
        <f t="shared" si="12"/>
        <v>5.3497942386831272E-4</v>
      </c>
    </row>
    <row r="606" spans="1:19" ht="16">
      <c r="A606" s="19" t="s">
        <v>398</v>
      </c>
      <c r="B606" s="80">
        <v>112222121222</v>
      </c>
      <c r="C606" s="80"/>
      <c r="D606" s="20">
        <v>0.25</v>
      </c>
      <c r="E606" s="82">
        <v>12</v>
      </c>
      <c r="F606" s="82">
        <v>8</v>
      </c>
      <c r="G606" s="82">
        <v>18</v>
      </c>
      <c r="H606" s="21">
        <v>6.2919999999999998</v>
      </c>
      <c r="I606" s="4">
        <v>6.9999999999999999E-4</v>
      </c>
      <c r="J606" s="20">
        <v>-35.635899999999999</v>
      </c>
      <c r="K606" s="4">
        <v>8.9999999999999998E-4</v>
      </c>
      <c r="L606" s="4">
        <v>3.5000000000000003E-2</v>
      </c>
      <c r="M606" s="4">
        <v>8.0000000000000002E-3</v>
      </c>
      <c r="N606" s="4">
        <v>-6.0000000000000001E-3</v>
      </c>
      <c r="O606" s="4">
        <v>1E-4</v>
      </c>
      <c r="P606" s="4">
        <v>132.30000000000001</v>
      </c>
      <c r="Q606" s="4">
        <v>0.12</v>
      </c>
      <c r="R606" s="20">
        <f t="shared" si="11"/>
        <v>0.27222222222222225</v>
      </c>
      <c r="S606" s="22">
        <f t="shared" si="12"/>
        <v>2.4691358024691359E-4</v>
      </c>
    </row>
    <row r="607" spans="1:19" ht="16">
      <c r="A607" s="23" t="s">
        <v>398</v>
      </c>
      <c r="B607" s="82">
        <v>112222121222</v>
      </c>
      <c r="C607" s="82"/>
      <c r="D607" s="83">
        <v>0.5</v>
      </c>
      <c r="E607" s="82">
        <v>12</v>
      </c>
      <c r="F607" s="82">
        <v>8</v>
      </c>
      <c r="G607" s="82">
        <v>18</v>
      </c>
      <c r="H607" s="24">
        <v>6.0711000000000004</v>
      </c>
      <c r="I607" s="4">
        <v>8.0000000000000004E-4</v>
      </c>
      <c r="J607" s="4">
        <v>-34.8521</v>
      </c>
      <c r="K607" s="4">
        <v>1.8E-3</v>
      </c>
      <c r="L607" s="4">
        <v>6.4000000000000001E-2</v>
      </c>
      <c r="M607" s="4">
        <v>1.7999999999999999E-2</v>
      </c>
      <c r="N607" s="4">
        <v>-7.4999999999999997E-3</v>
      </c>
      <c r="O607" s="4">
        <v>2.9999999999999997E-4</v>
      </c>
      <c r="P607" s="4">
        <v>128.08000000000001</v>
      </c>
      <c r="Q607" s="4">
        <v>0.35</v>
      </c>
      <c r="R607" s="4">
        <f t="shared" si="11"/>
        <v>0.26353909465020575</v>
      </c>
      <c r="S607" s="22">
        <f t="shared" si="12"/>
        <v>7.2016460905349787E-4</v>
      </c>
    </row>
    <row r="608" spans="1:19" ht="16">
      <c r="A608" s="19" t="s">
        <v>399</v>
      </c>
      <c r="B608" s="80">
        <v>121212212222</v>
      </c>
      <c r="C608" s="80"/>
      <c r="D608" s="20">
        <v>0.25</v>
      </c>
      <c r="E608" s="82">
        <v>12</v>
      </c>
      <c r="F608" s="82">
        <v>8</v>
      </c>
      <c r="G608" s="82">
        <v>18</v>
      </c>
      <c r="H608" s="21">
        <v>6.3085000000000004</v>
      </c>
      <c r="I608" s="4">
        <v>8.9999999999999998E-4</v>
      </c>
      <c r="J608" s="20">
        <v>-35.731400000000001</v>
      </c>
      <c r="K608" s="4">
        <v>8.9999999999999998E-4</v>
      </c>
      <c r="L608" s="4">
        <v>3.6999999999999998E-2</v>
      </c>
      <c r="M608" s="4">
        <v>5.0000000000000001E-3</v>
      </c>
      <c r="N608" s="4">
        <v>-6.1000000000000004E-3</v>
      </c>
      <c r="O608" s="4">
        <v>2.0000000000000001E-4</v>
      </c>
      <c r="P608" s="4">
        <v>132.12</v>
      </c>
      <c r="Q608" s="4">
        <v>0.15</v>
      </c>
      <c r="R608" s="20">
        <f t="shared" si="11"/>
        <v>0.27185185185185184</v>
      </c>
      <c r="S608" s="22">
        <f t="shared" si="12"/>
        <v>3.0864197530864197E-4</v>
      </c>
    </row>
    <row r="609" spans="1:19" ht="16">
      <c r="A609" s="23" t="s">
        <v>399</v>
      </c>
      <c r="B609" s="82">
        <v>121212212222</v>
      </c>
      <c r="C609" s="82"/>
      <c r="D609" s="83">
        <v>0.5</v>
      </c>
      <c r="E609" s="82">
        <v>12</v>
      </c>
      <c r="F609" s="82">
        <v>8</v>
      </c>
      <c r="G609" s="82">
        <v>18</v>
      </c>
      <c r="H609" s="24">
        <v>6.0991999999999997</v>
      </c>
      <c r="I609" s="4">
        <v>1E-3</v>
      </c>
      <c r="J609" s="4">
        <v>-35.028399999999998</v>
      </c>
      <c r="K609" s="4">
        <v>1.4E-3</v>
      </c>
      <c r="L609" s="4">
        <v>5.1999999999999998E-2</v>
      </c>
      <c r="M609" s="4">
        <v>3.0000000000000001E-3</v>
      </c>
      <c r="N609" s="4">
        <v>-7.4000000000000003E-3</v>
      </c>
      <c r="O609" s="4">
        <v>1E-4</v>
      </c>
      <c r="P609" s="4">
        <v>128.22</v>
      </c>
      <c r="Q609" s="4">
        <v>0.1</v>
      </c>
      <c r="R609" s="4">
        <f t="shared" si="11"/>
        <v>0.26382716049382715</v>
      </c>
      <c r="S609" s="22">
        <f t="shared" si="12"/>
        <v>2.0576131687242801E-4</v>
      </c>
    </row>
    <row r="610" spans="1:19" ht="16">
      <c r="A610" s="19" t="s">
        <v>400</v>
      </c>
      <c r="B610" s="80">
        <v>112222122221</v>
      </c>
      <c r="C610" s="80"/>
      <c r="D610" s="20">
        <v>0.25</v>
      </c>
      <c r="E610" s="82">
        <v>12</v>
      </c>
      <c r="F610" s="82">
        <v>8</v>
      </c>
      <c r="G610" s="82">
        <v>18</v>
      </c>
      <c r="H610" s="21">
        <v>6.2378</v>
      </c>
      <c r="I610" s="4">
        <v>8.9999999999999998E-4</v>
      </c>
      <c r="J610" s="20">
        <v>-35.567900000000002</v>
      </c>
      <c r="K610" s="4">
        <v>6.9999999999999999E-4</v>
      </c>
      <c r="L610" s="4">
        <v>4.5999999999999999E-2</v>
      </c>
      <c r="M610" s="4">
        <v>3.0000000000000001E-3</v>
      </c>
      <c r="N610" s="4">
        <v>-6.1999999999999998E-3</v>
      </c>
      <c r="O610" s="4">
        <v>1E-4</v>
      </c>
      <c r="P610" s="4">
        <v>132.32</v>
      </c>
      <c r="Q610" s="4">
        <v>0.11</v>
      </c>
      <c r="R610" s="20">
        <f t="shared" si="11"/>
        <v>0.27226337448559668</v>
      </c>
      <c r="S610" s="22">
        <f t="shared" si="12"/>
        <v>2.2633744855967078E-4</v>
      </c>
    </row>
    <row r="611" spans="1:19" ht="16">
      <c r="A611" s="23" t="s">
        <v>400</v>
      </c>
      <c r="B611" s="82">
        <v>112222122221</v>
      </c>
      <c r="C611" s="82"/>
      <c r="D611" s="83">
        <v>0.5</v>
      </c>
      <c r="E611" s="82">
        <v>12</v>
      </c>
      <c r="F611" s="82">
        <v>8</v>
      </c>
      <c r="G611" s="82">
        <v>18</v>
      </c>
      <c r="H611" s="24">
        <v>5.9542999999999999</v>
      </c>
      <c r="I611" s="4">
        <v>8.9999999999999998E-4</v>
      </c>
      <c r="J611" s="4">
        <v>-34.758499999999998</v>
      </c>
      <c r="K611" s="4">
        <v>2.3E-3</v>
      </c>
      <c r="L611" s="4">
        <v>9.2999999999999999E-2</v>
      </c>
      <c r="M611" s="4">
        <v>1.2E-2</v>
      </c>
      <c r="N611" s="4">
        <v>-8.0000000000000002E-3</v>
      </c>
      <c r="O611" s="4">
        <v>5.0000000000000001E-4</v>
      </c>
      <c r="P611" s="4">
        <v>127.59</v>
      </c>
      <c r="Q611" s="4">
        <v>0.38</v>
      </c>
      <c r="R611" s="4">
        <f t="shared" si="11"/>
        <v>0.26253086419753086</v>
      </c>
      <c r="S611" s="22">
        <f t="shared" si="12"/>
        <v>7.8189300411522647E-4</v>
      </c>
    </row>
    <row r="612" spans="1:19" ht="16">
      <c r="A612" s="19" t="s">
        <v>401</v>
      </c>
      <c r="B612" s="80">
        <v>212221121222</v>
      </c>
      <c r="C612" s="80"/>
      <c r="D612" s="20">
        <v>0.25</v>
      </c>
      <c r="E612" s="82">
        <v>12</v>
      </c>
      <c r="F612" s="82">
        <v>8</v>
      </c>
      <c r="G612" s="82">
        <v>18</v>
      </c>
      <c r="H612" s="21">
        <v>6.3547000000000002</v>
      </c>
      <c r="I612" s="4">
        <v>8.9999999999999998E-4</v>
      </c>
      <c r="J612" s="20">
        <v>-35.648800000000001</v>
      </c>
      <c r="K612" s="4">
        <v>1.6000000000000001E-3</v>
      </c>
      <c r="L612" s="4">
        <v>2.7E-2</v>
      </c>
      <c r="M612" s="4">
        <v>8.0000000000000002E-3</v>
      </c>
      <c r="N612" s="4">
        <v>-5.8999999999999999E-3</v>
      </c>
      <c r="O612" s="4">
        <v>2.0000000000000001E-4</v>
      </c>
      <c r="P612" s="4">
        <v>132.29</v>
      </c>
      <c r="Q612" s="4">
        <v>0.27</v>
      </c>
      <c r="R612" s="20">
        <f t="shared" si="11"/>
        <v>0.27220164609053499</v>
      </c>
      <c r="S612" s="22">
        <f t="shared" si="12"/>
        <v>5.5555555555555556E-4</v>
      </c>
    </row>
    <row r="613" spans="1:19" ht="16">
      <c r="A613" s="23" t="s">
        <v>401</v>
      </c>
      <c r="B613" s="82">
        <v>212221121222</v>
      </c>
      <c r="C613" s="82"/>
      <c r="D613" s="83">
        <v>0.5</v>
      </c>
      <c r="E613" s="82">
        <v>12</v>
      </c>
      <c r="F613" s="82">
        <v>8</v>
      </c>
      <c r="G613" s="82">
        <v>18</v>
      </c>
      <c r="H613" s="24">
        <v>6.2051999999999996</v>
      </c>
      <c r="I613" s="4">
        <v>8.9999999999999998E-4</v>
      </c>
      <c r="J613" s="4">
        <v>-34.811900000000001</v>
      </c>
      <c r="K613" s="4">
        <v>1E-3</v>
      </c>
      <c r="L613" s="4">
        <v>2.4E-2</v>
      </c>
      <c r="M613" s="4">
        <v>5.0000000000000001E-3</v>
      </c>
      <c r="N613" s="4">
        <v>-6.3E-3</v>
      </c>
      <c r="O613" s="4">
        <v>2.0000000000000001E-4</v>
      </c>
      <c r="P613" s="4">
        <v>130.02000000000001</v>
      </c>
      <c r="Q613" s="4">
        <v>0.16</v>
      </c>
      <c r="R613" s="4">
        <f t="shared" si="11"/>
        <v>0.26753086419753092</v>
      </c>
      <c r="S613" s="22">
        <f t="shared" si="12"/>
        <v>3.2921810699588475E-4</v>
      </c>
    </row>
    <row r="614" spans="1:19" ht="16">
      <c r="A614" s="28" t="s">
        <v>401</v>
      </c>
      <c r="B614" s="84">
        <v>212221121222</v>
      </c>
      <c r="C614" s="84"/>
      <c r="D614" s="85">
        <v>0.75</v>
      </c>
      <c r="E614" s="82">
        <v>12</v>
      </c>
      <c r="F614" s="82">
        <v>8</v>
      </c>
      <c r="G614" s="82">
        <v>18</v>
      </c>
      <c r="H614" s="30">
        <v>6.0537999999999998</v>
      </c>
      <c r="I614" s="4">
        <v>8.0000000000000004E-4</v>
      </c>
      <c r="J614" s="29">
        <v>-34.153700000000001</v>
      </c>
      <c r="K614" s="4">
        <v>4.0000000000000002E-4</v>
      </c>
      <c r="L614" s="4">
        <v>3.3000000000000002E-2</v>
      </c>
      <c r="M614" s="4">
        <v>3.0000000000000001E-3</v>
      </c>
      <c r="N614" s="4">
        <v>-7.1999999999999998E-3</v>
      </c>
      <c r="O614" s="4">
        <v>2.0000000000000001E-4</v>
      </c>
      <c r="P614" s="4">
        <v>125.96</v>
      </c>
      <c r="Q614" s="4">
        <v>0.26</v>
      </c>
      <c r="R614" s="29">
        <f t="shared" si="11"/>
        <v>0.25917695473251029</v>
      </c>
      <c r="S614" s="22">
        <f t="shared" si="12"/>
        <v>5.3497942386831272E-4</v>
      </c>
    </row>
    <row r="615" spans="1:19" ht="16">
      <c r="A615" s="33" t="s">
        <v>401</v>
      </c>
      <c r="B615" s="97">
        <v>212221121222</v>
      </c>
      <c r="C615" s="97"/>
      <c r="D615" s="98">
        <v>1</v>
      </c>
      <c r="E615" s="82">
        <v>12</v>
      </c>
      <c r="F615" s="82">
        <v>8</v>
      </c>
      <c r="G615" s="82">
        <v>18</v>
      </c>
      <c r="H615" s="34">
        <v>5.9081000000000001</v>
      </c>
      <c r="I615" s="4">
        <v>2.9999999999999997E-4</v>
      </c>
      <c r="J615" s="34">
        <v>-33.711300000000001</v>
      </c>
      <c r="K615" s="4">
        <v>6.9999999999999999E-4</v>
      </c>
      <c r="L615" s="4">
        <v>4.1000000000000002E-2</v>
      </c>
      <c r="M615" s="4">
        <v>5.0000000000000001E-3</v>
      </c>
      <c r="N615" s="4">
        <v>-8.8999999999999999E-3</v>
      </c>
      <c r="O615" s="4">
        <v>1E-4</v>
      </c>
      <c r="P615" s="4">
        <v>119.36</v>
      </c>
      <c r="Q615" s="4">
        <v>0.13</v>
      </c>
      <c r="R615" s="34">
        <f t="shared" si="11"/>
        <v>0.24559670781893003</v>
      </c>
      <c r="S615" s="22">
        <f t="shared" si="12"/>
        <v>2.6748971193415636E-4</v>
      </c>
    </row>
    <row r="616" spans="1:19" ht="16">
      <c r="A616" s="19" t="s">
        <v>402</v>
      </c>
      <c r="B616" s="80">
        <v>211222122122</v>
      </c>
      <c r="C616" s="80"/>
      <c r="D616" s="20">
        <v>0.25</v>
      </c>
      <c r="E616" s="82">
        <v>12</v>
      </c>
      <c r="F616" s="82">
        <v>8</v>
      </c>
      <c r="G616" s="82">
        <v>18</v>
      </c>
      <c r="H616" s="21">
        <v>6.3282999999999996</v>
      </c>
      <c r="I616" s="4">
        <v>5.9999999999999995E-4</v>
      </c>
      <c r="J616" s="20">
        <v>-35.660800000000002</v>
      </c>
      <c r="K616" s="4">
        <v>1.1000000000000001E-3</v>
      </c>
      <c r="L616" s="4">
        <v>3.1E-2</v>
      </c>
      <c r="M616" s="4">
        <v>2E-3</v>
      </c>
      <c r="N616" s="4">
        <v>-5.8999999999999999E-3</v>
      </c>
      <c r="O616" s="4">
        <v>2.0000000000000001E-4</v>
      </c>
      <c r="P616" s="4">
        <v>132.66999999999999</v>
      </c>
      <c r="Q616" s="4">
        <v>0.21</v>
      </c>
      <c r="R616" s="20">
        <f t="shared" si="11"/>
        <v>0.27298353909465017</v>
      </c>
      <c r="S616" s="22">
        <f t="shared" ref="S616:S747" si="14">Q616*E616/G616^3</f>
        <v>4.3209876543209879E-4</v>
      </c>
    </row>
    <row r="617" spans="1:19" ht="16">
      <c r="A617" s="23" t="s">
        <v>402</v>
      </c>
      <c r="B617" s="82">
        <v>211222122122</v>
      </c>
      <c r="C617" s="82"/>
      <c r="D617" s="83">
        <v>0.5</v>
      </c>
      <c r="E617" s="82">
        <v>12</v>
      </c>
      <c r="F617" s="82">
        <v>8</v>
      </c>
      <c r="G617" s="82">
        <v>18</v>
      </c>
      <c r="H617" s="24">
        <v>6.1513999999999998</v>
      </c>
      <c r="I617" s="4">
        <v>2.9999999999999997E-4</v>
      </c>
      <c r="J617" s="4">
        <v>-34.822299999999998</v>
      </c>
      <c r="K617" s="4">
        <v>1.6000000000000001E-3</v>
      </c>
      <c r="L617" s="4">
        <v>3.5000000000000003E-2</v>
      </c>
      <c r="M617" s="4">
        <v>7.0000000000000001E-3</v>
      </c>
      <c r="N617" s="4">
        <v>-6.4999999999999997E-3</v>
      </c>
      <c r="O617" s="4">
        <v>2.9999999999999997E-4</v>
      </c>
      <c r="P617" s="4">
        <v>130.5</v>
      </c>
      <c r="Q617" s="4">
        <v>0.28999999999999998</v>
      </c>
      <c r="R617" s="4">
        <f t="shared" si="11"/>
        <v>0.26851851851851855</v>
      </c>
      <c r="S617" s="22">
        <f t="shared" si="14"/>
        <v>5.9670781893004111E-4</v>
      </c>
    </row>
    <row r="618" spans="1:19" ht="16">
      <c r="A618" s="28" t="s">
        <v>402</v>
      </c>
      <c r="B618" s="84">
        <v>211222122122</v>
      </c>
      <c r="C618" s="84"/>
      <c r="D618" s="85">
        <v>0.75</v>
      </c>
      <c r="E618" s="82">
        <v>12</v>
      </c>
      <c r="F618" s="82">
        <v>8</v>
      </c>
      <c r="G618" s="82">
        <v>18</v>
      </c>
      <c r="H618" s="30">
        <v>5.9694000000000003</v>
      </c>
      <c r="I618" s="4">
        <v>8.0000000000000004E-4</v>
      </c>
      <c r="J618" s="29">
        <v>-34.1509</v>
      </c>
      <c r="K618" s="4">
        <v>6.9999999999999999E-4</v>
      </c>
      <c r="L618" s="4">
        <v>5.0999999999999997E-2</v>
      </c>
      <c r="M618" s="4">
        <v>8.0000000000000002E-3</v>
      </c>
      <c r="N618" s="4">
        <v>-7.4999999999999997E-3</v>
      </c>
      <c r="O618" s="4">
        <v>2.0000000000000001E-4</v>
      </c>
      <c r="P618" s="4">
        <v>126.55</v>
      </c>
      <c r="Q618" s="4">
        <v>0.13</v>
      </c>
      <c r="R618" s="29">
        <f t="shared" si="11"/>
        <v>0.26039094650205757</v>
      </c>
      <c r="S618" s="22">
        <f t="shared" si="14"/>
        <v>2.6748971193415636E-4</v>
      </c>
    </row>
    <row r="619" spans="1:19" ht="16">
      <c r="A619" s="33" t="s">
        <v>402</v>
      </c>
      <c r="B619" s="97">
        <v>211222122122</v>
      </c>
      <c r="C619" s="97"/>
      <c r="D619" s="98">
        <v>1</v>
      </c>
      <c r="E619" s="82">
        <v>12</v>
      </c>
      <c r="F619" s="82">
        <v>8</v>
      </c>
      <c r="G619" s="82">
        <v>18</v>
      </c>
      <c r="H619" s="34">
        <v>5.7828999999999997</v>
      </c>
      <c r="I619" s="4">
        <v>2.0000000000000001E-4</v>
      </c>
      <c r="J619" s="34">
        <v>-33.684699999999999</v>
      </c>
      <c r="K619" s="4">
        <v>8.9999999999999998E-4</v>
      </c>
      <c r="L619" s="4">
        <v>7.6999999999999999E-2</v>
      </c>
      <c r="M619" s="4">
        <v>6.0000000000000001E-3</v>
      </c>
      <c r="N619" s="4">
        <v>-9.2999999999999992E-3</v>
      </c>
      <c r="O619" s="4">
        <v>1E-4</v>
      </c>
      <c r="P619" s="4">
        <v>120.19</v>
      </c>
      <c r="Q619" s="4">
        <v>0.19</v>
      </c>
      <c r="R619" s="34">
        <f t="shared" si="11"/>
        <v>0.24730452674897119</v>
      </c>
      <c r="S619" s="22">
        <f t="shared" si="14"/>
        <v>3.9094650205761324E-4</v>
      </c>
    </row>
    <row r="620" spans="1:19" ht="16">
      <c r="A620" s="19" t="s">
        <v>403</v>
      </c>
      <c r="B620" s="80">
        <v>122212122212</v>
      </c>
      <c r="C620" s="80"/>
      <c r="D620" s="20">
        <v>0.25</v>
      </c>
      <c r="E620" s="82">
        <v>12</v>
      </c>
      <c r="F620" s="82">
        <v>8</v>
      </c>
      <c r="G620" s="82">
        <v>18</v>
      </c>
      <c r="H620" s="21">
        <v>6.3010000000000002</v>
      </c>
      <c r="I620" s="4">
        <v>8.0000000000000004E-4</v>
      </c>
      <c r="J620" s="20">
        <v>-35.637</v>
      </c>
      <c r="K620" s="4">
        <v>5.0000000000000001E-4</v>
      </c>
      <c r="L620" s="4">
        <v>4.2999999999999997E-2</v>
      </c>
      <c r="M620" s="4">
        <v>1.4E-2</v>
      </c>
      <c r="N620" s="4">
        <v>-6.0000000000000001E-3</v>
      </c>
      <c r="O620" s="4">
        <v>1E-4</v>
      </c>
      <c r="P620" s="4">
        <v>132.65</v>
      </c>
      <c r="Q620" s="4">
        <v>0.19</v>
      </c>
      <c r="R620" s="20">
        <f t="shared" ref="R620:R747" si="15">P620*E620/G620^3</f>
        <v>0.27294238683127575</v>
      </c>
      <c r="S620" s="22">
        <f t="shared" si="14"/>
        <v>3.9094650205761324E-4</v>
      </c>
    </row>
    <row r="621" spans="1:19" ht="16">
      <c r="A621" s="23" t="s">
        <v>403</v>
      </c>
      <c r="B621" s="82">
        <v>122212122212</v>
      </c>
      <c r="C621" s="82"/>
      <c r="D621" s="83">
        <v>0.5</v>
      </c>
      <c r="E621" s="82">
        <v>12</v>
      </c>
      <c r="F621" s="82">
        <v>8</v>
      </c>
      <c r="G621" s="82">
        <v>18</v>
      </c>
      <c r="H621" s="24">
        <v>6.101</v>
      </c>
      <c r="I621" s="4">
        <v>5.9999999999999995E-4</v>
      </c>
      <c r="J621" s="4">
        <v>-34.754600000000003</v>
      </c>
      <c r="K621" s="4">
        <v>1E-3</v>
      </c>
      <c r="L621" s="4">
        <v>3.7999999999999999E-2</v>
      </c>
      <c r="M621" s="4">
        <v>7.0000000000000001E-3</v>
      </c>
      <c r="N621" s="4">
        <v>-6.3E-3</v>
      </c>
      <c r="O621" s="4">
        <v>2.0000000000000001E-4</v>
      </c>
      <c r="P621" s="4">
        <v>131.19</v>
      </c>
      <c r="Q621" s="4">
        <v>0.1</v>
      </c>
      <c r="R621" s="4">
        <f t="shared" si="15"/>
        <v>0.26993827160493827</v>
      </c>
      <c r="S621" s="22">
        <f t="shared" si="14"/>
        <v>2.0576131687242801E-4</v>
      </c>
    </row>
    <row r="622" spans="1:19" ht="16">
      <c r="A622" s="19" t="s">
        <v>404</v>
      </c>
      <c r="B622" s="80">
        <v>222111221222</v>
      </c>
      <c r="C622" s="80"/>
      <c r="D622" s="20">
        <v>0.25</v>
      </c>
      <c r="E622" s="82">
        <v>12</v>
      </c>
      <c r="F622" s="82">
        <v>8</v>
      </c>
      <c r="G622" s="82">
        <v>18</v>
      </c>
      <c r="H622" s="21">
        <v>6.3731</v>
      </c>
      <c r="I622" s="4">
        <v>1E-3</v>
      </c>
      <c r="J622" s="20">
        <v>-35.565300000000001</v>
      </c>
      <c r="K622" s="4">
        <v>1.6000000000000001E-3</v>
      </c>
      <c r="L622" s="4">
        <v>0.02</v>
      </c>
      <c r="M622" s="4">
        <v>4.0000000000000001E-3</v>
      </c>
      <c r="N622" s="4">
        <v>-5.8999999999999999E-3</v>
      </c>
      <c r="O622" s="4">
        <v>2.0000000000000001E-4</v>
      </c>
      <c r="P622" s="4">
        <v>131.88</v>
      </c>
      <c r="Q622" s="4">
        <v>0.25</v>
      </c>
      <c r="R622" s="20">
        <f t="shared" si="15"/>
        <v>0.271358024691358</v>
      </c>
      <c r="S622" s="22">
        <f t="shared" si="14"/>
        <v>5.1440329218107E-4</v>
      </c>
    </row>
    <row r="623" spans="1:19" ht="16">
      <c r="A623" s="23" t="s">
        <v>404</v>
      </c>
      <c r="B623" s="82">
        <v>222111221222</v>
      </c>
      <c r="C623" s="82"/>
      <c r="D623" s="83">
        <v>0.5</v>
      </c>
      <c r="E623" s="82">
        <v>12</v>
      </c>
      <c r="F623" s="82">
        <v>8</v>
      </c>
      <c r="G623" s="82">
        <v>18</v>
      </c>
      <c r="H623" s="24">
        <v>6.2407000000000004</v>
      </c>
      <c r="I623" s="4">
        <v>5.0000000000000001E-4</v>
      </c>
      <c r="J623" s="4">
        <v>-34.7057</v>
      </c>
      <c r="K623" s="4">
        <v>5.0000000000000001E-4</v>
      </c>
      <c r="L623" s="4">
        <v>2.4E-2</v>
      </c>
      <c r="M623" s="4">
        <v>2E-3</v>
      </c>
      <c r="N623" s="4">
        <v>-6.6E-3</v>
      </c>
      <c r="O623" s="4">
        <v>1E-4</v>
      </c>
      <c r="P623" s="4">
        <v>128.44999999999999</v>
      </c>
      <c r="Q623" s="4">
        <v>0.11</v>
      </c>
      <c r="R623" s="4">
        <f t="shared" si="15"/>
        <v>0.26430041152263373</v>
      </c>
      <c r="S623" s="22">
        <f t="shared" si="14"/>
        <v>2.2633744855967078E-4</v>
      </c>
    </row>
    <row r="624" spans="1:19" ht="16">
      <c r="A624" s="19" t="s">
        <v>405</v>
      </c>
      <c r="B624" s="80">
        <v>221222111222</v>
      </c>
      <c r="C624" s="80"/>
      <c r="D624" s="20">
        <v>0.25</v>
      </c>
      <c r="E624" s="82">
        <v>12</v>
      </c>
      <c r="F624" s="82">
        <v>8</v>
      </c>
      <c r="G624" s="82">
        <v>18</v>
      </c>
      <c r="H624" s="21">
        <v>6.3658000000000001</v>
      </c>
      <c r="I624" s="4">
        <v>5.0000000000000001E-4</v>
      </c>
      <c r="J624" s="20">
        <v>-35.554699999999997</v>
      </c>
      <c r="K624" s="4">
        <v>8.0000000000000004E-4</v>
      </c>
      <c r="L624" s="4">
        <v>2.5000000000000001E-2</v>
      </c>
      <c r="M624" s="4">
        <v>6.0000000000000001E-3</v>
      </c>
      <c r="N624" s="4">
        <v>-5.7999999999999996E-3</v>
      </c>
      <c r="O624" s="4">
        <v>2.0000000000000001E-4</v>
      </c>
      <c r="P624" s="4">
        <v>132.04</v>
      </c>
      <c r="Q624" s="4">
        <v>0.11</v>
      </c>
      <c r="R624" s="20">
        <f t="shared" si="15"/>
        <v>0.27168724279835393</v>
      </c>
      <c r="S624" s="22">
        <f t="shared" si="14"/>
        <v>2.2633744855967078E-4</v>
      </c>
    </row>
    <row r="625" spans="1:19" ht="16">
      <c r="A625" s="23" t="s">
        <v>405</v>
      </c>
      <c r="B625" s="82">
        <v>221222111222</v>
      </c>
      <c r="C625" s="82"/>
      <c r="D625" s="83">
        <v>0.5</v>
      </c>
      <c r="E625" s="82">
        <v>12</v>
      </c>
      <c r="F625" s="82">
        <v>8</v>
      </c>
      <c r="G625" s="82">
        <v>18</v>
      </c>
      <c r="H625" s="24">
        <v>6.2263000000000002</v>
      </c>
      <c r="I625" s="4">
        <v>8.0000000000000004E-4</v>
      </c>
      <c r="J625" s="4">
        <v>-34.6706</v>
      </c>
      <c r="K625" s="4">
        <v>2.0999999999999999E-3</v>
      </c>
      <c r="L625" s="4">
        <v>3.6999999999999998E-2</v>
      </c>
      <c r="M625" s="4">
        <v>6.0000000000000001E-3</v>
      </c>
      <c r="N625" s="4">
        <v>-6.7000000000000002E-3</v>
      </c>
      <c r="O625" s="4">
        <v>2.0000000000000001E-4</v>
      </c>
      <c r="P625" s="4">
        <v>128.94999999999999</v>
      </c>
      <c r="Q625" s="4">
        <v>0.26</v>
      </c>
      <c r="R625" s="4">
        <f t="shared" si="15"/>
        <v>0.26532921810699583</v>
      </c>
      <c r="S625" s="22">
        <f t="shared" si="14"/>
        <v>5.3497942386831272E-4</v>
      </c>
    </row>
    <row r="626" spans="1:19" ht="16">
      <c r="A626" s="19" t="s">
        <v>406</v>
      </c>
      <c r="B626" s="80">
        <v>222121121222</v>
      </c>
      <c r="C626" s="80"/>
      <c r="D626" s="20">
        <v>0.25</v>
      </c>
      <c r="E626" s="82">
        <v>12</v>
      </c>
      <c r="F626" s="82">
        <v>8</v>
      </c>
      <c r="G626" s="82">
        <v>18</v>
      </c>
      <c r="H626" s="21">
        <v>6.3757000000000001</v>
      </c>
      <c r="I626" s="4">
        <v>6.9999999999999999E-4</v>
      </c>
      <c r="J626" s="20">
        <v>-35.665700000000001</v>
      </c>
      <c r="K626" s="4">
        <v>1.6000000000000001E-3</v>
      </c>
      <c r="L626" s="4">
        <v>2.1999999999999999E-2</v>
      </c>
      <c r="M626" s="4">
        <v>1E-3</v>
      </c>
      <c r="N626" s="4">
        <v>-6.0000000000000001E-3</v>
      </c>
      <c r="O626" s="4">
        <v>1E-4</v>
      </c>
      <c r="P626" s="4">
        <v>131.94999999999999</v>
      </c>
      <c r="Q626" s="4">
        <v>0.11</v>
      </c>
      <c r="R626" s="20">
        <f t="shared" si="15"/>
        <v>0.2715020576131687</v>
      </c>
      <c r="S626" s="22">
        <f t="shared" si="14"/>
        <v>2.2633744855967078E-4</v>
      </c>
    </row>
    <row r="627" spans="1:19" ht="16">
      <c r="A627" s="23" t="s">
        <v>406</v>
      </c>
      <c r="B627" s="82">
        <v>222121121222</v>
      </c>
      <c r="C627" s="82"/>
      <c r="D627" s="83">
        <v>0.5</v>
      </c>
      <c r="E627" s="82">
        <v>12</v>
      </c>
      <c r="F627" s="82">
        <v>8</v>
      </c>
      <c r="G627" s="82">
        <v>18</v>
      </c>
      <c r="H627" s="24">
        <v>6.2460000000000004</v>
      </c>
      <c r="I627" s="4">
        <v>8.9999999999999998E-4</v>
      </c>
      <c r="J627" s="4">
        <v>-34.874200000000002</v>
      </c>
      <c r="K627" s="4">
        <v>1E-3</v>
      </c>
      <c r="L627" s="4">
        <v>0.02</v>
      </c>
      <c r="M627" s="4">
        <v>5.0000000000000001E-3</v>
      </c>
      <c r="N627" s="4">
        <v>-6.4000000000000003E-3</v>
      </c>
      <c r="O627" s="4">
        <v>1E-4</v>
      </c>
      <c r="P627" s="4">
        <v>129.06</v>
      </c>
      <c r="Q627" s="4">
        <v>0.16</v>
      </c>
      <c r="R627" s="4">
        <f t="shared" si="15"/>
        <v>0.26555555555555554</v>
      </c>
      <c r="S627" s="22">
        <f t="shared" si="14"/>
        <v>3.2921810699588475E-4</v>
      </c>
    </row>
    <row r="628" spans="1:19" ht="16">
      <c r="A628" s="19" t="s">
        <v>407</v>
      </c>
      <c r="B628" s="80">
        <v>122221212212</v>
      </c>
      <c r="C628" s="80"/>
      <c r="D628" s="20">
        <v>0.25</v>
      </c>
      <c r="E628" s="82">
        <v>12</v>
      </c>
      <c r="F628" s="82">
        <v>8</v>
      </c>
      <c r="G628" s="82">
        <v>18</v>
      </c>
      <c r="H628" s="21">
        <v>6.3014999999999999</v>
      </c>
      <c r="I628" s="4">
        <v>8.0000000000000004E-4</v>
      </c>
      <c r="J628" s="20">
        <v>-35.650799999999997</v>
      </c>
      <c r="K628" s="4">
        <v>1.2999999999999999E-3</v>
      </c>
      <c r="L628" s="4">
        <v>3.1E-2</v>
      </c>
      <c r="M628" s="4">
        <v>4.0000000000000001E-3</v>
      </c>
      <c r="N628" s="4">
        <v>-5.7999999999999996E-3</v>
      </c>
      <c r="O628" s="4">
        <v>2.0000000000000001E-4</v>
      </c>
      <c r="P628" s="4">
        <v>132.84</v>
      </c>
      <c r="Q628" s="4">
        <v>0.11</v>
      </c>
      <c r="R628" s="20">
        <f t="shared" si="15"/>
        <v>0.27333333333333332</v>
      </c>
      <c r="S628" s="22">
        <f t="shared" si="14"/>
        <v>2.2633744855967078E-4</v>
      </c>
    </row>
    <row r="629" spans="1:19" ht="16">
      <c r="A629" s="23" t="s">
        <v>407</v>
      </c>
      <c r="B629" s="82">
        <v>122221212212</v>
      </c>
      <c r="C629" s="82"/>
      <c r="D629" s="83">
        <v>0.5</v>
      </c>
      <c r="E629" s="82">
        <v>12</v>
      </c>
      <c r="F629" s="82">
        <v>8</v>
      </c>
      <c r="G629" s="82">
        <v>18</v>
      </c>
      <c r="H629" s="24">
        <v>6.0997000000000003</v>
      </c>
      <c r="I629" s="4">
        <v>2.9999999999999997E-4</v>
      </c>
      <c r="J629" s="4">
        <v>-34.790799999999997</v>
      </c>
      <c r="K629" s="4">
        <v>8.9999999999999998E-4</v>
      </c>
      <c r="L629" s="4">
        <v>0.04</v>
      </c>
      <c r="M629" s="4">
        <v>8.0000000000000002E-3</v>
      </c>
      <c r="N629" s="4">
        <v>-6.6E-3</v>
      </c>
      <c r="O629" s="4">
        <v>2.0000000000000001E-4</v>
      </c>
      <c r="P629" s="4">
        <v>130.96</v>
      </c>
      <c r="Q629" s="4">
        <v>0.18</v>
      </c>
      <c r="R629" s="4">
        <f t="shared" si="15"/>
        <v>0.2694650205761317</v>
      </c>
      <c r="S629" s="22">
        <f t="shared" si="14"/>
        <v>3.7037037037037041E-4</v>
      </c>
    </row>
    <row r="630" spans="1:19" ht="16">
      <c r="A630" s="19" t="s">
        <v>408</v>
      </c>
      <c r="B630" s="80">
        <v>121222212122</v>
      </c>
      <c r="C630" s="80"/>
      <c r="D630" s="20">
        <v>0.25</v>
      </c>
      <c r="E630" s="82">
        <v>12</v>
      </c>
      <c r="F630" s="82">
        <v>8</v>
      </c>
      <c r="G630" s="82">
        <v>18</v>
      </c>
      <c r="H630" s="21">
        <v>6.2977999999999996</v>
      </c>
      <c r="I630" s="4">
        <v>5.0000000000000001E-4</v>
      </c>
      <c r="J630" s="20">
        <v>-35.689399999999999</v>
      </c>
      <c r="K630" s="4">
        <v>1.8E-3</v>
      </c>
      <c r="L630" s="4">
        <v>2.8000000000000001E-2</v>
      </c>
      <c r="M630" s="4">
        <v>6.0000000000000001E-3</v>
      </c>
      <c r="N630" s="4">
        <v>-6.1000000000000004E-3</v>
      </c>
      <c r="O630" s="4">
        <v>2.9999999999999997E-4</v>
      </c>
      <c r="P630" s="4">
        <v>132.47</v>
      </c>
      <c r="Q630" s="4">
        <v>0.18</v>
      </c>
      <c r="R630" s="20">
        <f t="shared" si="15"/>
        <v>0.27257201646090534</v>
      </c>
      <c r="S630" s="22">
        <f t="shared" si="14"/>
        <v>3.7037037037037041E-4</v>
      </c>
    </row>
    <row r="631" spans="1:19" ht="16">
      <c r="A631" s="23" t="s">
        <v>408</v>
      </c>
      <c r="B631" s="82">
        <v>121222212122</v>
      </c>
      <c r="C631" s="82"/>
      <c r="D631" s="83">
        <v>0.5</v>
      </c>
      <c r="E631" s="82">
        <v>12</v>
      </c>
      <c r="F631" s="82">
        <v>8</v>
      </c>
      <c r="G631" s="82">
        <v>18</v>
      </c>
      <c r="H631" s="24">
        <v>6.0895999999999999</v>
      </c>
      <c r="I631" s="4">
        <v>5.9999999999999995E-4</v>
      </c>
      <c r="J631" s="4">
        <v>-34.887500000000003</v>
      </c>
      <c r="K631" s="4">
        <v>1.1999999999999999E-3</v>
      </c>
      <c r="L631" s="4">
        <v>0.05</v>
      </c>
      <c r="M631" s="4">
        <v>0.01</v>
      </c>
      <c r="N631" s="4">
        <v>-6.8999999999999999E-3</v>
      </c>
      <c r="O631" s="4">
        <v>2.0000000000000001E-4</v>
      </c>
      <c r="P631" s="4">
        <v>130.24</v>
      </c>
      <c r="Q631" s="4">
        <v>0.14000000000000001</v>
      </c>
      <c r="R631" s="4">
        <f t="shared" si="15"/>
        <v>0.26798353909465022</v>
      </c>
      <c r="S631" s="22">
        <f t="shared" si="14"/>
        <v>2.8806584362139919E-4</v>
      </c>
    </row>
    <row r="632" spans="1:19" ht="16">
      <c r="A632" s="19" t="s">
        <v>409</v>
      </c>
      <c r="B632" s="80">
        <v>212112221222</v>
      </c>
      <c r="C632" s="80"/>
      <c r="D632" s="20">
        <v>0.25</v>
      </c>
      <c r="E632" s="82">
        <v>12</v>
      </c>
      <c r="F632" s="82">
        <v>8</v>
      </c>
      <c r="G632" s="82">
        <v>18</v>
      </c>
      <c r="H632" s="21">
        <v>6.3419999999999996</v>
      </c>
      <c r="I632" s="4">
        <v>2.9999999999999997E-4</v>
      </c>
      <c r="J632" s="20">
        <v>-35.695599999999999</v>
      </c>
      <c r="K632" s="4">
        <v>1.6999999999999999E-3</v>
      </c>
      <c r="L632" s="4">
        <v>2.5999999999999999E-2</v>
      </c>
      <c r="M632" s="4">
        <v>4.0000000000000001E-3</v>
      </c>
      <c r="N632" s="4">
        <v>-5.7000000000000002E-3</v>
      </c>
      <c r="O632" s="4">
        <v>4.0000000000000002E-4</v>
      </c>
      <c r="P632" s="4">
        <v>132.44</v>
      </c>
      <c r="Q632" s="4">
        <v>0.43</v>
      </c>
      <c r="R632" s="20">
        <f t="shared" si="15"/>
        <v>0.2725102880658436</v>
      </c>
      <c r="S632" s="22">
        <f t="shared" si="14"/>
        <v>8.847736625514403E-4</v>
      </c>
    </row>
    <row r="633" spans="1:19" ht="16">
      <c r="A633" s="23" t="s">
        <v>409</v>
      </c>
      <c r="B633" s="82">
        <v>212112221222</v>
      </c>
      <c r="C633" s="82"/>
      <c r="D633" s="83">
        <v>0.5</v>
      </c>
      <c r="E633" s="82">
        <v>12</v>
      </c>
      <c r="F633" s="82">
        <v>8</v>
      </c>
      <c r="G633" s="82">
        <v>18</v>
      </c>
      <c r="H633" s="24">
        <v>6.1757</v>
      </c>
      <c r="I633" s="4">
        <v>8.9999999999999998E-4</v>
      </c>
      <c r="J633" s="4">
        <v>-34.929400000000001</v>
      </c>
      <c r="K633" s="4">
        <v>2.8E-3</v>
      </c>
      <c r="L633" s="4">
        <v>3.2000000000000001E-2</v>
      </c>
      <c r="M633" s="4">
        <v>2E-3</v>
      </c>
      <c r="N633" s="4">
        <v>-6.7000000000000002E-3</v>
      </c>
      <c r="O633" s="4">
        <v>4.0000000000000002E-4</v>
      </c>
      <c r="P633" s="4">
        <v>129.29</v>
      </c>
      <c r="Q633" s="4">
        <v>0.37</v>
      </c>
      <c r="R633" s="4">
        <f t="shared" si="15"/>
        <v>0.26602880658436212</v>
      </c>
      <c r="S633" s="22">
        <f t="shared" si="14"/>
        <v>7.6131687242798343E-4</v>
      </c>
    </row>
    <row r="634" spans="1:19" ht="16">
      <c r="A634" s="19" t="s">
        <v>410</v>
      </c>
      <c r="B634" s="80">
        <v>221121212222</v>
      </c>
      <c r="C634" s="80"/>
      <c r="D634" s="20">
        <v>0.25</v>
      </c>
      <c r="E634" s="82">
        <v>12</v>
      </c>
      <c r="F634" s="82">
        <v>8</v>
      </c>
      <c r="G634" s="82">
        <v>18</v>
      </c>
      <c r="H634" s="21">
        <v>6.3632999999999997</v>
      </c>
      <c r="I634" s="4">
        <v>8.0000000000000004E-4</v>
      </c>
      <c r="J634" s="20">
        <v>-35.691899999999997</v>
      </c>
      <c r="K634" s="4">
        <v>1.8E-3</v>
      </c>
      <c r="L634" s="4">
        <v>2.4E-2</v>
      </c>
      <c r="M634" s="4">
        <v>6.0000000000000001E-3</v>
      </c>
      <c r="N634" s="4">
        <v>-5.8999999999999999E-3</v>
      </c>
      <c r="O634" s="4">
        <v>1E-4</v>
      </c>
      <c r="P634" s="4">
        <v>132.04</v>
      </c>
      <c r="Q634" s="4">
        <v>0.14000000000000001</v>
      </c>
      <c r="R634" s="20">
        <f t="shared" si="15"/>
        <v>0.27168724279835393</v>
      </c>
      <c r="S634" s="22">
        <f t="shared" si="14"/>
        <v>2.8806584362139919E-4</v>
      </c>
    </row>
    <row r="635" spans="1:19" ht="16">
      <c r="A635" s="23" t="s">
        <v>410</v>
      </c>
      <c r="B635" s="82">
        <v>221121212222</v>
      </c>
      <c r="C635" s="82"/>
      <c r="D635" s="83">
        <v>0.5</v>
      </c>
      <c r="E635" s="82">
        <v>12</v>
      </c>
      <c r="F635" s="82">
        <v>8</v>
      </c>
      <c r="G635" s="82">
        <v>18</v>
      </c>
      <c r="H635" s="24">
        <v>6.22</v>
      </c>
      <c r="I635" s="4">
        <v>6.9999999999999999E-4</v>
      </c>
      <c r="J635" s="4">
        <v>-34.936199999999999</v>
      </c>
      <c r="K635" s="4">
        <v>1.1999999999999999E-3</v>
      </c>
      <c r="L635" s="4">
        <v>1.9E-2</v>
      </c>
      <c r="M635" s="4">
        <v>1.4E-2</v>
      </c>
      <c r="N635" s="4">
        <v>-6.7000000000000002E-3</v>
      </c>
      <c r="O635" s="4">
        <v>2.0000000000000001E-4</v>
      </c>
      <c r="P635" s="4">
        <v>128.69999999999999</v>
      </c>
      <c r="Q635" s="4">
        <v>0.1</v>
      </c>
      <c r="R635" s="4">
        <f t="shared" si="15"/>
        <v>0.26481481481481478</v>
      </c>
      <c r="S635" s="22">
        <f t="shared" si="14"/>
        <v>2.0576131687242801E-4</v>
      </c>
    </row>
    <row r="636" spans="1:19" ht="16">
      <c r="A636" s="19" t="s">
        <v>411</v>
      </c>
      <c r="B636" s="80">
        <v>121211222222</v>
      </c>
      <c r="C636" s="80"/>
      <c r="D636" s="20">
        <v>0.25</v>
      </c>
      <c r="E636" s="82">
        <v>12</v>
      </c>
      <c r="F636" s="82">
        <v>8</v>
      </c>
      <c r="G636" s="82">
        <v>18</v>
      </c>
      <c r="H636" s="21">
        <v>6.3070000000000004</v>
      </c>
      <c r="I636" s="4">
        <v>5.9999999999999995E-4</v>
      </c>
      <c r="J636" s="20">
        <v>-35.750500000000002</v>
      </c>
      <c r="K636" s="4">
        <v>1.6999999999999999E-3</v>
      </c>
      <c r="L636" s="4">
        <v>3.4000000000000002E-2</v>
      </c>
      <c r="M636" s="4">
        <v>4.0000000000000001E-3</v>
      </c>
      <c r="N636" s="4">
        <v>-6.1999999999999998E-3</v>
      </c>
      <c r="O636" s="4">
        <v>2.0000000000000001E-4</v>
      </c>
      <c r="P636" s="4">
        <v>131.44</v>
      </c>
      <c r="Q636" s="4">
        <v>0.15</v>
      </c>
      <c r="R636" s="20">
        <f t="shared" si="15"/>
        <v>0.27045267489711933</v>
      </c>
      <c r="S636" s="22">
        <f t="shared" si="14"/>
        <v>3.0864197530864197E-4</v>
      </c>
    </row>
    <row r="637" spans="1:19" ht="16">
      <c r="A637" s="23" t="s">
        <v>411</v>
      </c>
      <c r="B637" s="82">
        <v>121211222222</v>
      </c>
      <c r="C637" s="82"/>
      <c r="D637" s="83">
        <v>0.5</v>
      </c>
      <c r="E637" s="82">
        <v>12</v>
      </c>
      <c r="F637" s="82">
        <v>8</v>
      </c>
      <c r="G637" s="82">
        <v>18</v>
      </c>
      <c r="H637" s="24">
        <v>6.0861999999999998</v>
      </c>
      <c r="I637" s="4">
        <v>5.9999999999999995E-4</v>
      </c>
      <c r="J637" s="4">
        <v>-35.197299999999998</v>
      </c>
      <c r="K637" s="4">
        <v>2.9999999999999997E-4</v>
      </c>
      <c r="L637" s="4">
        <v>8.4000000000000005E-2</v>
      </c>
      <c r="M637" s="4">
        <v>8.0000000000000002E-3</v>
      </c>
      <c r="N637" s="4">
        <v>-8.6E-3</v>
      </c>
      <c r="O637" s="4">
        <v>2.0000000000000001E-4</v>
      </c>
      <c r="P637" s="4">
        <v>124.55</v>
      </c>
      <c r="Q637" s="4">
        <v>0.14000000000000001</v>
      </c>
      <c r="R637" s="4">
        <f t="shared" si="15"/>
        <v>0.25627572016460903</v>
      </c>
      <c r="S637" s="22">
        <f t="shared" si="14"/>
        <v>2.8806584362139919E-4</v>
      </c>
    </row>
    <row r="638" spans="1:19" ht="16">
      <c r="A638" s="19" t="s">
        <v>412</v>
      </c>
      <c r="B638" s="80">
        <v>212122122122</v>
      </c>
      <c r="C638" s="80"/>
      <c r="D638" s="20">
        <v>0.25</v>
      </c>
      <c r="E638" s="82">
        <v>12</v>
      </c>
      <c r="F638" s="82">
        <v>8</v>
      </c>
      <c r="G638" s="82">
        <v>18</v>
      </c>
      <c r="H638" s="21">
        <v>6.3384999999999998</v>
      </c>
      <c r="I638" s="4">
        <v>5.9999999999999995E-4</v>
      </c>
      <c r="J638" s="20">
        <v>-35.737299999999998</v>
      </c>
      <c r="K638" s="4">
        <v>8.0000000000000004E-4</v>
      </c>
      <c r="L638" s="4">
        <v>3.2000000000000001E-2</v>
      </c>
      <c r="M638" s="4">
        <v>6.0000000000000001E-3</v>
      </c>
      <c r="N638" s="4">
        <v>-5.5999999999999999E-3</v>
      </c>
      <c r="O638" s="4">
        <v>1E-4</v>
      </c>
      <c r="P638" s="4">
        <v>132.91</v>
      </c>
      <c r="Q638" s="4">
        <v>0.15</v>
      </c>
      <c r="R638" s="20">
        <f t="shared" si="15"/>
        <v>0.27347736625514407</v>
      </c>
      <c r="S638" s="22">
        <f t="shared" si="14"/>
        <v>3.0864197530864197E-4</v>
      </c>
    </row>
    <row r="639" spans="1:19" ht="16">
      <c r="A639" s="23" t="s">
        <v>412</v>
      </c>
      <c r="B639" s="82">
        <v>212122122122</v>
      </c>
      <c r="C639" s="82"/>
      <c r="D639" s="83">
        <v>0.5</v>
      </c>
      <c r="E639" s="82">
        <v>12</v>
      </c>
      <c r="F639" s="82">
        <v>8</v>
      </c>
      <c r="G639" s="82">
        <v>18</v>
      </c>
      <c r="H639" s="24">
        <v>6.1746999999999996</v>
      </c>
      <c r="I639" s="4">
        <v>8.0000000000000004E-4</v>
      </c>
      <c r="J639" s="4">
        <v>-34.939500000000002</v>
      </c>
      <c r="K639" s="4">
        <v>1.6000000000000001E-3</v>
      </c>
      <c r="L639" s="4">
        <v>2.1999999999999999E-2</v>
      </c>
      <c r="M639" s="4">
        <v>4.0000000000000001E-3</v>
      </c>
      <c r="N639" s="4">
        <v>-6.1000000000000004E-3</v>
      </c>
      <c r="O639" s="4">
        <v>1E-4</v>
      </c>
      <c r="P639" s="4">
        <v>131.43</v>
      </c>
      <c r="Q639" s="4">
        <v>0.14000000000000001</v>
      </c>
      <c r="R639" s="4">
        <f t="shared" si="15"/>
        <v>0.27043209876543212</v>
      </c>
      <c r="S639" s="22">
        <f t="shared" si="14"/>
        <v>2.8806584362139919E-4</v>
      </c>
    </row>
    <row r="640" spans="1:19" ht="16">
      <c r="A640" s="19" t="s">
        <v>413</v>
      </c>
      <c r="B640" s="87">
        <v>222211112222</v>
      </c>
      <c r="C640" s="87" t="s">
        <v>30</v>
      </c>
      <c r="D640" s="20">
        <v>0.25</v>
      </c>
      <c r="E640" s="82">
        <v>12</v>
      </c>
      <c r="F640" s="82">
        <v>8</v>
      </c>
      <c r="G640" s="82">
        <v>18</v>
      </c>
      <c r="H640" s="21">
        <v>6.3855000000000004</v>
      </c>
      <c r="I640" s="4">
        <v>8.9999999999999998E-4</v>
      </c>
      <c r="J640" s="20">
        <v>-35.587899999999998</v>
      </c>
      <c r="K640" s="4">
        <v>2.9999999999999997E-4</v>
      </c>
      <c r="L640" s="4">
        <v>2.1000000000000001E-2</v>
      </c>
      <c r="M640" s="4">
        <v>3.0000000000000001E-3</v>
      </c>
      <c r="N640" s="4">
        <v>-5.8999999999999999E-3</v>
      </c>
      <c r="O640" s="4">
        <v>2.0000000000000001E-4</v>
      </c>
      <c r="P640" s="4">
        <v>131.35</v>
      </c>
      <c r="Q640" s="4">
        <v>0.15</v>
      </c>
      <c r="R640" s="20">
        <f t="shared" si="15"/>
        <v>0.27026748971193415</v>
      </c>
      <c r="S640" s="22">
        <f t="shared" si="14"/>
        <v>3.0864197530864197E-4</v>
      </c>
    </row>
    <row r="641" spans="1:19" ht="16">
      <c r="A641" s="23" t="s">
        <v>413</v>
      </c>
      <c r="B641" s="90">
        <v>222211112222</v>
      </c>
      <c r="C641" s="90" t="s">
        <v>30</v>
      </c>
      <c r="D641" s="83">
        <v>0.5</v>
      </c>
      <c r="E641" s="82">
        <v>12</v>
      </c>
      <c r="F641" s="82">
        <v>8</v>
      </c>
      <c r="G641" s="82">
        <v>18</v>
      </c>
      <c r="H641" s="24">
        <v>6.2690000000000001</v>
      </c>
      <c r="I641" s="4">
        <v>5.0000000000000001E-4</v>
      </c>
      <c r="J641" s="4">
        <v>-34.866399999999999</v>
      </c>
      <c r="K641" s="4">
        <v>6.9999999999999999E-4</v>
      </c>
      <c r="L641" s="4">
        <v>2.1000000000000001E-2</v>
      </c>
      <c r="M641" s="4">
        <v>4.0000000000000001E-3</v>
      </c>
      <c r="N641" s="4">
        <v>-6.8999999999999999E-3</v>
      </c>
      <c r="O641" s="4">
        <v>1E-4</v>
      </c>
      <c r="P641" s="4">
        <v>126.16</v>
      </c>
      <c r="Q641" s="4">
        <v>0.12</v>
      </c>
      <c r="R641" s="4">
        <f t="shared" si="15"/>
        <v>0.25958847736625518</v>
      </c>
      <c r="S641" s="22">
        <f t="shared" si="14"/>
        <v>2.4691358024691359E-4</v>
      </c>
    </row>
    <row r="642" spans="1:19" ht="16">
      <c r="A642" s="19" t="s">
        <v>414</v>
      </c>
      <c r="B642" s="87">
        <v>112222222211</v>
      </c>
      <c r="C642" s="87" t="s">
        <v>19</v>
      </c>
      <c r="D642" s="20">
        <v>0.25</v>
      </c>
      <c r="E642" s="82">
        <v>12</v>
      </c>
      <c r="F642" s="82">
        <v>8</v>
      </c>
      <c r="G642" s="82">
        <v>18</v>
      </c>
      <c r="H642" s="21">
        <v>6.1988000000000003</v>
      </c>
      <c r="I642" s="4">
        <v>2.0000000000000001E-4</v>
      </c>
      <c r="J642" s="20">
        <v>-35.688600000000001</v>
      </c>
      <c r="K642" s="4">
        <v>1.1000000000000001E-3</v>
      </c>
      <c r="L642" s="4">
        <v>5.8999999999999997E-2</v>
      </c>
      <c r="M642" s="4">
        <v>7.0000000000000001E-3</v>
      </c>
      <c r="N642" s="4">
        <v>-6.3E-3</v>
      </c>
      <c r="O642" s="4">
        <v>2.0000000000000001E-4</v>
      </c>
      <c r="P642" s="4">
        <v>131.77000000000001</v>
      </c>
      <c r="Q642" s="4">
        <v>0.12</v>
      </c>
      <c r="R642" s="20">
        <f t="shared" si="15"/>
        <v>0.2711316872427984</v>
      </c>
      <c r="S642" s="22">
        <f t="shared" si="14"/>
        <v>2.4691358024691359E-4</v>
      </c>
    </row>
    <row r="643" spans="1:19" ht="17" thickBot="1">
      <c r="A643" s="95" t="s">
        <v>414</v>
      </c>
      <c r="B643" s="64">
        <v>112222222211</v>
      </c>
      <c r="C643" s="64" t="s">
        <v>19</v>
      </c>
      <c r="D643" s="65">
        <v>0.5</v>
      </c>
      <c r="E643" s="72">
        <v>12</v>
      </c>
      <c r="F643" s="72">
        <v>8</v>
      </c>
      <c r="G643" s="72">
        <v>18</v>
      </c>
      <c r="H643" s="58">
        <v>5.8491</v>
      </c>
      <c r="I643" s="10">
        <v>8.9999999999999998E-4</v>
      </c>
      <c r="J643" s="10">
        <v>-35.2194</v>
      </c>
      <c r="K643" s="10">
        <v>8.0000000000000004E-4</v>
      </c>
      <c r="L643" s="10">
        <v>0.157</v>
      </c>
      <c r="M643" s="10">
        <v>1.0999999999999999E-2</v>
      </c>
      <c r="N643" s="10">
        <v>-9.7999999999999997E-3</v>
      </c>
      <c r="O643" s="10">
        <v>2.0000000000000001E-4</v>
      </c>
      <c r="P643" s="10">
        <v>122.65</v>
      </c>
      <c r="Q643" s="10">
        <v>0.16</v>
      </c>
      <c r="R643" s="10">
        <f t="shared" si="15"/>
        <v>0.25236625514403294</v>
      </c>
      <c r="S643" s="26">
        <f t="shared" si="14"/>
        <v>3.2921810699588475E-4</v>
      </c>
    </row>
    <row r="644" spans="1:19" ht="17" thickTop="1">
      <c r="A644" s="27" t="s">
        <v>415</v>
      </c>
      <c r="B644" s="73">
        <v>221221221222</v>
      </c>
      <c r="C644" s="73"/>
      <c r="D644" s="74">
        <v>0.25</v>
      </c>
      <c r="E644" s="69">
        <v>12</v>
      </c>
      <c r="F644" s="69">
        <v>9</v>
      </c>
      <c r="G644" s="69">
        <v>18</v>
      </c>
      <c r="H644" s="12">
        <v>6.7356999999999996</v>
      </c>
      <c r="I644" s="7">
        <v>8.0000000000000004E-4</v>
      </c>
      <c r="J644" s="5">
        <v>-37.807400000000001</v>
      </c>
      <c r="K644" s="7">
        <v>1.5E-3</v>
      </c>
      <c r="L644" s="7">
        <v>2.5000000000000001E-2</v>
      </c>
      <c r="M644" s="7">
        <v>2E-3</v>
      </c>
      <c r="N644" s="7">
        <v>-5.4999999999999997E-3</v>
      </c>
      <c r="O644" s="7">
        <v>1E-4</v>
      </c>
      <c r="P644" s="7">
        <v>132.62</v>
      </c>
      <c r="Q644" s="7">
        <v>0.1</v>
      </c>
      <c r="R644" s="5">
        <f>P644*E644/G644^3</f>
        <v>0.27288065843621401</v>
      </c>
      <c r="S644" s="18">
        <f>Q644*E644/G644^3</f>
        <v>2.0576131687242801E-4</v>
      </c>
    </row>
    <row r="645" spans="1:19" ht="16">
      <c r="A645" s="23" t="s">
        <v>415</v>
      </c>
      <c r="B645" s="82">
        <v>221221221222</v>
      </c>
      <c r="C645" s="82"/>
      <c r="D645" s="83">
        <v>0.5</v>
      </c>
      <c r="E645" s="82">
        <v>12</v>
      </c>
      <c r="F645" s="82">
        <v>9</v>
      </c>
      <c r="G645" s="82">
        <v>18</v>
      </c>
      <c r="H645" s="24">
        <v>6.9684999999999997</v>
      </c>
      <c r="I645" s="4">
        <v>8.0000000000000004E-4</v>
      </c>
      <c r="J645" s="4">
        <v>-39.070300000000003</v>
      </c>
      <c r="K645" s="4">
        <v>6.9999999999999999E-4</v>
      </c>
      <c r="L645" s="4">
        <v>2.1999999999999999E-2</v>
      </c>
      <c r="M645" s="4">
        <v>4.0000000000000001E-3</v>
      </c>
      <c r="N645" s="4">
        <v>-5.4000000000000003E-3</v>
      </c>
      <c r="O645" s="4">
        <v>1E-4</v>
      </c>
      <c r="P645" s="4">
        <v>131.33000000000001</v>
      </c>
      <c r="Q645" s="4">
        <v>0.15</v>
      </c>
      <c r="R645" s="4">
        <f t="shared" si="15"/>
        <v>0.27022633744855967</v>
      </c>
      <c r="S645" s="22">
        <f t="shared" si="14"/>
        <v>3.0864197530864197E-4</v>
      </c>
    </row>
    <row r="646" spans="1:19" ht="16">
      <c r="A646" s="28" t="s">
        <v>415</v>
      </c>
      <c r="B646" s="84">
        <v>221221221222</v>
      </c>
      <c r="C646" s="84"/>
      <c r="D646" s="85">
        <v>0.75</v>
      </c>
      <c r="E646" s="82">
        <v>12</v>
      </c>
      <c r="F646" s="82">
        <v>9</v>
      </c>
      <c r="G646" s="82">
        <v>18</v>
      </c>
      <c r="H646" s="30">
        <v>7.2001999999999997</v>
      </c>
      <c r="I646" s="4">
        <v>1E-3</v>
      </c>
      <c r="J646" s="29">
        <v>-40.4238</v>
      </c>
      <c r="K646" s="4">
        <v>2.8999999999999998E-3</v>
      </c>
      <c r="L646" s="4">
        <v>0.02</v>
      </c>
      <c r="M646" s="4">
        <v>6.0000000000000001E-3</v>
      </c>
      <c r="N646" s="4">
        <v>-5.4999999999999997E-3</v>
      </c>
      <c r="O646" s="4">
        <v>2.0000000000000001E-4</v>
      </c>
      <c r="P646" s="4">
        <v>129.34</v>
      </c>
      <c r="Q646" s="4">
        <v>0.28000000000000003</v>
      </c>
      <c r="R646" s="29">
        <f t="shared" si="15"/>
        <v>0.26613168724279834</v>
      </c>
      <c r="S646" s="22">
        <f t="shared" si="14"/>
        <v>5.7613168724279839E-4</v>
      </c>
    </row>
    <row r="647" spans="1:19" ht="16">
      <c r="A647" s="33" t="s">
        <v>415</v>
      </c>
      <c r="B647" s="97">
        <v>221221221222</v>
      </c>
      <c r="C647" s="97"/>
      <c r="D647" s="98">
        <v>1</v>
      </c>
      <c r="E647" s="82">
        <v>12</v>
      </c>
      <c r="F647" s="82">
        <v>9</v>
      </c>
      <c r="G647" s="82">
        <v>18</v>
      </c>
      <c r="H647" s="38">
        <v>7.4287999999999998</v>
      </c>
      <c r="I647" s="39">
        <v>8.9999999999999998E-4</v>
      </c>
      <c r="J647" s="38">
        <v>-41.866100000000003</v>
      </c>
      <c r="K647" s="39">
        <v>2E-3</v>
      </c>
      <c r="L647" s="39">
        <v>1.9E-2</v>
      </c>
      <c r="M647" s="39">
        <v>3.0000000000000001E-3</v>
      </c>
      <c r="N647" s="39">
        <v>-5.7999999999999996E-3</v>
      </c>
      <c r="O647" s="39">
        <v>2.0000000000000001E-4</v>
      </c>
      <c r="P647" s="39">
        <v>126.59</v>
      </c>
      <c r="Q647" s="39">
        <v>0.15</v>
      </c>
      <c r="R647" s="34">
        <f t="shared" si="15"/>
        <v>0.26047325102880658</v>
      </c>
      <c r="S647" s="22">
        <f t="shared" si="14"/>
        <v>3.0864197530864197E-4</v>
      </c>
    </row>
    <row r="648" spans="1:19" ht="16">
      <c r="A648" s="19" t="s">
        <v>416</v>
      </c>
      <c r="B648" s="80">
        <v>221212222122</v>
      </c>
      <c r="C648" s="80"/>
      <c r="D648" s="81">
        <v>0.25</v>
      </c>
      <c r="E648" s="82">
        <v>12</v>
      </c>
      <c r="F648" s="82">
        <v>9</v>
      </c>
      <c r="G648" s="82">
        <v>18</v>
      </c>
      <c r="H648" s="21">
        <v>6.7243000000000004</v>
      </c>
      <c r="I648" s="4">
        <v>8.9999999999999998E-4</v>
      </c>
      <c r="J648" s="20">
        <v>-37.847299999999997</v>
      </c>
      <c r="K648" s="4">
        <v>1.2999999999999999E-3</v>
      </c>
      <c r="L648" s="4">
        <v>0.03</v>
      </c>
      <c r="M648" s="4">
        <v>8.0000000000000002E-3</v>
      </c>
      <c r="N648" s="4">
        <v>-5.4999999999999997E-3</v>
      </c>
      <c r="O648" s="4">
        <v>2.0000000000000001E-4</v>
      </c>
      <c r="P648" s="4">
        <v>132.63999999999999</v>
      </c>
      <c r="Q648" s="4">
        <v>0.14000000000000001</v>
      </c>
      <c r="R648" s="20">
        <f>P648*E648/G648^3</f>
        <v>0.27292181069958843</v>
      </c>
      <c r="S648" s="22">
        <f>Q648*E648/G648^3</f>
        <v>2.8806584362139919E-4</v>
      </c>
    </row>
    <row r="649" spans="1:19" ht="16">
      <c r="A649" s="23" t="s">
        <v>416</v>
      </c>
      <c r="B649" s="82">
        <v>221212222122</v>
      </c>
      <c r="C649" s="82"/>
      <c r="D649" s="83">
        <v>0.5</v>
      </c>
      <c r="E649" s="82">
        <v>12</v>
      </c>
      <c r="F649" s="82">
        <v>9</v>
      </c>
      <c r="G649" s="82">
        <v>18</v>
      </c>
      <c r="H649" s="24">
        <v>6.9451000000000001</v>
      </c>
      <c r="I649" s="4">
        <v>8.9999999999999998E-4</v>
      </c>
      <c r="J649" s="4">
        <v>-39.159300000000002</v>
      </c>
      <c r="K649" s="4">
        <v>1.4E-3</v>
      </c>
      <c r="L649" s="4">
        <v>2.5000000000000001E-2</v>
      </c>
      <c r="M649" s="4">
        <v>5.0000000000000001E-3</v>
      </c>
      <c r="N649" s="4">
        <v>-5.4999999999999997E-3</v>
      </c>
      <c r="O649" s="4">
        <v>1E-4</v>
      </c>
      <c r="P649" s="4">
        <v>131.25</v>
      </c>
      <c r="Q649" s="4">
        <v>0.16</v>
      </c>
      <c r="R649" s="4">
        <f t="shared" si="15"/>
        <v>0.27006172839506171</v>
      </c>
      <c r="S649" s="22">
        <f t="shared" si="14"/>
        <v>3.2921810699588475E-4</v>
      </c>
    </row>
    <row r="650" spans="1:19" ht="16">
      <c r="A650" s="33" t="s">
        <v>416</v>
      </c>
      <c r="B650" s="97">
        <v>221212222122</v>
      </c>
      <c r="C650" s="97"/>
      <c r="D650" s="98">
        <v>1</v>
      </c>
      <c r="E650" s="82">
        <v>12</v>
      </c>
      <c r="F650" s="82">
        <v>9</v>
      </c>
      <c r="G650" s="82">
        <v>18</v>
      </c>
      <c r="H650" s="34">
        <v>7.3781999999999996</v>
      </c>
      <c r="I650" s="4">
        <v>4.0000000000000002E-4</v>
      </c>
      <c r="J650" s="34">
        <v>-42.084600000000002</v>
      </c>
      <c r="K650" s="4">
        <v>1.6999999999999999E-3</v>
      </c>
      <c r="L650" s="4">
        <v>3.2000000000000001E-2</v>
      </c>
      <c r="M650" s="4">
        <v>7.0000000000000001E-3</v>
      </c>
      <c r="N650" s="4">
        <v>-6.0000000000000001E-3</v>
      </c>
      <c r="O650" s="4">
        <v>2.0000000000000001E-4</v>
      </c>
      <c r="P650" s="4">
        <v>126.19</v>
      </c>
      <c r="Q650" s="4">
        <v>0.27</v>
      </c>
      <c r="R650" s="34">
        <f t="shared" si="15"/>
        <v>0.25965020576131687</v>
      </c>
      <c r="S650" s="22">
        <f t="shared" si="14"/>
        <v>5.5555555555555556E-4</v>
      </c>
    </row>
    <row r="651" spans="1:19" ht="16">
      <c r="A651" s="19" t="s">
        <v>417</v>
      </c>
      <c r="B651" s="80">
        <v>122221221222</v>
      </c>
      <c r="C651" s="80"/>
      <c r="D651" s="81">
        <v>0.25</v>
      </c>
      <c r="E651" s="82">
        <v>12</v>
      </c>
      <c r="F651" s="82">
        <v>9</v>
      </c>
      <c r="G651" s="82">
        <v>18</v>
      </c>
      <c r="H651" s="21">
        <v>6.6896000000000004</v>
      </c>
      <c r="I651" s="4">
        <v>4.0000000000000002E-4</v>
      </c>
      <c r="J651" s="20">
        <v>-37.727499999999999</v>
      </c>
      <c r="K651" s="4">
        <v>1.1000000000000001E-3</v>
      </c>
      <c r="L651" s="4">
        <v>2.9000000000000001E-2</v>
      </c>
      <c r="M651" s="4">
        <v>4.0000000000000001E-3</v>
      </c>
      <c r="N651" s="4">
        <v>-5.5999999999999999E-3</v>
      </c>
      <c r="O651" s="4">
        <v>1E-4</v>
      </c>
      <c r="P651" s="4">
        <v>132.66999999999999</v>
      </c>
      <c r="Q651" s="4">
        <v>0.16</v>
      </c>
      <c r="R651" s="20">
        <f>P651*E651/G651^3</f>
        <v>0.27298353909465017</v>
      </c>
      <c r="S651" s="22">
        <f>Q651*E651/G651^3</f>
        <v>3.2921810699588475E-4</v>
      </c>
    </row>
    <row r="652" spans="1:19" ht="16">
      <c r="A652" s="23" t="s">
        <v>417</v>
      </c>
      <c r="B652" s="82">
        <v>122221221222</v>
      </c>
      <c r="C652" s="82"/>
      <c r="D652" s="83">
        <v>0.5</v>
      </c>
      <c r="E652" s="82">
        <v>12</v>
      </c>
      <c r="F652" s="82">
        <v>9</v>
      </c>
      <c r="G652" s="82">
        <v>18</v>
      </c>
      <c r="H652" s="24">
        <v>6.8719999999999999</v>
      </c>
      <c r="I652" s="4">
        <v>6.9999999999999999E-4</v>
      </c>
      <c r="J652" s="4">
        <v>-38.938000000000002</v>
      </c>
      <c r="K652" s="4">
        <v>2.5999999999999999E-3</v>
      </c>
      <c r="L652" s="4">
        <v>3.7999999999999999E-2</v>
      </c>
      <c r="M652" s="4">
        <v>1.2999999999999999E-2</v>
      </c>
      <c r="N652" s="4">
        <v>-5.5999999999999999E-3</v>
      </c>
      <c r="O652" s="4">
        <v>2.0000000000000001E-4</v>
      </c>
      <c r="P652" s="4">
        <v>131.02000000000001</v>
      </c>
      <c r="Q652" s="4">
        <v>0.22</v>
      </c>
      <c r="R652" s="4">
        <f t="shared" si="15"/>
        <v>0.26958847736625519</v>
      </c>
      <c r="S652" s="22">
        <f t="shared" si="14"/>
        <v>4.5267489711934157E-4</v>
      </c>
    </row>
    <row r="653" spans="1:19" ht="16">
      <c r="A653" s="33" t="s">
        <v>417</v>
      </c>
      <c r="B653" s="97">
        <v>122221221222</v>
      </c>
      <c r="C653" s="97"/>
      <c r="D653" s="98">
        <v>1</v>
      </c>
      <c r="E653" s="82">
        <v>12</v>
      </c>
      <c r="F653" s="82">
        <v>9</v>
      </c>
      <c r="G653" s="82">
        <v>18</v>
      </c>
      <c r="H653" s="34">
        <v>7.2237</v>
      </c>
      <c r="I653" s="4">
        <v>6.9999999999999999E-4</v>
      </c>
      <c r="J653" s="34">
        <v>-41.710700000000003</v>
      </c>
      <c r="K653" s="4">
        <v>1E-3</v>
      </c>
      <c r="L653" s="4">
        <v>6.0999999999999999E-2</v>
      </c>
      <c r="M653" s="4">
        <v>1.2999999999999999E-2</v>
      </c>
      <c r="N653" s="4">
        <v>-6.8999999999999999E-3</v>
      </c>
      <c r="O653" s="4">
        <v>1E-4</v>
      </c>
      <c r="P653" s="4">
        <v>124.09</v>
      </c>
      <c r="Q653" s="4">
        <v>0.21</v>
      </c>
      <c r="R653" s="34">
        <f t="shared" si="15"/>
        <v>0.25532921810699588</v>
      </c>
      <c r="S653" s="22">
        <f t="shared" si="14"/>
        <v>4.3209876543209879E-4</v>
      </c>
    </row>
    <row r="654" spans="1:19" ht="16">
      <c r="A654" s="19" t="s">
        <v>418</v>
      </c>
      <c r="B654" s="80">
        <v>212122221222</v>
      </c>
      <c r="C654" s="80"/>
      <c r="D654" s="81">
        <v>0.25</v>
      </c>
      <c r="E654" s="82">
        <v>12</v>
      </c>
      <c r="F654" s="82">
        <v>9</v>
      </c>
      <c r="G654" s="82">
        <v>18</v>
      </c>
      <c r="H654" s="21">
        <v>6.7108999999999996</v>
      </c>
      <c r="I654" s="4">
        <v>8.0000000000000004E-4</v>
      </c>
      <c r="J654" s="20">
        <v>-37.895899999999997</v>
      </c>
      <c r="K654" s="4">
        <v>2E-3</v>
      </c>
      <c r="L654" s="4">
        <v>3.2000000000000001E-2</v>
      </c>
      <c r="M654" s="4">
        <v>6.0000000000000001E-3</v>
      </c>
      <c r="N654" s="4">
        <v>-5.4000000000000003E-3</v>
      </c>
      <c r="O654" s="4">
        <v>2.0000000000000001E-4</v>
      </c>
      <c r="P654" s="4">
        <v>132.71</v>
      </c>
      <c r="Q654" s="4">
        <v>0.15</v>
      </c>
      <c r="R654" s="20">
        <f>P654*E654/G654^3</f>
        <v>0.27306584362139918</v>
      </c>
      <c r="S654" s="22">
        <f>Q654*E654/G654^3</f>
        <v>3.0864197530864197E-4</v>
      </c>
    </row>
    <row r="655" spans="1:19" ht="16">
      <c r="A655" s="23" t="s">
        <v>418</v>
      </c>
      <c r="B655" s="82">
        <v>212122221222</v>
      </c>
      <c r="C655" s="82"/>
      <c r="D655" s="83">
        <v>0.5</v>
      </c>
      <c r="E655" s="82">
        <v>12</v>
      </c>
      <c r="F655" s="82">
        <v>9</v>
      </c>
      <c r="G655" s="82">
        <v>18</v>
      </c>
      <c r="H655" s="24">
        <v>6.9153000000000002</v>
      </c>
      <c r="I655" s="4">
        <v>1E-3</v>
      </c>
      <c r="J655" s="4">
        <v>-39.275799999999997</v>
      </c>
      <c r="K655" s="4">
        <v>1.4E-3</v>
      </c>
      <c r="L655" s="4">
        <v>3.1E-2</v>
      </c>
      <c r="M655" s="4">
        <v>2E-3</v>
      </c>
      <c r="N655" s="4">
        <v>-5.7999999999999996E-3</v>
      </c>
      <c r="O655" s="4">
        <v>1E-4</v>
      </c>
      <c r="P655" s="4">
        <v>130.75</v>
      </c>
      <c r="Q655" s="4">
        <v>0.1</v>
      </c>
      <c r="R655" s="4">
        <f t="shared" si="15"/>
        <v>0.2690329218106996</v>
      </c>
      <c r="S655" s="22">
        <f t="shared" si="14"/>
        <v>2.0576131687242801E-4</v>
      </c>
    </row>
    <row r="656" spans="1:19" ht="16">
      <c r="A656" s="33" t="s">
        <v>418</v>
      </c>
      <c r="B656" s="97">
        <v>212122221222</v>
      </c>
      <c r="C656" s="97"/>
      <c r="D656" s="98">
        <v>1</v>
      </c>
      <c r="E656" s="82">
        <v>12</v>
      </c>
      <c r="F656" s="82">
        <v>9</v>
      </c>
      <c r="G656" s="82">
        <v>18</v>
      </c>
      <c r="H656" s="34">
        <v>7.3033999999999999</v>
      </c>
      <c r="I656" s="4">
        <v>8.0000000000000004E-4</v>
      </c>
      <c r="J656" s="34">
        <v>-42.397799999999997</v>
      </c>
      <c r="K656" s="4">
        <v>5.9999999999999995E-4</v>
      </c>
      <c r="L656" s="4">
        <v>6.8000000000000005E-2</v>
      </c>
      <c r="M656" s="4">
        <v>1.2999999999999999E-2</v>
      </c>
      <c r="N656" s="4">
        <v>-6.7999999999999996E-3</v>
      </c>
      <c r="O656" s="4">
        <v>1E-4</v>
      </c>
      <c r="P656" s="4">
        <v>123.99</v>
      </c>
      <c r="Q656" s="4">
        <v>0.08</v>
      </c>
      <c r="R656" s="34">
        <f t="shared" si="15"/>
        <v>0.25512345679012344</v>
      </c>
      <c r="S656" s="22">
        <f t="shared" si="14"/>
        <v>1.6460905349794237E-4</v>
      </c>
    </row>
    <row r="657" spans="1:19" ht="16">
      <c r="A657" s="19" t="s">
        <v>419</v>
      </c>
      <c r="B657" s="80">
        <v>121222221222</v>
      </c>
      <c r="C657" s="80"/>
      <c r="D657" s="81">
        <v>0.25</v>
      </c>
      <c r="E657" s="82">
        <v>12</v>
      </c>
      <c r="F657" s="82">
        <v>9</v>
      </c>
      <c r="G657" s="82">
        <v>18</v>
      </c>
      <c r="H657" s="21">
        <v>6.6661000000000001</v>
      </c>
      <c r="I657" s="4">
        <v>1E-3</v>
      </c>
      <c r="J657" s="20">
        <v>-37.839399999999998</v>
      </c>
      <c r="K657" s="4">
        <v>8.9999999999999998E-4</v>
      </c>
      <c r="L657" s="4">
        <v>3.2000000000000001E-2</v>
      </c>
      <c r="M657" s="4">
        <v>2E-3</v>
      </c>
      <c r="N657" s="4">
        <v>-5.7999999999999996E-3</v>
      </c>
      <c r="O657" s="4">
        <v>2.0000000000000001E-4</v>
      </c>
      <c r="P657" s="4">
        <v>132.35</v>
      </c>
      <c r="Q657" s="4">
        <v>0.28000000000000003</v>
      </c>
      <c r="R657" s="20">
        <f>P657*E657/G657^3</f>
        <v>0.27232510288065842</v>
      </c>
      <c r="S657" s="22">
        <f>Q657*E657/G657^3</f>
        <v>5.7613168724279839E-4</v>
      </c>
    </row>
    <row r="658" spans="1:19" ht="16">
      <c r="A658" s="23" t="s">
        <v>419</v>
      </c>
      <c r="B658" s="82">
        <v>121222221222</v>
      </c>
      <c r="C658" s="82"/>
      <c r="D658" s="83">
        <v>0.5</v>
      </c>
      <c r="E658" s="82">
        <v>12</v>
      </c>
      <c r="F658" s="82">
        <v>9</v>
      </c>
      <c r="G658" s="82">
        <v>18</v>
      </c>
      <c r="H658" s="24">
        <v>6.8192000000000004</v>
      </c>
      <c r="I658" s="4">
        <v>8.9999999999999998E-4</v>
      </c>
      <c r="J658" s="4">
        <v>-39.212200000000003</v>
      </c>
      <c r="K658" s="4">
        <v>1.1999999999999999E-3</v>
      </c>
      <c r="L658" s="4">
        <v>4.9000000000000002E-2</v>
      </c>
      <c r="M658" s="4">
        <v>5.0000000000000001E-3</v>
      </c>
      <c r="N658" s="4">
        <v>-6.4999999999999997E-3</v>
      </c>
      <c r="O658" s="4">
        <v>2.9999999999999997E-4</v>
      </c>
      <c r="P658" s="4">
        <v>129.16</v>
      </c>
      <c r="Q658" s="4">
        <v>0.36</v>
      </c>
      <c r="R658" s="4">
        <f t="shared" si="15"/>
        <v>0.26576131687242799</v>
      </c>
      <c r="S658" s="22">
        <f t="shared" si="14"/>
        <v>7.4074074074074081E-4</v>
      </c>
    </row>
    <row r="659" spans="1:19" ht="16">
      <c r="A659" s="33" t="s">
        <v>419</v>
      </c>
      <c r="B659" s="97">
        <v>121222221222</v>
      </c>
      <c r="C659" s="97"/>
      <c r="D659" s="98">
        <v>1</v>
      </c>
      <c r="E659" s="82">
        <v>12</v>
      </c>
      <c r="F659" s="82">
        <v>9</v>
      </c>
      <c r="G659" s="82">
        <v>18</v>
      </c>
      <c r="H659" s="34">
        <v>7.0709</v>
      </c>
      <c r="I659" s="4">
        <v>8.0000000000000004E-4</v>
      </c>
      <c r="J659" s="34">
        <v>-42.5473</v>
      </c>
      <c r="K659" s="4">
        <v>1.6000000000000001E-3</v>
      </c>
      <c r="L659" s="4">
        <v>0.13800000000000001</v>
      </c>
      <c r="M659" s="4">
        <v>1.2E-2</v>
      </c>
      <c r="N659" s="4">
        <v>-9.7999999999999997E-3</v>
      </c>
      <c r="O659" s="4">
        <v>2.0000000000000001E-4</v>
      </c>
      <c r="P659" s="4">
        <v>115.07</v>
      </c>
      <c r="Q659" s="4">
        <v>0.25</v>
      </c>
      <c r="R659" s="34">
        <f t="shared" si="15"/>
        <v>0.23676954732510286</v>
      </c>
      <c r="S659" s="22">
        <f t="shared" si="14"/>
        <v>5.1440329218107E-4</v>
      </c>
    </row>
    <row r="660" spans="1:19" ht="16">
      <c r="A660" s="19" t="s">
        <v>420</v>
      </c>
      <c r="B660" s="80">
        <v>122221122222</v>
      </c>
      <c r="C660" s="80"/>
      <c r="D660" s="81">
        <v>0.25</v>
      </c>
      <c r="E660" s="82">
        <v>12</v>
      </c>
      <c r="F660" s="82">
        <v>9</v>
      </c>
      <c r="G660" s="82">
        <v>18</v>
      </c>
      <c r="H660" s="21">
        <v>6.6957000000000004</v>
      </c>
      <c r="I660" s="4">
        <v>1E-3</v>
      </c>
      <c r="J660" s="20">
        <v>-37.676400000000001</v>
      </c>
      <c r="K660" s="4">
        <v>5.9999999999999995E-4</v>
      </c>
      <c r="L660" s="4">
        <v>2.5999999999999999E-2</v>
      </c>
      <c r="M660" s="4">
        <v>7.0000000000000001E-3</v>
      </c>
      <c r="N660" s="4">
        <v>-5.7000000000000002E-3</v>
      </c>
      <c r="O660" s="4">
        <v>1E-4</v>
      </c>
      <c r="P660" s="4">
        <v>132.13</v>
      </c>
      <c r="Q660" s="4">
        <v>0.15</v>
      </c>
      <c r="R660" s="20">
        <f>P660*E660/G660^3</f>
        <v>0.27187242798353911</v>
      </c>
      <c r="S660" s="22">
        <f>Q660*E660/G660^3</f>
        <v>3.0864197530864197E-4</v>
      </c>
    </row>
    <row r="661" spans="1:19" ht="16">
      <c r="A661" s="23" t="s">
        <v>420</v>
      </c>
      <c r="B661" s="82">
        <v>122221122222</v>
      </c>
      <c r="C661" s="82"/>
      <c r="D661" s="83">
        <v>0.5</v>
      </c>
      <c r="E661" s="82">
        <v>12</v>
      </c>
      <c r="F661" s="82">
        <v>9</v>
      </c>
      <c r="G661" s="82">
        <v>18</v>
      </c>
      <c r="H661" s="24">
        <v>6.8815</v>
      </c>
      <c r="I661" s="4">
        <v>1E-3</v>
      </c>
      <c r="J661" s="4">
        <v>-38.8962</v>
      </c>
      <c r="K661" s="4">
        <v>1.6000000000000001E-3</v>
      </c>
      <c r="L661" s="4">
        <v>3.5000000000000003E-2</v>
      </c>
      <c r="M661" s="4">
        <v>0.01</v>
      </c>
      <c r="N661" s="4">
        <v>-6.1000000000000004E-3</v>
      </c>
      <c r="O661" s="4">
        <v>2.0000000000000001E-4</v>
      </c>
      <c r="P661" s="4">
        <v>129.27000000000001</v>
      </c>
      <c r="Q661" s="4">
        <v>0.28999999999999998</v>
      </c>
      <c r="R661" s="4">
        <f t="shared" si="15"/>
        <v>0.2659876543209877</v>
      </c>
      <c r="S661" s="22">
        <f t="shared" si="14"/>
        <v>5.9670781893004111E-4</v>
      </c>
    </row>
    <row r="662" spans="1:19" ht="16">
      <c r="A662" s="33" t="s">
        <v>420</v>
      </c>
      <c r="B662" s="97">
        <v>122221122222</v>
      </c>
      <c r="C662" s="97"/>
      <c r="D662" s="98">
        <v>1</v>
      </c>
      <c r="E662" s="82">
        <v>12</v>
      </c>
      <c r="F662" s="82">
        <v>9</v>
      </c>
      <c r="G662" s="82">
        <v>18</v>
      </c>
      <c r="H662" s="38">
        <v>7.2328000000000001</v>
      </c>
      <c r="I662" s="4">
        <v>5.9999999999999995E-4</v>
      </c>
      <c r="J662" s="34">
        <v>-41.932400000000001</v>
      </c>
      <c r="K662" s="4">
        <v>1.1000000000000001E-3</v>
      </c>
      <c r="L662" s="4">
        <v>8.4000000000000005E-2</v>
      </c>
      <c r="M662" s="4">
        <v>1.0999999999999999E-2</v>
      </c>
      <c r="N662" s="4">
        <v>-8.3999999999999995E-3</v>
      </c>
      <c r="O662" s="4">
        <v>1E-4</v>
      </c>
      <c r="P662" s="4">
        <v>117.14</v>
      </c>
      <c r="Q662" s="4">
        <v>0.13</v>
      </c>
      <c r="R662" s="34">
        <f t="shared" si="15"/>
        <v>0.24102880658436215</v>
      </c>
      <c r="S662" s="22">
        <f t="shared" si="14"/>
        <v>2.6748971193415636E-4</v>
      </c>
    </row>
    <row r="663" spans="1:19" ht="16">
      <c r="A663" s="19" t="s">
        <v>421</v>
      </c>
      <c r="B663" s="80">
        <v>121221222222</v>
      </c>
      <c r="C663" s="80"/>
      <c r="D663" s="81">
        <v>0.25</v>
      </c>
      <c r="E663" s="82">
        <v>12</v>
      </c>
      <c r="F663" s="82">
        <v>9</v>
      </c>
      <c r="G663" s="82">
        <v>18</v>
      </c>
      <c r="H663" s="21">
        <v>6.6957000000000004</v>
      </c>
      <c r="I663" s="4">
        <v>1E-3</v>
      </c>
      <c r="J663" s="20">
        <v>-37.676400000000001</v>
      </c>
      <c r="K663" s="4">
        <v>5.9999999999999995E-4</v>
      </c>
      <c r="L663" s="4">
        <v>2.5999999999999999E-2</v>
      </c>
      <c r="M663" s="4">
        <v>7.0000000000000001E-3</v>
      </c>
      <c r="N663" s="4">
        <v>-5.7000000000000002E-3</v>
      </c>
      <c r="O663" s="4">
        <v>1E-4</v>
      </c>
      <c r="P663" s="4">
        <v>132.13</v>
      </c>
      <c r="Q663" s="4">
        <v>0.15</v>
      </c>
      <c r="R663" s="20">
        <f>P663*E663/G663^3</f>
        <v>0.27187242798353911</v>
      </c>
      <c r="S663" s="22">
        <f>Q663*E663/G663^3</f>
        <v>3.0864197530864197E-4</v>
      </c>
    </row>
    <row r="664" spans="1:19" ht="16">
      <c r="A664" s="23" t="s">
        <v>421</v>
      </c>
      <c r="B664" s="82">
        <v>121221222222</v>
      </c>
      <c r="C664" s="82"/>
      <c r="D664" s="83">
        <v>0.5</v>
      </c>
      <c r="E664" s="82">
        <v>12</v>
      </c>
      <c r="F664" s="82">
        <v>9</v>
      </c>
      <c r="G664" s="82">
        <v>18</v>
      </c>
      <c r="H664" s="24">
        <v>6.8183999999999996</v>
      </c>
      <c r="I664" s="4">
        <v>8.0000000000000004E-4</v>
      </c>
      <c r="J664" s="4">
        <v>-39.372599999999998</v>
      </c>
      <c r="K664" s="4">
        <v>1.1999999999999999E-3</v>
      </c>
      <c r="L664" s="4">
        <v>7.1999999999999995E-2</v>
      </c>
      <c r="M664" s="4">
        <v>7.0000000000000001E-3</v>
      </c>
      <c r="N664" s="4">
        <v>-7.0000000000000001E-3</v>
      </c>
      <c r="O664" s="4">
        <v>2.0000000000000001E-4</v>
      </c>
      <c r="P664" s="4">
        <v>127.45</v>
      </c>
      <c r="Q664" s="4">
        <v>0.12</v>
      </c>
      <c r="R664" s="4">
        <f t="shared" si="15"/>
        <v>0.26224279835390946</v>
      </c>
      <c r="S664" s="22">
        <f t="shared" si="14"/>
        <v>2.4691358024691359E-4</v>
      </c>
    </row>
    <row r="665" spans="1:19" ht="16">
      <c r="A665" s="33" t="s">
        <v>421</v>
      </c>
      <c r="B665" s="97">
        <v>121221222222</v>
      </c>
      <c r="C665" s="97"/>
      <c r="D665" s="98">
        <v>1</v>
      </c>
      <c r="E665" s="82">
        <v>12</v>
      </c>
      <c r="F665" s="82">
        <v>9</v>
      </c>
      <c r="G665" s="82">
        <v>18</v>
      </c>
      <c r="H665" s="4">
        <v>7.0115999999999996</v>
      </c>
      <c r="I665" s="4">
        <v>8.9999999999999998E-4</v>
      </c>
      <c r="J665" s="4">
        <v>-43.191200000000002</v>
      </c>
      <c r="K665" s="4">
        <v>1E-3</v>
      </c>
      <c r="L665" s="4">
        <v>0.122</v>
      </c>
      <c r="M665" s="4">
        <v>6.0000000000000001E-3</v>
      </c>
      <c r="N665" s="4">
        <v>-1.2999999999999999E-2</v>
      </c>
      <c r="O665" s="4">
        <v>0</v>
      </c>
      <c r="P665" s="4">
        <v>102.21</v>
      </c>
      <c r="Q665" s="4">
        <v>0.09</v>
      </c>
      <c r="R665" s="34">
        <f t="shared" si="15"/>
        <v>0.21030864197530863</v>
      </c>
      <c r="S665" s="22">
        <f t="shared" si="14"/>
        <v>1.851851851851852E-4</v>
      </c>
    </row>
    <row r="666" spans="1:19" ht="16">
      <c r="A666" s="19" t="s">
        <v>422</v>
      </c>
      <c r="B666" s="80">
        <v>211212222222</v>
      </c>
      <c r="C666" s="80"/>
      <c r="D666" s="81">
        <v>0.25</v>
      </c>
      <c r="E666" s="82">
        <v>12</v>
      </c>
      <c r="F666" s="82">
        <v>9</v>
      </c>
      <c r="G666" s="82">
        <v>18</v>
      </c>
      <c r="H666" s="21">
        <v>6.6984000000000004</v>
      </c>
      <c r="I666" s="4">
        <v>8.0000000000000004E-4</v>
      </c>
      <c r="J666" s="20">
        <v>-37.996600000000001</v>
      </c>
      <c r="K666" s="4">
        <v>1.5E-3</v>
      </c>
      <c r="L666" s="4">
        <v>3.5999999999999997E-2</v>
      </c>
      <c r="M666" s="4">
        <v>1.2E-2</v>
      </c>
      <c r="N666" s="4">
        <v>-6.0000000000000001E-3</v>
      </c>
      <c r="O666" s="4">
        <v>2.9999999999999997E-4</v>
      </c>
      <c r="P666" s="4">
        <v>131.44</v>
      </c>
      <c r="Q666" s="4">
        <v>0.27</v>
      </c>
      <c r="R666" s="20">
        <f>P666*E666/G666^3</f>
        <v>0.27045267489711933</v>
      </c>
      <c r="S666" s="22">
        <f>Q666*E666/G666^3</f>
        <v>5.5555555555555556E-4</v>
      </c>
    </row>
    <row r="667" spans="1:19" ht="16">
      <c r="A667" s="23" t="s">
        <v>422</v>
      </c>
      <c r="B667" s="82">
        <v>211212222222</v>
      </c>
      <c r="C667" s="82"/>
      <c r="D667" s="83">
        <v>0.5</v>
      </c>
      <c r="E667" s="82">
        <v>12</v>
      </c>
      <c r="F667" s="82">
        <v>9</v>
      </c>
      <c r="G667" s="82">
        <v>18</v>
      </c>
      <c r="H667" s="24">
        <v>6.8720999999999997</v>
      </c>
      <c r="I667" s="4">
        <v>8.0000000000000004E-4</v>
      </c>
      <c r="J667" s="4">
        <v>-39.635199999999998</v>
      </c>
      <c r="K667" s="4">
        <v>1.1000000000000001E-3</v>
      </c>
      <c r="L667" s="4">
        <v>6.5000000000000002E-2</v>
      </c>
      <c r="M667" s="4">
        <v>1.0999999999999999E-2</v>
      </c>
      <c r="N667" s="4">
        <v>-6.8999999999999999E-3</v>
      </c>
      <c r="O667" s="4">
        <v>1E-4</v>
      </c>
      <c r="P667" s="4">
        <v>126.37</v>
      </c>
      <c r="Q667" s="4">
        <v>0.17</v>
      </c>
      <c r="R667" s="4">
        <f t="shared" si="15"/>
        <v>0.26002057613168728</v>
      </c>
      <c r="S667" s="22">
        <f t="shared" si="14"/>
        <v>3.4979423868312758E-4</v>
      </c>
    </row>
    <row r="668" spans="1:19" ht="16">
      <c r="A668" s="33" t="s">
        <v>422</v>
      </c>
      <c r="B668" s="97">
        <v>211212222222</v>
      </c>
      <c r="C668" s="97"/>
      <c r="D668" s="98">
        <v>1</v>
      </c>
      <c r="E668" s="82">
        <v>12</v>
      </c>
      <c r="F668" s="82">
        <v>9</v>
      </c>
      <c r="G668" s="82">
        <v>18</v>
      </c>
      <c r="H668" s="35">
        <v>7.1143999999999998</v>
      </c>
      <c r="I668" s="4">
        <v>2.9999999999999997E-4</v>
      </c>
      <c r="J668" s="34">
        <v>-44.027000000000001</v>
      </c>
      <c r="K668" s="4">
        <v>8.9999999999999998E-4</v>
      </c>
      <c r="L668" s="4">
        <v>8.5000000000000006E-2</v>
      </c>
      <c r="M668" s="4">
        <v>4.0000000000000001E-3</v>
      </c>
      <c r="N668" s="4">
        <v>-1.34E-2</v>
      </c>
      <c r="O668" s="4">
        <v>0</v>
      </c>
      <c r="P668" s="4">
        <v>97.33</v>
      </c>
      <c r="Q668" s="4">
        <v>0.1</v>
      </c>
      <c r="R668" s="34">
        <f t="shared" si="15"/>
        <v>0.20026748971193417</v>
      </c>
      <c r="S668" s="22">
        <f t="shared" si="14"/>
        <v>2.0576131687242801E-4</v>
      </c>
    </row>
    <row r="669" spans="1:19" ht="16">
      <c r="A669" s="19" t="s">
        <v>423</v>
      </c>
      <c r="B669" s="80">
        <v>222222222111</v>
      </c>
      <c r="C669" s="80" t="s">
        <v>17</v>
      </c>
      <c r="D669" s="81">
        <v>0.25</v>
      </c>
      <c r="E669" s="82">
        <v>12</v>
      </c>
      <c r="F669" s="82">
        <v>9</v>
      </c>
      <c r="G669" s="82">
        <v>18</v>
      </c>
      <c r="H669" s="21">
        <v>6.6208</v>
      </c>
      <c r="I669" s="4">
        <v>2.9999999999999997E-4</v>
      </c>
      <c r="J669" s="20">
        <v>-38.042999999999999</v>
      </c>
      <c r="K669" s="4">
        <v>1.9E-3</v>
      </c>
      <c r="L669" s="4">
        <v>5.3999999999999999E-2</v>
      </c>
      <c r="M669" s="4">
        <v>8.9999999999999993E-3</v>
      </c>
      <c r="N669" s="4">
        <v>-6.4000000000000003E-3</v>
      </c>
      <c r="O669" s="4">
        <v>2.9999999999999997E-4</v>
      </c>
      <c r="P669" s="4">
        <v>130.16</v>
      </c>
      <c r="Q669" s="4">
        <v>0.28000000000000003</v>
      </c>
      <c r="R669" s="20">
        <f>P669*E669/G669^3</f>
        <v>0.26781893004115226</v>
      </c>
      <c r="S669" s="22">
        <f>Q669*E669/G669^3</f>
        <v>5.7613168724279839E-4</v>
      </c>
    </row>
    <row r="670" spans="1:19" ht="16">
      <c r="A670" s="23" t="s">
        <v>423</v>
      </c>
      <c r="B670" s="82">
        <v>222222222111</v>
      </c>
      <c r="C670" s="82" t="s">
        <v>17</v>
      </c>
      <c r="D670" s="83">
        <v>0.5</v>
      </c>
      <c r="E670" s="82">
        <v>12</v>
      </c>
      <c r="F670" s="82">
        <v>9</v>
      </c>
      <c r="G670" s="82">
        <v>18</v>
      </c>
      <c r="H670" s="24">
        <v>6.6797000000000004</v>
      </c>
      <c r="I670" s="24">
        <v>5.9999999999999995E-4</v>
      </c>
      <c r="J670" s="24">
        <v>-40.058300000000003</v>
      </c>
      <c r="K670" s="24">
        <v>8.0000000000000004E-4</v>
      </c>
      <c r="L670" s="99">
        <v>0.159</v>
      </c>
      <c r="M670" s="24">
        <v>8.9999999999999993E-3</v>
      </c>
      <c r="N670" s="24">
        <v>-1.04E-2</v>
      </c>
      <c r="O670" s="24">
        <v>2.0000000000000001E-4</v>
      </c>
      <c r="P670" s="83">
        <v>116.03</v>
      </c>
      <c r="Q670" s="24">
        <v>0.3</v>
      </c>
      <c r="R670" s="4">
        <f t="shared" si="15"/>
        <v>0.2387448559670782</v>
      </c>
      <c r="S670" s="22">
        <f t="shared" si="14"/>
        <v>6.1728395061728394E-4</v>
      </c>
    </row>
    <row r="671" spans="1:19" ht="16">
      <c r="A671" s="19" t="s">
        <v>424</v>
      </c>
      <c r="B671" s="80">
        <v>222112122222</v>
      </c>
      <c r="C671" s="80"/>
      <c r="D671" s="81">
        <v>0.25</v>
      </c>
      <c r="E671" s="82">
        <v>12</v>
      </c>
      <c r="F671" s="82">
        <v>9</v>
      </c>
      <c r="G671" s="82">
        <v>18</v>
      </c>
      <c r="H671" s="21">
        <v>6.7484000000000002</v>
      </c>
      <c r="I671" s="4">
        <v>2.9999999999999997E-4</v>
      </c>
      <c r="J671" s="20">
        <v>-37.807000000000002</v>
      </c>
      <c r="K671" s="4">
        <v>2.9999999999999997E-4</v>
      </c>
      <c r="L671" s="4">
        <v>2.7E-2</v>
      </c>
      <c r="M671" s="4">
        <v>3.0000000000000001E-3</v>
      </c>
      <c r="N671" s="4">
        <v>-5.4000000000000003E-3</v>
      </c>
      <c r="O671" s="4">
        <v>1E-4</v>
      </c>
      <c r="P671" s="4">
        <v>132.15</v>
      </c>
      <c r="Q671" s="4">
        <v>7.0000000000000007E-2</v>
      </c>
      <c r="R671" s="20">
        <f>P671*E671/G671^3</f>
        <v>0.27191358024691359</v>
      </c>
      <c r="S671" s="22">
        <f>Q671*E671/G671^3</f>
        <v>1.440329218106996E-4</v>
      </c>
    </row>
    <row r="672" spans="1:19" ht="16">
      <c r="A672" s="23" t="s">
        <v>424</v>
      </c>
      <c r="B672" s="82">
        <v>222112122222</v>
      </c>
      <c r="C672" s="82"/>
      <c r="D672" s="83">
        <v>0.5</v>
      </c>
      <c r="E672" s="82">
        <v>12</v>
      </c>
      <c r="F672" s="82">
        <v>9</v>
      </c>
      <c r="G672" s="82">
        <v>18</v>
      </c>
      <c r="H672" s="24">
        <v>6.9905999999999997</v>
      </c>
      <c r="I672" s="4">
        <v>6.9999999999999999E-4</v>
      </c>
      <c r="J672" s="4">
        <v>-39.164099999999998</v>
      </c>
      <c r="K672" s="4">
        <v>1.4E-3</v>
      </c>
      <c r="L672" s="4">
        <v>2.1999999999999999E-2</v>
      </c>
      <c r="M672" s="4">
        <v>3.0000000000000001E-3</v>
      </c>
      <c r="N672" s="4">
        <v>-5.8999999999999999E-3</v>
      </c>
      <c r="O672" s="4">
        <v>1E-4</v>
      </c>
      <c r="P672" s="4">
        <v>128.86000000000001</v>
      </c>
      <c r="Q672" s="4">
        <v>0.11</v>
      </c>
      <c r="R672" s="4">
        <f t="shared" si="15"/>
        <v>0.26514403292181071</v>
      </c>
      <c r="S672" s="22">
        <f t="shared" si="14"/>
        <v>2.2633744855967078E-4</v>
      </c>
    </row>
    <row r="673" spans="1:19" ht="16">
      <c r="A673" s="28" t="s">
        <v>424</v>
      </c>
      <c r="B673" s="84">
        <v>222112122222</v>
      </c>
      <c r="C673" s="84"/>
      <c r="D673" s="85">
        <v>0.75</v>
      </c>
      <c r="E673" s="82">
        <v>12</v>
      </c>
      <c r="F673" s="82">
        <v>9</v>
      </c>
      <c r="G673" s="82">
        <v>18</v>
      </c>
      <c r="H673" s="30">
        <v>7.2289000000000003</v>
      </c>
      <c r="I673" s="4">
        <v>8.0000000000000004E-4</v>
      </c>
      <c r="J673" s="29">
        <v>-40.7102</v>
      </c>
      <c r="K673" s="4">
        <v>5.9999999999999995E-4</v>
      </c>
      <c r="L673" s="4">
        <v>2.5999999999999999E-2</v>
      </c>
      <c r="M673" s="4">
        <v>3.0000000000000001E-3</v>
      </c>
      <c r="N673" s="4">
        <v>-6.6E-3</v>
      </c>
      <c r="O673" s="4">
        <v>0</v>
      </c>
      <c r="P673" s="4">
        <v>124.11</v>
      </c>
      <c r="Q673" s="4">
        <v>0.1</v>
      </c>
      <c r="R673" s="29">
        <f t="shared" si="15"/>
        <v>0.25537037037037036</v>
      </c>
      <c r="S673" s="22">
        <f t="shared" si="14"/>
        <v>2.0576131687242801E-4</v>
      </c>
    </row>
    <row r="674" spans="1:19" ht="16">
      <c r="A674" s="33" t="s">
        <v>424</v>
      </c>
      <c r="B674" s="97">
        <v>222112122222</v>
      </c>
      <c r="C674" s="97"/>
      <c r="D674" s="98">
        <v>1</v>
      </c>
      <c r="E674" s="82">
        <v>12</v>
      </c>
      <c r="F674" s="82">
        <v>9</v>
      </c>
      <c r="G674" s="82">
        <v>18</v>
      </c>
      <c r="H674" s="34">
        <v>7.4702000000000002</v>
      </c>
      <c r="I674" s="4">
        <v>6.9999999999999999E-4</v>
      </c>
      <c r="J674" s="34">
        <v>-42.446100000000001</v>
      </c>
      <c r="K674" s="4">
        <v>1E-3</v>
      </c>
      <c r="L674" s="4">
        <v>3.9E-2</v>
      </c>
      <c r="M674" s="4">
        <v>0.01</v>
      </c>
      <c r="N674" s="4">
        <v>-7.3000000000000001E-3</v>
      </c>
      <c r="O674" s="4">
        <v>1E-4</v>
      </c>
      <c r="P674" s="4">
        <v>118.23</v>
      </c>
      <c r="Q674" s="4">
        <v>0.15</v>
      </c>
      <c r="R674" s="34">
        <f t="shared" si="15"/>
        <v>0.2432716049382716</v>
      </c>
      <c r="S674" s="22">
        <f t="shared" si="14"/>
        <v>3.0864197530864197E-4</v>
      </c>
    </row>
    <row r="675" spans="1:19" ht="16">
      <c r="A675" s="19" t="s">
        <v>425</v>
      </c>
      <c r="B675" s="80">
        <v>112222222212</v>
      </c>
      <c r="C675" s="80"/>
      <c r="D675" s="81">
        <v>0.25</v>
      </c>
      <c r="E675" s="82">
        <v>12</v>
      </c>
      <c r="F675" s="82">
        <v>9</v>
      </c>
      <c r="G675" s="82">
        <v>18</v>
      </c>
      <c r="H675" s="21">
        <v>6.6167999999999996</v>
      </c>
      <c r="I675" s="4">
        <v>4.0000000000000002E-4</v>
      </c>
      <c r="J675" s="20">
        <v>-37.914000000000001</v>
      </c>
      <c r="K675" s="4">
        <v>1E-3</v>
      </c>
      <c r="L675" s="4">
        <v>6.5000000000000002E-2</v>
      </c>
      <c r="M675" s="4">
        <v>8.9999999999999993E-3</v>
      </c>
      <c r="N675" s="4">
        <v>-6.1000000000000004E-3</v>
      </c>
      <c r="O675" s="4">
        <v>2.0000000000000001E-4</v>
      </c>
      <c r="P675" s="4">
        <v>131.65</v>
      </c>
      <c r="Q675" s="4">
        <v>0.24</v>
      </c>
      <c r="R675" s="20">
        <f>P675*E675/G675^3</f>
        <v>0.27088477366255148</v>
      </c>
      <c r="S675" s="22">
        <f>Q675*E675/G675^3</f>
        <v>4.9382716049382717E-4</v>
      </c>
    </row>
    <row r="676" spans="1:19" ht="16">
      <c r="A676" s="23" t="s">
        <v>425</v>
      </c>
      <c r="B676" s="82">
        <v>112222222212</v>
      </c>
      <c r="C676" s="82"/>
      <c r="D676" s="83">
        <v>0.5</v>
      </c>
      <c r="E676" s="82">
        <v>12</v>
      </c>
      <c r="F676" s="82">
        <v>9</v>
      </c>
      <c r="G676" s="82">
        <v>18</v>
      </c>
      <c r="H676" s="24">
        <v>6.7058999999999997</v>
      </c>
      <c r="I676" s="4">
        <v>5.0000000000000001E-4</v>
      </c>
      <c r="J676" s="4">
        <v>-39.474800000000002</v>
      </c>
      <c r="K676" s="4">
        <v>2.3999999999999998E-3</v>
      </c>
      <c r="L676" s="4">
        <v>9.4E-2</v>
      </c>
      <c r="M676" s="4">
        <v>1.7000000000000001E-2</v>
      </c>
      <c r="N676" s="4">
        <v>-7.4999999999999997E-3</v>
      </c>
      <c r="O676" s="4">
        <v>2.9999999999999997E-4</v>
      </c>
      <c r="P676" s="4">
        <v>126.39</v>
      </c>
      <c r="Q676" s="4">
        <v>0.22</v>
      </c>
      <c r="R676" s="4">
        <f t="shared" si="15"/>
        <v>0.26006172839506175</v>
      </c>
      <c r="S676" s="22">
        <f t="shared" si="14"/>
        <v>4.5267489711934157E-4</v>
      </c>
    </row>
    <row r="677" spans="1:19" ht="16">
      <c r="A677" s="28" t="s">
        <v>425</v>
      </c>
      <c r="B677" s="84">
        <v>112222222212</v>
      </c>
      <c r="C677" s="84"/>
      <c r="D677" s="85">
        <v>0.75</v>
      </c>
      <c r="E677" s="82">
        <v>12</v>
      </c>
      <c r="F677" s="82">
        <v>9</v>
      </c>
      <c r="G677" s="82">
        <v>18</v>
      </c>
      <c r="H677" s="32">
        <v>6.7544000000000004</v>
      </c>
      <c r="I677" s="4">
        <v>4.0000000000000002E-4</v>
      </c>
      <c r="J677" s="29">
        <v>-41.405099999999997</v>
      </c>
      <c r="K677" s="4">
        <v>2E-3</v>
      </c>
      <c r="L677" s="4">
        <v>0.185</v>
      </c>
      <c r="M677" s="4">
        <v>8.0000000000000002E-3</v>
      </c>
      <c r="N677" s="4">
        <v>-1.0500000000000001E-2</v>
      </c>
      <c r="O677" s="4">
        <v>1E-4</v>
      </c>
      <c r="P677" s="4">
        <v>115.03</v>
      </c>
      <c r="Q677" s="4">
        <v>0.21</v>
      </c>
      <c r="R677" s="29">
        <f t="shared" si="15"/>
        <v>0.23668724279835393</v>
      </c>
      <c r="S677" s="22">
        <f t="shared" si="14"/>
        <v>4.3209876543209879E-4</v>
      </c>
    </row>
    <row r="678" spans="1:19" ht="16">
      <c r="A678" s="19" t="s">
        <v>426</v>
      </c>
      <c r="B678" s="80">
        <v>121222212222</v>
      </c>
      <c r="C678" s="80"/>
      <c r="D678" s="81">
        <v>0.25</v>
      </c>
      <c r="E678" s="82">
        <v>12</v>
      </c>
      <c r="F678" s="82">
        <v>9</v>
      </c>
      <c r="G678" s="82">
        <v>18</v>
      </c>
      <c r="H678" s="21">
        <v>6.6710000000000003</v>
      </c>
      <c r="I678" s="4">
        <v>4.0000000000000002E-4</v>
      </c>
      <c r="J678" s="20">
        <v>-37.834899999999998</v>
      </c>
      <c r="K678" s="4">
        <v>5.9999999999999995E-4</v>
      </c>
      <c r="L678" s="4">
        <v>3.5999999999999997E-2</v>
      </c>
      <c r="M678" s="4">
        <v>6.0000000000000001E-3</v>
      </c>
      <c r="N678" s="4">
        <v>-5.5999999999999999E-3</v>
      </c>
      <c r="O678" s="4">
        <v>2.0000000000000001E-4</v>
      </c>
      <c r="P678" s="4">
        <v>132.36000000000001</v>
      </c>
      <c r="Q678" s="4">
        <v>0.14000000000000001</v>
      </c>
      <c r="R678" s="20">
        <f>P678*E678/G678^3</f>
        <v>0.27234567901234569</v>
      </c>
      <c r="S678" s="22">
        <f>Q678*E678/G678^3</f>
        <v>2.8806584362139919E-4</v>
      </c>
    </row>
    <row r="679" spans="1:19" ht="16">
      <c r="A679" s="23" t="s">
        <v>426</v>
      </c>
      <c r="B679" s="82">
        <v>121222212222</v>
      </c>
      <c r="C679" s="82"/>
      <c r="D679" s="83">
        <v>0.5</v>
      </c>
      <c r="E679" s="82">
        <v>12</v>
      </c>
      <c r="F679" s="82">
        <v>9</v>
      </c>
      <c r="G679" s="82">
        <v>18</v>
      </c>
      <c r="H679" s="24">
        <v>6.8269000000000002</v>
      </c>
      <c r="I679" s="4">
        <v>1E-3</v>
      </c>
      <c r="J679" s="4">
        <v>-39.210299999999997</v>
      </c>
      <c r="K679" s="4">
        <v>8.9999999999999998E-4</v>
      </c>
      <c r="L679" s="4">
        <v>6.2E-2</v>
      </c>
      <c r="M679" s="4">
        <v>8.0000000000000002E-3</v>
      </c>
      <c r="N679" s="4">
        <v>-6.6E-3</v>
      </c>
      <c r="O679" s="4">
        <v>2.0000000000000001E-4</v>
      </c>
      <c r="P679" s="4">
        <v>128.94999999999999</v>
      </c>
      <c r="Q679" s="4">
        <v>0.16</v>
      </c>
      <c r="R679" s="4">
        <f t="shared" si="15"/>
        <v>0.26532921810699583</v>
      </c>
      <c r="S679" s="22">
        <f t="shared" si="14"/>
        <v>3.2921810699588475E-4</v>
      </c>
    </row>
    <row r="680" spans="1:19" ht="16">
      <c r="A680" s="28" t="s">
        <v>426</v>
      </c>
      <c r="B680" s="84">
        <v>121222212222</v>
      </c>
      <c r="C680" s="84"/>
      <c r="D680" s="85">
        <v>0.75</v>
      </c>
      <c r="E680" s="82">
        <v>12</v>
      </c>
      <c r="F680" s="82">
        <v>9</v>
      </c>
      <c r="G680" s="82">
        <v>18</v>
      </c>
      <c r="H680" s="30">
        <v>6.9657999999999998</v>
      </c>
      <c r="I680" s="4">
        <v>5.0000000000000001E-4</v>
      </c>
      <c r="J680" s="29">
        <v>-40.777200000000001</v>
      </c>
      <c r="K680" s="4">
        <v>1.1999999999999999E-3</v>
      </c>
      <c r="L680" s="4">
        <v>9.4E-2</v>
      </c>
      <c r="M680" s="4">
        <v>0.01</v>
      </c>
      <c r="N680" s="4">
        <v>-7.7999999999999996E-3</v>
      </c>
      <c r="O680" s="4">
        <v>2.0000000000000001E-4</v>
      </c>
      <c r="P680" s="4">
        <v>123.19</v>
      </c>
      <c r="Q680" s="4">
        <v>0.2</v>
      </c>
      <c r="R680" s="29">
        <f t="shared" si="15"/>
        <v>0.25347736625514405</v>
      </c>
      <c r="S680" s="22">
        <f t="shared" si="14"/>
        <v>4.1152263374485601E-4</v>
      </c>
    </row>
    <row r="681" spans="1:19" ht="16">
      <c r="A681" s="19" t="s">
        <v>427</v>
      </c>
      <c r="B681" s="80">
        <v>122211222222</v>
      </c>
      <c r="C681" s="80"/>
      <c r="D681" s="81">
        <v>0.25</v>
      </c>
      <c r="E681" s="82">
        <v>12</v>
      </c>
      <c r="F681" s="82">
        <v>9</v>
      </c>
      <c r="G681" s="82">
        <v>18</v>
      </c>
      <c r="H681" s="21">
        <v>6.6905000000000001</v>
      </c>
      <c r="I681" s="4">
        <v>5.9999999999999995E-4</v>
      </c>
      <c r="J681" s="20">
        <v>-37.717199999999998</v>
      </c>
      <c r="K681" s="4">
        <v>1.6000000000000001E-3</v>
      </c>
      <c r="L681" s="4">
        <v>2.5000000000000001E-2</v>
      </c>
      <c r="M681" s="4">
        <v>4.0000000000000001E-3</v>
      </c>
      <c r="N681" s="4">
        <v>-5.5999999999999999E-3</v>
      </c>
      <c r="O681" s="4">
        <v>0</v>
      </c>
      <c r="P681" s="4">
        <v>132</v>
      </c>
      <c r="Q681" s="4">
        <v>0.1</v>
      </c>
      <c r="R681" s="20">
        <f>P681*E681/G681^3</f>
        <v>0.27160493827160492</v>
      </c>
      <c r="S681" s="22">
        <f>Q681*E681/G681^3</f>
        <v>2.0576131687242801E-4</v>
      </c>
    </row>
    <row r="682" spans="1:19" ht="16">
      <c r="A682" s="23" t="s">
        <v>427</v>
      </c>
      <c r="B682" s="82">
        <v>122211222222</v>
      </c>
      <c r="C682" s="82"/>
      <c r="D682" s="83">
        <v>0.5</v>
      </c>
      <c r="E682" s="82">
        <v>12</v>
      </c>
      <c r="F682" s="82">
        <v>9</v>
      </c>
      <c r="G682" s="82">
        <v>18</v>
      </c>
      <c r="H682" s="24">
        <v>6.8665000000000003</v>
      </c>
      <c r="I682" s="4">
        <v>8.9999999999999998E-4</v>
      </c>
      <c r="J682" s="4">
        <v>-39.007599999999996</v>
      </c>
      <c r="K682" s="4">
        <v>1.1000000000000001E-3</v>
      </c>
      <c r="L682" s="4">
        <v>0.04</v>
      </c>
      <c r="M682" s="4">
        <v>1.6E-2</v>
      </c>
      <c r="N682" s="4">
        <v>-6.4000000000000003E-3</v>
      </c>
      <c r="O682" s="4">
        <v>1E-4</v>
      </c>
      <c r="P682" s="4">
        <v>128.08000000000001</v>
      </c>
      <c r="Q682" s="4">
        <v>0.1</v>
      </c>
      <c r="R682" s="4">
        <f t="shared" si="15"/>
        <v>0.26353909465020575</v>
      </c>
      <c r="S682" s="22">
        <f t="shared" si="14"/>
        <v>2.0576131687242801E-4</v>
      </c>
    </row>
    <row r="683" spans="1:19" ht="16">
      <c r="A683" s="28" t="s">
        <v>427</v>
      </c>
      <c r="B683" s="84">
        <v>122211222222</v>
      </c>
      <c r="C683" s="84"/>
      <c r="D683" s="85">
        <v>0.75</v>
      </c>
      <c r="E683" s="82">
        <v>12</v>
      </c>
      <c r="F683" s="82">
        <v>9</v>
      </c>
      <c r="G683" s="82">
        <v>18</v>
      </c>
      <c r="H683" s="30">
        <v>7.0274999999999999</v>
      </c>
      <c r="I683" s="4">
        <v>1E-3</v>
      </c>
      <c r="J683" s="29">
        <v>-40.527900000000002</v>
      </c>
      <c r="K683" s="4">
        <v>1.2999999999999999E-3</v>
      </c>
      <c r="L683" s="4">
        <v>8.3000000000000004E-2</v>
      </c>
      <c r="M683" s="4">
        <v>1.6E-2</v>
      </c>
      <c r="N683" s="4">
        <v>-7.7000000000000002E-3</v>
      </c>
      <c r="O683" s="4">
        <v>1E-4</v>
      </c>
      <c r="P683" s="4">
        <v>121.95</v>
      </c>
      <c r="Q683" s="4">
        <v>0.35</v>
      </c>
      <c r="R683" s="29">
        <f t="shared" si="15"/>
        <v>0.25092592592592594</v>
      </c>
      <c r="S683" s="22">
        <f t="shared" si="14"/>
        <v>7.2016460905349787E-4</v>
      </c>
    </row>
    <row r="684" spans="1:19" ht="16">
      <c r="A684" s="19" t="s">
        <v>428</v>
      </c>
      <c r="B684" s="80">
        <v>221222121222</v>
      </c>
      <c r="C684" s="80"/>
      <c r="D684" s="81">
        <v>0.25</v>
      </c>
      <c r="E684" s="82">
        <v>12</v>
      </c>
      <c r="F684" s="82">
        <v>9</v>
      </c>
      <c r="G684" s="82">
        <v>18</v>
      </c>
      <c r="H684" s="21">
        <v>6.7370000000000001</v>
      </c>
      <c r="I684" s="4">
        <v>8.0000000000000004E-4</v>
      </c>
      <c r="J684" s="20">
        <v>-37.819499999999998</v>
      </c>
      <c r="K684" s="4">
        <v>1E-3</v>
      </c>
      <c r="L684" s="4">
        <v>2.4E-2</v>
      </c>
      <c r="M684" s="4">
        <v>5.0000000000000001E-3</v>
      </c>
      <c r="N684" s="4">
        <v>-5.4999999999999997E-3</v>
      </c>
      <c r="O684" s="4">
        <v>2.0000000000000001E-4</v>
      </c>
      <c r="P684" s="4">
        <v>132.71</v>
      </c>
      <c r="Q684" s="4">
        <v>0.2</v>
      </c>
      <c r="R684" s="20">
        <f>P684*E684/G684^3</f>
        <v>0.27306584362139918</v>
      </c>
      <c r="S684" s="22">
        <f>Q684*E684/G684^3</f>
        <v>4.1152263374485601E-4</v>
      </c>
    </row>
    <row r="685" spans="1:19" ht="16">
      <c r="A685" s="23" t="s">
        <v>428</v>
      </c>
      <c r="B685" s="82">
        <v>221222121222</v>
      </c>
      <c r="C685" s="82"/>
      <c r="D685" s="83">
        <v>0.5</v>
      </c>
      <c r="E685" s="82">
        <v>12</v>
      </c>
      <c r="F685" s="82">
        <v>9</v>
      </c>
      <c r="G685" s="82">
        <v>18</v>
      </c>
      <c r="H685" s="24">
        <v>6.97</v>
      </c>
      <c r="I685" s="4">
        <v>8.0000000000000004E-4</v>
      </c>
      <c r="J685" s="4">
        <v>-39.106499999999997</v>
      </c>
      <c r="K685" s="4">
        <v>1.6000000000000001E-3</v>
      </c>
      <c r="L685" s="4">
        <v>2.5000000000000001E-2</v>
      </c>
      <c r="M685" s="4">
        <v>1E-3</v>
      </c>
      <c r="N685" s="4">
        <v>-5.4999999999999997E-3</v>
      </c>
      <c r="O685" s="4">
        <v>1E-4</v>
      </c>
      <c r="P685" s="4">
        <v>131.16999999999999</v>
      </c>
      <c r="Q685" s="4">
        <v>0.16</v>
      </c>
      <c r="R685" s="4">
        <f t="shared" si="15"/>
        <v>0.2698971193415638</v>
      </c>
      <c r="S685" s="22">
        <f t="shared" si="14"/>
        <v>3.2921810699588475E-4</v>
      </c>
    </row>
    <row r="686" spans="1:19" ht="16">
      <c r="A686" s="28" t="s">
        <v>428</v>
      </c>
      <c r="B686" s="84">
        <v>221222121222</v>
      </c>
      <c r="C686" s="84"/>
      <c r="D686" s="85">
        <v>0.75</v>
      </c>
      <c r="E686" s="82">
        <v>12</v>
      </c>
      <c r="F686" s="82">
        <v>9</v>
      </c>
      <c r="G686" s="82">
        <v>18</v>
      </c>
      <c r="H686" s="30">
        <v>7.2012</v>
      </c>
      <c r="I686" s="4">
        <v>8.9999999999999998E-4</v>
      </c>
      <c r="J686" s="29">
        <v>-40.490299999999998</v>
      </c>
      <c r="K686" s="4">
        <v>2.2000000000000001E-3</v>
      </c>
      <c r="L686" s="4">
        <v>2.5000000000000001E-2</v>
      </c>
      <c r="M686" s="4">
        <v>6.0000000000000001E-3</v>
      </c>
      <c r="N686" s="4">
        <v>-5.5999999999999999E-3</v>
      </c>
      <c r="O686" s="4">
        <v>0</v>
      </c>
      <c r="P686" s="4">
        <v>129</v>
      </c>
      <c r="Q686" s="4">
        <v>0.03</v>
      </c>
      <c r="R686" s="29">
        <f t="shared" si="15"/>
        <v>0.26543209876543211</v>
      </c>
      <c r="S686" s="22">
        <f t="shared" si="14"/>
        <v>6.1728395061728397E-5</v>
      </c>
    </row>
    <row r="687" spans="1:19" ht="16">
      <c r="A687" s="33" t="s">
        <v>428</v>
      </c>
      <c r="B687" s="97">
        <v>221222121222</v>
      </c>
      <c r="C687" s="97"/>
      <c r="D687" s="98">
        <v>1</v>
      </c>
      <c r="E687" s="82">
        <v>12</v>
      </c>
      <c r="F687" s="82">
        <v>9</v>
      </c>
      <c r="G687" s="82">
        <v>18</v>
      </c>
      <c r="H687" s="34">
        <v>7.4298999999999999</v>
      </c>
      <c r="I687" s="4">
        <v>2.0000000000000001E-4</v>
      </c>
      <c r="J687" s="34">
        <v>-41.971200000000003</v>
      </c>
      <c r="K687" s="4">
        <v>4.0000000000000002E-4</v>
      </c>
      <c r="L687" s="4">
        <v>2.5999999999999999E-2</v>
      </c>
      <c r="M687" s="4">
        <v>5.0000000000000001E-3</v>
      </c>
      <c r="N687" s="4">
        <v>-5.8999999999999999E-3</v>
      </c>
      <c r="O687" s="4">
        <v>1E-4</v>
      </c>
      <c r="P687" s="4">
        <v>126.18</v>
      </c>
      <c r="Q687" s="4">
        <v>0.13</v>
      </c>
      <c r="R687" s="34">
        <f t="shared" si="15"/>
        <v>0.25962962962962965</v>
      </c>
      <c r="S687" s="22">
        <f t="shared" si="14"/>
        <v>2.6748971193415636E-4</v>
      </c>
    </row>
    <row r="688" spans="1:19" ht="16">
      <c r="A688" s="19" t="s">
        <v>429</v>
      </c>
      <c r="B688" s="87">
        <v>222221112222</v>
      </c>
      <c r="C688" s="87" t="s">
        <v>30</v>
      </c>
      <c r="D688" s="81">
        <v>0.25</v>
      </c>
      <c r="E688" s="82">
        <v>12</v>
      </c>
      <c r="F688" s="82">
        <v>9</v>
      </c>
      <c r="G688" s="82">
        <v>18</v>
      </c>
      <c r="H688" s="21">
        <v>6.7580999999999998</v>
      </c>
      <c r="I688" s="4">
        <v>5.0000000000000001E-4</v>
      </c>
      <c r="J688" s="20">
        <v>-37.739400000000003</v>
      </c>
      <c r="K688" s="4">
        <v>2.3E-3</v>
      </c>
      <c r="L688" s="4">
        <v>2.3E-2</v>
      </c>
      <c r="M688" s="4">
        <v>8.9999999999999993E-3</v>
      </c>
      <c r="N688" s="4">
        <v>-5.4000000000000003E-3</v>
      </c>
      <c r="O688" s="4">
        <v>2.9999999999999997E-4</v>
      </c>
      <c r="P688" s="4">
        <v>131.75</v>
      </c>
      <c r="Q688" s="4">
        <v>0.25</v>
      </c>
      <c r="R688" s="20">
        <f>P688*E688/G688^3</f>
        <v>0.27109053497942387</v>
      </c>
      <c r="S688" s="22">
        <f>Q688*E688/G688^3</f>
        <v>5.1440329218107E-4</v>
      </c>
    </row>
    <row r="689" spans="1:19" ht="16">
      <c r="A689" s="23" t="s">
        <v>429</v>
      </c>
      <c r="B689" s="90">
        <v>222221112222</v>
      </c>
      <c r="C689" s="90" t="s">
        <v>30</v>
      </c>
      <c r="D689" s="83">
        <v>0.5</v>
      </c>
      <c r="E689" s="82">
        <v>12</v>
      </c>
      <c r="F689" s="82">
        <v>9</v>
      </c>
      <c r="G689" s="82">
        <v>18</v>
      </c>
      <c r="H689" s="24">
        <v>7.0072999999999999</v>
      </c>
      <c r="I689" s="4">
        <v>5.9999999999999995E-4</v>
      </c>
      <c r="J689" s="4">
        <v>-39.088200000000001</v>
      </c>
      <c r="K689" s="4">
        <v>8.9999999999999998E-4</v>
      </c>
      <c r="L689" s="4">
        <v>2.3E-2</v>
      </c>
      <c r="M689" s="4">
        <v>3.0000000000000001E-3</v>
      </c>
      <c r="N689" s="4">
        <v>-6.1000000000000004E-3</v>
      </c>
      <c r="O689" s="4">
        <v>1E-4</v>
      </c>
      <c r="P689" s="4">
        <v>127.69</v>
      </c>
      <c r="Q689" s="4">
        <v>0.18</v>
      </c>
      <c r="R689" s="4">
        <f t="shared" si="15"/>
        <v>0.2627366255144033</v>
      </c>
      <c r="S689" s="22">
        <f t="shared" si="14"/>
        <v>3.7037037037037041E-4</v>
      </c>
    </row>
    <row r="690" spans="1:19" ht="16">
      <c r="A690" s="28" t="s">
        <v>429</v>
      </c>
      <c r="B690" s="93">
        <v>222221112222</v>
      </c>
      <c r="C690" s="93" t="s">
        <v>30</v>
      </c>
      <c r="D690" s="85">
        <v>0.75</v>
      </c>
      <c r="E690" s="82">
        <v>12</v>
      </c>
      <c r="F690" s="82">
        <v>9</v>
      </c>
      <c r="G690" s="82">
        <v>18</v>
      </c>
      <c r="H690" s="30">
        <v>7.2610000000000001</v>
      </c>
      <c r="I690" s="4">
        <v>1E-3</v>
      </c>
      <c r="J690" s="29">
        <v>-40.6858</v>
      </c>
      <c r="K690" s="4">
        <v>1.6000000000000001E-3</v>
      </c>
      <c r="L690" s="4">
        <v>2.7E-2</v>
      </c>
      <c r="M690" s="4">
        <v>4.0000000000000001E-3</v>
      </c>
      <c r="N690" s="4">
        <v>-6.7999999999999996E-3</v>
      </c>
      <c r="O690" s="4">
        <v>2.9999999999999997E-4</v>
      </c>
      <c r="P690" s="4">
        <v>121.96</v>
      </c>
      <c r="Q690" s="4">
        <v>0.23</v>
      </c>
      <c r="R690" s="29">
        <f t="shared" si="15"/>
        <v>0.25094650205761315</v>
      </c>
      <c r="S690" s="22">
        <f t="shared" si="14"/>
        <v>4.732510288065844E-4</v>
      </c>
    </row>
    <row r="691" spans="1:19" ht="16">
      <c r="A691" s="33" t="s">
        <v>429</v>
      </c>
      <c r="B691" s="100">
        <v>222221112222</v>
      </c>
      <c r="C691" s="100" t="s">
        <v>30</v>
      </c>
      <c r="D691" s="98">
        <v>1</v>
      </c>
      <c r="E691" s="82">
        <v>12</v>
      </c>
      <c r="F691" s="82">
        <v>9</v>
      </c>
      <c r="G691" s="82">
        <v>18</v>
      </c>
      <c r="H691" s="34">
        <v>7.5293000000000001</v>
      </c>
      <c r="I691" s="4">
        <v>8.9999999999999998E-4</v>
      </c>
      <c r="J691" s="34">
        <v>-42.540300000000002</v>
      </c>
      <c r="K691" s="4">
        <v>1.2999999999999999E-3</v>
      </c>
      <c r="L691" s="4">
        <v>3.9E-2</v>
      </c>
      <c r="M691" s="4">
        <v>1.0999999999999999E-2</v>
      </c>
      <c r="N691" s="4">
        <v>-7.6E-3</v>
      </c>
      <c r="O691" s="4">
        <v>1E-4</v>
      </c>
      <c r="P691" s="4">
        <v>114.92</v>
      </c>
      <c r="Q691" s="4">
        <v>0.28000000000000003</v>
      </c>
      <c r="R691" s="34">
        <f t="shared" si="15"/>
        <v>0.23646090534979422</v>
      </c>
      <c r="S691" s="22">
        <f t="shared" si="14"/>
        <v>5.7613168724279839E-4</v>
      </c>
    </row>
    <row r="692" spans="1:19" ht="16">
      <c r="A692" s="86" t="s">
        <v>430</v>
      </c>
      <c r="B692" s="87">
        <v>122222222211</v>
      </c>
      <c r="C692" s="87" t="s">
        <v>19</v>
      </c>
      <c r="D692" s="88">
        <v>0.25</v>
      </c>
      <c r="E692" s="82">
        <v>12</v>
      </c>
      <c r="F692" s="82">
        <v>9</v>
      </c>
      <c r="G692" s="82">
        <v>18</v>
      </c>
      <c r="H692" s="21">
        <v>6.5826000000000002</v>
      </c>
      <c r="I692" s="4">
        <v>1E-3</v>
      </c>
      <c r="J692" s="20">
        <v>-37.823999999999998</v>
      </c>
      <c r="K692" s="4">
        <v>1.1999999999999999E-3</v>
      </c>
      <c r="L692" s="4">
        <v>5.5E-2</v>
      </c>
      <c r="M692" s="4">
        <v>6.0000000000000001E-3</v>
      </c>
      <c r="N692" s="4">
        <v>-6.0000000000000001E-3</v>
      </c>
      <c r="O692" s="4">
        <v>0</v>
      </c>
      <c r="P692" s="4">
        <v>131.86000000000001</v>
      </c>
      <c r="Q692" s="4">
        <v>0.16</v>
      </c>
      <c r="R692" s="20">
        <f>P692*E692/G692^3</f>
        <v>0.27131687242798358</v>
      </c>
      <c r="S692" s="22">
        <f>Q692*E692/G692^3</f>
        <v>3.2921810699588475E-4</v>
      </c>
    </row>
    <row r="693" spans="1:19" ht="16">
      <c r="A693" s="89" t="s">
        <v>430</v>
      </c>
      <c r="B693" s="90">
        <v>122222222211</v>
      </c>
      <c r="C693" s="90" t="s">
        <v>19</v>
      </c>
      <c r="D693" s="91">
        <v>0.5</v>
      </c>
      <c r="E693" s="82">
        <v>12</v>
      </c>
      <c r="F693" s="82">
        <v>9</v>
      </c>
      <c r="G693" s="82">
        <v>18</v>
      </c>
      <c r="H693" s="24">
        <v>6.6254</v>
      </c>
      <c r="I693" s="4">
        <v>1E-3</v>
      </c>
      <c r="J693" s="4">
        <v>-39.361499999999999</v>
      </c>
      <c r="K693" s="4">
        <v>1.1999999999999999E-3</v>
      </c>
      <c r="L693" s="4">
        <v>0.121</v>
      </c>
      <c r="M693" s="4">
        <v>3.0000000000000001E-3</v>
      </c>
      <c r="N693" s="4">
        <v>-8.0999999999999996E-3</v>
      </c>
      <c r="O693" s="4">
        <v>2.0000000000000001E-4</v>
      </c>
      <c r="P693" s="4">
        <v>125.05</v>
      </c>
      <c r="Q693" s="4">
        <v>0.35</v>
      </c>
      <c r="R693" s="4">
        <f t="shared" si="15"/>
        <v>0.2573045267489712</v>
      </c>
      <c r="S693" s="22">
        <f t="shared" si="14"/>
        <v>7.2016460905349787E-4</v>
      </c>
    </row>
    <row r="694" spans="1:19" ht="17" thickBot="1">
      <c r="A694" s="101" t="s">
        <v>430</v>
      </c>
      <c r="B694" s="60">
        <v>122222222211</v>
      </c>
      <c r="C694" s="60" t="s">
        <v>19</v>
      </c>
      <c r="D694" s="61">
        <v>0.75</v>
      </c>
      <c r="E694" s="72">
        <v>12</v>
      </c>
      <c r="F694" s="72">
        <v>9</v>
      </c>
      <c r="G694" s="72">
        <v>18</v>
      </c>
      <c r="H694" s="11">
        <v>6.6048999999999998</v>
      </c>
      <c r="I694" s="10">
        <v>1E-3</v>
      </c>
      <c r="J694" s="9">
        <v>-41.393599999999999</v>
      </c>
      <c r="K694" s="10">
        <v>1E-3</v>
      </c>
      <c r="L694" s="10">
        <v>0.22800000000000001</v>
      </c>
      <c r="M694" s="10">
        <v>0.01</v>
      </c>
      <c r="N694" s="10">
        <v>-1.24E-2</v>
      </c>
      <c r="O694" s="10">
        <v>1E-4</v>
      </c>
      <c r="P694" s="10">
        <v>108.84</v>
      </c>
      <c r="Q694" s="10">
        <v>0.24</v>
      </c>
      <c r="R694" s="9">
        <f t="shared" si="15"/>
        <v>0.2239506172839506</v>
      </c>
      <c r="S694" s="26">
        <f t="shared" si="14"/>
        <v>4.9382716049382717E-4</v>
      </c>
    </row>
    <row r="695" spans="1:19" ht="17" thickTop="1">
      <c r="A695" s="27" t="s">
        <v>431</v>
      </c>
      <c r="B695" s="73">
        <v>222122212222</v>
      </c>
      <c r="C695" s="73"/>
      <c r="D695" s="74">
        <v>0.25</v>
      </c>
      <c r="E695" s="69">
        <v>12</v>
      </c>
      <c r="F695" s="69">
        <v>10</v>
      </c>
      <c r="G695" s="69">
        <v>18</v>
      </c>
      <c r="H695" s="12">
        <v>7.1619999999999999</v>
      </c>
      <c r="I695" s="7">
        <v>4.0000000000000002E-4</v>
      </c>
      <c r="J695" s="5">
        <v>-40.1892</v>
      </c>
      <c r="K695" s="7">
        <v>1.6999999999999999E-3</v>
      </c>
      <c r="L695" s="7">
        <v>2.8000000000000001E-2</v>
      </c>
      <c r="M695" s="7">
        <v>7.0000000000000001E-3</v>
      </c>
      <c r="N695" s="7">
        <v>-5.1000000000000004E-3</v>
      </c>
      <c r="O695" s="7">
        <v>2.9999999999999997E-4</v>
      </c>
      <c r="P695" s="7">
        <v>132.77000000000001</v>
      </c>
      <c r="Q695" s="7">
        <v>0.41</v>
      </c>
      <c r="R695" s="5">
        <f>P695*E695/G695^3</f>
        <v>0.27318930041152267</v>
      </c>
      <c r="S695" s="18">
        <f>Q695*E695/G695^3</f>
        <v>8.4362139917695475E-4</v>
      </c>
    </row>
    <row r="696" spans="1:19" ht="16">
      <c r="A696" s="23" t="s">
        <v>431</v>
      </c>
      <c r="B696" s="82">
        <v>222122212222</v>
      </c>
      <c r="C696" s="82"/>
      <c r="D696" s="83">
        <v>0.5</v>
      </c>
      <c r="E696" s="82">
        <v>12</v>
      </c>
      <c r="F696" s="82">
        <v>10</v>
      </c>
      <c r="G696" s="82">
        <v>18</v>
      </c>
      <c r="H696" s="24">
        <v>7.8216999999999999</v>
      </c>
      <c r="I696" s="4">
        <v>6.9999999999999999E-4</v>
      </c>
      <c r="J696" s="4">
        <v>-43.819400000000002</v>
      </c>
      <c r="K696" s="4">
        <v>5.0000000000000001E-4</v>
      </c>
      <c r="L696" s="4">
        <v>2.3E-2</v>
      </c>
      <c r="M696" s="4">
        <v>5.0000000000000001E-3</v>
      </c>
      <c r="N696" s="4">
        <v>-4.7999999999999996E-3</v>
      </c>
      <c r="O696" s="4">
        <v>1E-4</v>
      </c>
      <c r="P696" s="4">
        <v>131.54</v>
      </c>
      <c r="Q696" s="4">
        <v>0.12</v>
      </c>
      <c r="R696" s="4">
        <f>P696*E696/G696^3</f>
        <v>0.27065843621399177</v>
      </c>
      <c r="S696" s="22">
        <f>Q696*E696/G696^3</f>
        <v>2.4691358024691359E-4</v>
      </c>
    </row>
    <row r="697" spans="1:19" ht="16">
      <c r="A697" s="28" t="s">
        <v>431</v>
      </c>
      <c r="B697" s="84">
        <v>222122212222</v>
      </c>
      <c r="C697" s="84"/>
      <c r="D697" s="85">
        <v>0.75</v>
      </c>
      <c r="E697" s="82">
        <v>12</v>
      </c>
      <c r="F697" s="82">
        <v>10</v>
      </c>
      <c r="G697" s="82">
        <v>18</v>
      </c>
      <c r="H697" s="30">
        <v>8.4773999999999994</v>
      </c>
      <c r="I697" s="4">
        <v>8.0000000000000004E-4</v>
      </c>
      <c r="J697" s="29">
        <v>-47.514099999999999</v>
      </c>
      <c r="K697" s="4">
        <v>8.9999999999999998E-4</v>
      </c>
      <c r="L697" s="4">
        <v>2.5999999999999999E-2</v>
      </c>
      <c r="M697" s="4">
        <v>5.0000000000000001E-3</v>
      </c>
      <c r="N697" s="4">
        <v>-4.5999999999999999E-3</v>
      </c>
      <c r="O697" s="4">
        <v>2.0000000000000001E-4</v>
      </c>
      <c r="P697" s="4">
        <v>130.28</v>
      </c>
      <c r="Q697" s="4">
        <v>0.11</v>
      </c>
      <c r="R697" s="29">
        <f>P697*E697/G697^3</f>
        <v>0.26806584362139918</v>
      </c>
      <c r="S697" s="22">
        <f>Q697*E697/G697^3</f>
        <v>2.2633744855967078E-4</v>
      </c>
    </row>
    <row r="698" spans="1:19" ht="16">
      <c r="A698" s="33" t="s">
        <v>431</v>
      </c>
      <c r="B698" s="97">
        <v>222122212222</v>
      </c>
      <c r="C698" s="97"/>
      <c r="D698" s="98">
        <v>1</v>
      </c>
      <c r="E698" s="82">
        <v>12</v>
      </c>
      <c r="F698" s="82">
        <v>10</v>
      </c>
      <c r="G698" s="82">
        <v>18</v>
      </c>
      <c r="H698" s="34">
        <v>9.1327999999999996</v>
      </c>
      <c r="I698" s="4">
        <v>1E-3</v>
      </c>
      <c r="J698" s="34">
        <v>-51.260100000000001</v>
      </c>
      <c r="K698" s="4">
        <v>1.8E-3</v>
      </c>
      <c r="L698" s="4">
        <v>2.1999999999999999E-2</v>
      </c>
      <c r="M698" s="4">
        <v>4.0000000000000001E-3</v>
      </c>
      <c r="N698" s="4">
        <v>-4.5999999999999999E-3</v>
      </c>
      <c r="O698" s="4">
        <v>1E-4</v>
      </c>
      <c r="P698" s="4">
        <v>128.53</v>
      </c>
      <c r="Q698" s="4">
        <v>0.09</v>
      </c>
      <c r="R698" s="34">
        <f t="shared" ref="R698" si="16">P698*E698/G698^3</f>
        <v>0.26446502057613169</v>
      </c>
      <c r="S698" s="22">
        <f t="shared" ref="S698" si="17">Q698*E698/G698^3</f>
        <v>1.851851851851852E-4</v>
      </c>
    </row>
    <row r="699" spans="1:19" ht="16">
      <c r="A699" s="19" t="s">
        <v>432</v>
      </c>
      <c r="B699" s="80">
        <v>122222212222</v>
      </c>
      <c r="C699" s="80"/>
      <c r="D699" s="81">
        <v>0.25</v>
      </c>
      <c r="E699" s="82">
        <v>12</v>
      </c>
      <c r="F699" s="82">
        <v>10</v>
      </c>
      <c r="G699" s="82">
        <v>18</v>
      </c>
      <c r="H699" s="21">
        <v>7.0972999999999997</v>
      </c>
      <c r="I699" s="4">
        <v>5.9999999999999995E-4</v>
      </c>
      <c r="J699" s="20">
        <v>-40.153399999999998</v>
      </c>
      <c r="K699" s="4">
        <v>1.2999999999999999E-3</v>
      </c>
      <c r="L699" s="4">
        <v>3.1E-2</v>
      </c>
      <c r="M699" s="4">
        <v>4.0000000000000001E-3</v>
      </c>
      <c r="N699" s="4">
        <v>-5.3E-3</v>
      </c>
      <c r="O699" s="4">
        <v>2.0000000000000001E-4</v>
      </c>
      <c r="P699" s="4">
        <v>132.61000000000001</v>
      </c>
      <c r="Q699" s="4">
        <v>0.18</v>
      </c>
      <c r="R699" s="20">
        <f>P699*E699/G699^3</f>
        <v>0.2728600823045268</v>
      </c>
      <c r="S699" s="22">
        <f>Q699*E699/G699^3</f>
        <v>3.7037037037037041E-4</v>
      </c>
    </row>
    <row r="700" spans="1:19" ht="16">
      <c r="A700" s="23" t="s">
        <v>432</v>
      </c>
      <c r="B700" s="82">
        <v>122222212222</v>
      </c>
      <c r="C700" s="82"/>
      <c r="D700" s="83">
        <v>0.5</v>
      </c>
      <c r="E700" s="82">
        <v>12</v>
      </c>
      <c r="F700" s="82">
        <v>10</v>
      </c>
      <c r="G700" s="82">
        <v>18</v>
      </c>
      <c r="H700" s="24">
        <v>7.6872999999999996</v>
      </c>
      <c r="I700" s="4">
        <v>8.0000000000000004E-4</v>
      </c>
      <c r="J700" s="4">
        <v>-43.777099999999997</v>
      </c>
      <c r="K700" s="4">
        <v>2.5999999999999999E-3</v>
      </c>
      <c r="L700" s="4">
        <v>0.03</v>
      </c>
      <c r="M700" s="4">
        <v>8.9999999999999993E-3</v>
      </c>
      <c r="N700" s="4">
        <v>-5.1000000000000004E-3</v>
      </c>
      <c r="O700" s="4">
        <v>1E-4</v>
      </c>
      <c r="P700" s="4">
        <v>131.16</v>
      </c>
      <c r="Q700" s="4">
        <v>0.19</v>
      </c>
      <c r="R700" s="4">
        <f t="shared" si="15"/>
        <v>0.26987654320987653</v>
      </c>
      <c r="S700" s="22">
        <f t="shared" si="14"/>
        <v>3.9094650205761324E-4</v>
      </c>
    </row>
    <row r="701" spans="1:19" ht="16">
      <c r="A701" s="28" t="s">
        <v>432</v>
      </c>
      <c r="B701" s="84">
        <v>122222212222</v>
      </c>
      <c r="C701" s="84"/>
      <c r="D701" s="85">
        <v>0.75</v>
      </c>
      <c r="E701" s="82">
        <v>12</v>
      </c>
      <c r="F701" s="82">
        <v>10</v>
      </c>
      <c r="G701" s="82">
        <v>18</v>
      </c>
      <c r="H701" s="30">
        <v>8.2692999999999994</v>
      </c>
      <c r="I701" s="4">
        <v>1E-3</v>
      </c>
      <c r="J701" s="29">
        <v>-47.497700000000002</v>
      </c>
      <c r="K701" s="4">
        <v>2.8999999999999998E-3</v>
      </c>
      <c r="L701" s="4">
        <v>6.3E-2</v>
      </c>
      <c r="M701" s="4">
        <v>8.0000000000000002E-3</v>
      </c>
      <c r="N701" s="4">
        <v>-5.4999999999999997E-3</v>
      </c>
      <c r="O701" s="4">
        <v>2.0000000000000001E-4</v>
      </c>
      <c r="P701" s="4">
        <v>128.54</v>
      </c>
      <c r="Q701" s="4">
        <v>0.35</v>
      </c>
      <c r="R701" s="29">
        <f>P701*E701/G701^3</f>
        <v>0.26448559670781896</v>
      </c>
      <c r="S701" s="22">
        <f>Q701*E701/G701^3</f>
        <v>7.2016460905349787E-4</v>
      </c>
    </row>
    <row r="702" spans="1:19" ht="16">
      <c r="A702" s="33" t="s">
        <v>432</v>
      </c>
      <c r="B702" s="97">
        <v>122222212222</v>
      </c>
      <c r="C702" s="97"/>
      <c r="D702" s="98">
        <v>1</v>
      </c>
      <c r="E702" s="82">
        <v>12</v>
      </c>
      <c r="F702" s="82">
        <v>10</v>
      </c>
      <c r="G702" s="82">
        <v>18</v>
      </c>
      <c r="H702" s="34">
        <v>8.8460000000000001</v>
      </c>
      <c r="I702" s="4">
        <v>8.0000000000000004E-4</v>
      </c>
      <c r="J702" s="34">
        <v>-51.300600000000003</v>
      </c>
      <c r="K702" s="4">
        <v>1.8E-3</v>
      </c>
      <c r="L702" s="4">
        <v>7.5999999999999998E-2</v>
      </c>
      <c r="M702" s="4">
        <v>7.0000000000000001E-3</v>
      </c>
      <c r="N702" s="4">
        <v>-5.7000000000000002E-3</v>
      </c>
      <c r="O702" s="4">
        <v>2.0000000000000001E-4</v>
      </c>
      <c r="P702" s="4">
        <v>125.49</v>
      </c>
      <c r="Q702" s="4">
        <v>0.21</v>
      </c>
      <c r="R702" s="29"/>
      <c r="S702" s="22"/>
    </row>
    <row r="703" spans="1:19" ht="16">
      <c r="A703" s="19" t="s">
        <v>433</v>
      </c>
      <c r="B703" s="80">
        <v>222222222211</v>
      </c>
      <c r="C703" s="80" t="s">
        <v>17</v>
      </c>
      <c r="D703" s="81">
        <v>0.25</v>
      </c>
      <c r="E703" s="82">
        <v>12</v>
      </c>
      <c r="F703" s="82">
        <v>10</v>
      </c>
      <c r="G703" s="82">
        <v>18</v>
      </c>
      <c r="H703" s="21">
        <v>7.0467000000000004</v>
      </c>
      <c r="I703" s="4">
        <v>5.9999999999999995E-4</v>
      </c>
      <c r="J703" s="20">
        <v>-40.325099999999999</v>
      </c>
      <c r="K703" s="4">
        <v>1E-3</v>
      </c>
      <c r="L703" s="4">
        <v>4.5999999999999999E-2</v>
      </c>
      <c r="M703" s="4">
        <v>8.0000000000000002E-3</v>
      </c>
      <c r="N703" s="4">
        <v>-5.8999999999999999E-3</v>
      </c>
      <c r="O703" s="4">
        <v>2.0000000000000001E-4</v>
      </c>
      <c r="P703" s="4">
        <v>131.21</v>
      </c>
      <c r="Q703" s="4">
        <v>0.24</v>
      </c>
      <c r="R703" s="20">
        <f>P703*E703/G703^3</f>
        <v>0.26997942386831275</v>
      </c>
      <c r="S703" s="22">
        <f>Q703*E703/G703^3</f>
        <v>4.9382716049382717E-4</v>
      </c>
    </row>
    <row r="704" spans="1:19" ht="16">
      <c r="A704" s="23" t="s">
        <v>433</v>
      </c>
      <c r="B704" s="82">
        <v>222222222211</v>
      </c>
      <c r="C704" s="82" t="s">
        <v>17</v>
      </c>
      <c r="D704" s="83">
        <v>0.5</v>
      </c>
      <c r="E704" s="82">
        <v>12</v>
      </c>
      <c r="F704" s="82">
        <v>10</v>
      </c>
      <c r="G704" s="82">
        <v>18</v>
      </c>
      <c r="H704" s="24">
        <v>7.5551000000000004</v>
      </c>
      <c r="I704" s="4">
        <v>5.9999999999999995E-4</v>
      </c>
      <c r="J704" s="4">
        <v>-44.3247</v>
      </c>
      <c r="K704" s="4">
        <v>1.8E-3</v>
      </c>
      <c r="L704" s="4">
        <v>0.111</v>
      </c>
      <c r="M704" s="4">
        <v>1.4E-2</v>
      </c>
      <c r="N704" s="4">
        <v>-7.3000000000000001E-3</v>
      </c>
      <c r="O704" s="4">
        <v>2.0000000000000001E-4</v>
      </c>
      <c r="P704" s="4">
        <v>124.65</v>
      </c>
      <c r="Q704" s="4">
        <v>0.33</v>
      </c>
      <c r="R704" s="4">
        <f t="shared" si="15"/>
        <v>0.25648148148148153</v>
      </c>
      <c r="S704" s="22">
        <f t="shared" si="14"/>
        <v>6.7901234567901232E-4</v>
      </c>
    </row>
    <row r="705" spans="1:19" ht="16">
      <c r="A705" s="19" t="s">
        <v>434</v>
      </c>
      <c r="B705" s="80">
        <v>121222222222</v>
      </c>
      <c r="C705" s="80"/>
      <c r="D705" s="81">
        <v>0.25</v>
      </c>
      <c r="E705" s="82">
        <v>12</v>
      </c>
      <c r="F705" s="82">
        <v>10</v>
      </c>
      <c r="G705" s="82">
        <v>18</v>
      </c>
      <c r="H705" s="21">
        <v>7.0705999999999998</v>
      </c>
      <c r="I705" s="4">
        <v>5.9999999999999995E-4</v>
      </c>
      <c r="J705" s="20">
        <v>-40.335299999999997</v>
      </c>
      <c r="K705" s="4">
        <v>1.6999999999999999E-3</v>
      </c>
      <c r="L705" s="4">
        <v>3.5999999999999997E-2</v>
      </c>
      <c r="M705" s="4">
        <v>6.0000000000000001E-3</v>
      </c>
      <c r="N705" s="4">
        <v>-5.5999999999999999E-3</v>
      </c>
      <c r="O705" s="4">
        <v>1E-4</v>
      </c>
      <c r="P705" s="4">
        <v>131.76</v>
      </c>
      <c r="Q705" s="4">
        <v>0.05</v>
      </c>
      <c r="R705" s="20">
        <f>P705*E705/G705^3</f>
        <v>0.27111111111111108</v>
      </c>
      <c r="S705" s="22">
        <f t="shared" si="14"/>
        <v>1.02880658436214E-4</v>
      </c>
    </row>
    <row r="706" spans="1:19" ht="16">
      <c r="A706" s="23" t="s">
        <v>434</v>
      </c>
      <c r="B706" s="82">
        <v>121222222222</v>
      </c>
      <c r="C706" s="82"/>
      <c r="D706" s="83">
        <v>0.5</v>
      </c>
      <c r="E706" s="82">
        <v>12</v>
      </c>
      <c r="F706" s="82">
        <v>10</v>
      </c>
      <c r="G706" s="82">
        <v>18</v>
      </c>
      <c r="H706" s="24">
        <v>7.6134000000000004</v>
      </c>
      <c r="I706" s="4">
        <v>5.9999999999999995E-4</v>
      </c>
      <c r="J706" s="4">
        <v>-44.251300000000001</v>
      </c>
      <c r="K706" s="4">
        <v>1E-4</v>
      </c>
      <c r="L706" s="4">
        <v>0.08</v>
      </c>
      <c r="M706" s="4">
        <v>8.0000000000000002E-3</v>
      </c>
      <c r="N706" s="4">
        <v>-6.4000000000000003E-3</v>
      </c>
      <c r="O706" s="4">
        <v>1E-4</v>
      </c>
      <c r="P706" s="4">
        <v>127.4</v>
      </c>
      <c r="Q706" s="4">
        <v>0.11</v>
      </c>
      <c r="R706" s="4">
        <f t="shared" si="15"/>
        <v>0.26213991769547329</v>
      </c>
      <c r="S706" s="22">
        <f t="shared" si="14"/>
        <v>2.2633744855967078E-4</v>
      </c>
    </row>
    <row r="707" spans="1:19" ht="16">
      <c r="A707" s="28" t="s">
        <v>434</v>
      </c>
      <c r="B707" s="84">
        <v>121222222222</v>
      </c>
      <c r="C707" s="84"/>
      <c r="D707" s="85">
        <v>0.75</v>
      </c>
      <c r="E707" s="82">
        <v>12</v>
      </c>
      <c r="F707" s="82">
        <v>10</v>
      </c>
      <c r="G707" s="82">
        <v>18</v>
      </c>
      <c r="H707" s="30">
        <v>8.1310000000000002</v>
      </c>
      <c r="I707" s="4">
        <v>8.9999999999999998E-4</v>
      </c>
      <c r="J707" s="29">
        <v>-48.385599999999997</v>
      </c>
      <c r="K707" s="4">
        <v>2.2000000000000001E-3</v>
      </c>
      <c r="L707" s="4">
        <v>0.125</v>
      </c>
      <c r="M707" s="4">
        <v>8.0000000000000002E-3</v>
      </c>
      <c r="N707" s="4">
        <v>-7.7999999999999996E-3</v>
      </c>
      <c r="O707" s="4">
        <v>1E-4</v>
      </c>
      <c r="P707" s="4">
        <v>119.84</v>
      </c>
      <c r="Q707" s="4">
        <v>0.16</v>
      </c>
      <c r="R707" s="29">
        <f>P707*E707/G707^3</f>
        <v>0.24658436213991769</v>
      </c>
      <c r="S707" s="22">
        <f t="shared" si="14"/>
        <v>3.2921810699588475E-4</v>
      </c>
    </row>
    <row r="708" spans="1:19" ht="16">
      <c r="A708" s="19" t="s">
        <v>435</v>
      </c>
      <c r="B708" s="80">
        <v>222121222222</v>
      </c>
      <c r="C708" s="80"/>
      <c r="D708" s="81">
        <v>0.25</v>
      </c>
      <c r="E708" s="82">
        <v>12</v>
      </c>
      <c r="F708" s="82">
        <v>10</v>
      </c>
      <c r="G708" s="82">
        <v>18</v>
      </c>
      <c r="H708" s="21">
        <v>7.1632999999999996</v>
      </c>
      <c r="I708" s="4">
        <v>6.9999999999999999E-4</v>
      </c>
      <c r="J708" s="20">
        <v>-40.254600000000003</v>
      </c>
      <c r="K708" s="4">
        <v>4.0000000000000002E-4</v>
      </c>
      <c r="L708" s="4">
        <v>2.5000000000000001E-2</v>
      </c>
      <c r="M708" s="4">
        <v>2.9000000000000001E-2</v>
      </c>
      <c r="N708" s="4">
        <v>-5.1999999999999998E-3</v>
      </c>
      <c r="O708" s="4">
        <v>2.0000000000000001E-4</v>
      </c>
      <c r="P708" s="4">
        <v>132.4</v>
      </c>
      <c r="Q708" s="4">
        <v>0.18</v>
      </c>
      <c r="R708" s="20">
        <f>P708*E708/G708^3</f>
        <v>0.2724279835390947</v>
      </c>
      <c r="S708" s="22">
        <f t="shared" si="14"/>
        <v>3.7037037037037041E-4</v>
      </c>
    </row>
    <row r="709" spans="1:19" ht="16">
      <c r="A709" s="23" t="s">
        <v>435</v>
      </c>
      <c r="B709" s="82">
        <v>222121222222</v>
      </c>
      <c r="C709" s="82"/>
      <c r="D709" s="83">
        <v>0.5</v>
      </c>
      <c r="E709" s="82">
        <v>12</v>
      </c>
      <c r="F709" s="82">
        <v>10</v>
      </c>
      <c r="G709" s="82">
        <v>18</v>
      </c>
      <c r="H709" s="24">
        <v>7.8234000000000004</v>
      </c>
      <c r="I709" s="4">
        <v>5.9999999999999995E-4</v>
      </c>
      <c r="J709" s="4">
        <v>-43.983400000000003</v>
      </c>
      <c r="K709" s="4">
        <v>1.8E-3</v>
      </c>
      <c r="L709" s="4">
        <v>3.9E-2</v>
      </c>
      <c r="M709" s="4">
        <v>6.0000000000000001E-3</v>
      </c>
      <c r="N709" s="4">
        <v>-5.0000000000000001E-3</v>
      </c>
      <c r="O709" s="4">
        <v>1E-4</v>
      </c>
      <c r="P709" s="4">
        <v>130.68</v>
      </c>
      <c r="Q709" s="4">
        <v>0.12</v>
      </c>
      <c r="R709" s="4">
        <f t="shared" si="15"/>
        <v>0.2688888888888889</v>
      </c>
      <c r="S709" s="22">
        <f t="shared" si="14"/>
        <v>2.4691358024691359E-4</v>
      </c>
    </row>
    <row r="710" spans="1:19" ht="16">
      <c r="A710" s="28" t="s">
        <v>435</v>
      </c>
      <c r="B710" s="84">
        <v>222121222222</v>
      </c>
      <c r="C710" s="84"/>
      <c r="D710" s="85">
        <v>0.75</v>
      </c>
      <c r="E710" s="82">
        <v>12</v>
      </c>
      <c r="F710" s="82">
        <v>10</v>
      </c>
      <c r="G710" s="82">
        <v>18</v>
      </c>
      <c r="H710" s="30">
        <v>8.4733999999999998</v>
      </c>
      <c r="I710" s="4">
        <v>5.0000000000000001E-4</v>
      </c>
      <c r="J710" s="29">
        <v>-47.806699999999999</v>
      </c>
      <c r="K710" s="4">
        <v>2.0000000000000001E-4</v>
      </c>
      <c r="L710" s="4">
        <v>2.9000000000000001E-2</v>
      </c>
      <c r="M710" s="4">
        <v>2E-3</v>
      </c>
      <c r="N710" s="4">
        <v>-4.7999999999999996E-3</v>
      </c>
      <c r="O710" s="4">
        <v>1E-4</v>
      </c>
      <c r="P710" s="4">
        <v>128.51</v>
      </c>
      <c r="Q710" s="4">
        <v>0.06</v>
      </c>
      <c r="R710" s="29">
        <f>P710*E710/G710^3</f>
        <v>0.26442386831275716</v>
      </c>
      <c r="S710" s="22">
        <f t="shared" si="14"/>
        <v>1.2345679012345679E-4</v>
      </c>
    </row>
    <row r="711" spans="1:19" ht="16">
      <c r="A711" s="33" t="s">
        <v>435</v>
      </c>
      <c r="B711" s="97">
        <v>222121222222</v>
      </c>
      <c r="C711" s="97"/>
      <c r="D711" s="98">
        <v>1</v>
      </c>
      <c r="E711" s="82">
        <v>12</v>
      </c>
      <c r="F711" s="82">
        <v>10</v>
      </c>
      <c r="G711" s="82">
        <v>18</v>
      </c>
      <c r="H711" s="34">
        <v>9.1248000000000005</v>
      </c>
      <c r="I711" s="4">
        <v>5.0000000000000001E-4</v>
      </c>
      <c r="J711" s="34">
        <v>-51.702399999999997</v>
      </c>
      <c r="K711" s="4">
        <v>1E-3</v>
      </c>
      <c r="L711" s="4">
        <v>3.4000000000000002E-2</v>
      </c>
      <c r="M711" s="4">
        <v>7.0000000000000001E-3</v>
      </c>
      <c r="N711" s="4">
        <v>-4.8999999999999998E-3</v>
      </c>
      <c r="O711" s="4">
        <v>2.0000000000000001E-4</v>
      </c>
      <c r="P711" s="4">
        <v>125.96</v>
      </c>
      <c r="Q711" s="4">
        <v>0.22</v>
      </c>
      <c r="R711" s="34">
        <f t="shared" ref="R711" si="18">P711*E711/G711^3</f>
        <v>0.25917695473251029</v>
      </c>
      <c r="S711" s="22">
        <f t="shared" si="14"/>
        <v>4.5267489711934157E-4</v>
      </c>
    </row>
    <row r="712" spans="1:19" ht="16">
      <c r="A712" s="19" t="s">
        <v>436</v>
      </c>
      <c r="B712" s="87">
        <v>222221122222</v>
      </c>
      <c r="C712" s="87" t="s">
        <v>30</v>
      </c>
      <c r="D712" s="81">
        <v>0.25</v>
      </c>
      <c r="E712" s="82">
        <v>12</v>
      </c>
      <c r="F712" s="82">
        <v>10</v>
      </c>
      <c r="G712" s="82">
        <v>18</v>
      </c>
      <c r="H712" s="21">
        <v>7.1734</v>
      </c>
      <c r="I712" s="4">
        <v>2.0000000000000001E-4</v>
      </c>
      <c r="J712" s="20">
        <v>-40.146599999999999</v>
      </c>
      <c r="K712" s="4">
        <v>8.0000000000000004E-4</v>
      </c>
      <c r="L712" s="4">
        <v>2.1999999999999999E-2</v>
      </c>
      <c r="M712" s="4">
        <v>6.0000000000000001E-3</v>
      </c>
      <c r="N712" s="4">
        <v>-5.3E-3</v>
      </c>
      <c r="O712" s="4">
        <v>1E-4</v>
      </c>
      <c r="P712" s="4">
        <v>132.13999999999999</v>
      </c>
      <c r="Q712" s="4">
        <v>0.12</v>
      </c>
      <c r="R712" s="20">
        <f>P712*E712/G712^3</f>
        <v>0.27189300411522632</v>
      </c>
      <c r="S712" s="22">
        <f t="shared" si="14"/>
        <v>2.4691358024691359E-4</v>
      </c>
    </row>
    <row r="713" spans="1:19" ht="16">
      <c r="A713" s="23" t="s">
        <v>436</v>
      </c>
      <c r="B713" s="90">
        <v>222221122222</v>
      </c>
      <c r="C713" s="90" t="s">
        <v>30</v>
      </c>
      <c r="D713" s="83">
        <v>0.5</v>
      </c>
      <c r="E713" s="82">
        <v>12</v>
      </c>
      <c r="F713" s="82">
        <v>10</v>
      </c>
      <c r="G713" s="82">
        <v>18</v>
      </c>
      <c r="H713" s="24">
        <v>7.8392999999999997</v>
      </c>
      <c r="I713" s="4">
        <v>2.9999999999999997E-4</v>
      </c>
      <c r="J713" s="4">
        <v>-43.799500000000002</v>
      </c>
      <c r="K713" s="4">
        <v>1.6999999999999999E-3</v>
      </c>
      <c r="L713" s="4">
        <v>2.1000000000000001E-2</v>
      </c>
      <c r="M713" s="4">
        <v>4.0000000000000001E-3</v>
      </c>
      <c r="N713" s="4">
        <v>-5.0000000000000001E-3</v>
      </c>
      <c r="O713" s="4">
        <v>1E-4</v>
      </c>
      <c r="P713" s="4">
        <v>129.96</v>
      </c>
      <c r="Q713" s="4">
        <v>0.17</v>
      </c>
      <c r="R713" s="4">
        <f t="shared" si="15"/>
        <v>0.26740740740740743</v>
      </c>
      <c r="S713" s="22">
        <f t="shared" si="14"/>
        <v>3.4979423868312758E-4</v>
      </c>
    </row>
    <row r="714" spans="1:19" ht="16">
      <c r="A714" s="28" t="s">
        <v>436</v>
      </c>
      <c r="B714" s="93">
        <v>222221122222</v>
      </c>
      <c r="C714" s="93" t="s">
        <v>30</v>
      </c>
      <c r="D714" s="85">
        <v>0.75</v>
      </c>
      <c r="E714" s="82">
        <v>12</v>
      </c>
      <c r="F714" s="82">
        <v>10</v>
      </c>
      <c r="G714" s="82">
        <v>18</v>
      </c>
      <c r="H714" s="30">
        <v>8.5017999999999994</v>
      </c>
      <c r="I714" s="4">
        <v>8.0000000000000004E-4</v>
      </c>
      <c r="J714" s="29">
        <v>-47.568199999999997</v>
      </c>
      <c r="K714" s="4">
        <v>1.4E-3</v>
      </c>
      <c r="L714" s="4">
        <v>2.1999999999999999E-2</v>
      </c>
      <c r="M714" s="4">
        <v>5.0000000000000001E-3</v>
      </c>
      <c r="N714" s="4">
        <v>-5.0000000000000001E-3</v>
      </c>
      <c r="O714" s="4">
        <v>1E-4</v>
      </c>
      <c r="P714" s="4">
        <v>127.32</v>
      </c>
      <c r="Q714" s="4">
        <v>0.13</v>
      </c>
      <c r="R714" s="29">
        <f>P714*E714/G714^3</f>
        <v>0.26197530864197527</v>
      </c>
      <c r="S714" s="22">
        <f>Q714*E714/G714^3</f>
        <v>2.6748971193415636E-4</v>
      </c>
    </row>
    <row r="715" spans="1:19" ht="16">
      <c r="A715" s="33" t="s">
        <v>436</v>
      </c>
      <c r="B715" s="100">
        <v>222221122222</v>
      </c>
      <c r="C715" s="100" t="s">
        <v>30</v>
      </c>
      <c r="D715" s="98">
        <v>1</v>
      </c>
      <c r="E715" s="82">
        <v>12</v>
      </c>
      <c r="F715" s="82">
        <v>10</v>
      </c>
      <c r="G715" s="82">
        <v>18</v>
      </c>
      <c r="H715" s="34">
        <v>9.1644000000000005</v>
      </c>
      <c r="I715" s="4">
        <v>8.9999999999999998E-4</v>
      </c>
      <c r="J715" s="34">
        <v>-51.434699999999999</v>
      </c>
      <c r="K715" s="4">
        <v>1.1000000000000001E-3</v>
      </c>
      <c r="L715" s="4">
        <v>2.5000000000000001E-2</v>
      </c>
      <c r="M715" s="4">
        <v>3.0000000000000001E-3</v>
      </c>
      <c r="N715" s="4">
        <v>-5.0000000000000001E-3</v>
      </c>
      <c r="O715" s="4">
        <v>1E-4</v>
      </c>
      <c r="P715" s="4">
        <v>124.28</v>
      </c>
      <c r="Q715" s="4">
        <v>0.12</v>
      </c>
      <c r="R715" s="34">
        <f t="shared" ref="R715" si="19">P715*E715/G715^3</f>
        <v>0.2557201646090535</v>
      </c>
      <c r="S715" s="22">
        <f t="shared" ref="S715" si="20">Q715*E715/G715^3</f>
        <v>2.4691358024691359E-4</v>
      </c>
    </row>
    <row r="716" spans="1:19" ht="16">
      <c r="A716" s="86" t="s">
        <v>437</v>
      </c>
      <c r="B716" s="87">
        <v>122222222221</v>
      </c>
      <c r="C716" s="87" t="s">
        <v>19</v>
      </c>
      <c r="D716" s="88">
        <v>0.25</v>
      </c>
      <c r="E716" s="82">
        <v>12</v>
      </c>
      <c r="F716" s="82">
        <v>10</v>
      </c>
      <c r="G716" s="82">
        <v>18</v>
      </c>
      <c r="H716" s="21">
        <v>7.0209000000000001</v>
      </c>
      <c r="I716" s="4">
        <v>5.9999999999999995E-4</v>
      </c>
      <c r="J716" s="20">
        <v>-40.157600000000002</v>
      </c>
      <c r="K716" s="4">
        <v>1.4E-3</v>
      </c>
      <c r="L716" s="4">
        <v>0.04</v>
      </c>
      <c r="M716" s="4">
        <v>4.0000000000000001E-3</v>
      </c>
      <c r="N716" s="4">
        <v>-5.4999999999999997E-3</v>
      </c>
      <c r="O716" s="4">
        <v>1E-4</v>
      </c>
      <c r="P716" s="4">
        <v>132.41999999999999</v>
      </c>
      <c r="Q716" s="4">
        <v>0.18</v>
      </c>
      <c r="R716" s="20">
        <f>P716*E716/G716^3</f>
        <v>0.27246913580246912</v>
      </c>
      <c r="S716" s="22">
        <f>Q716*E716/G716^3</f>
        <v>3.7037037037037041E-4</v>
      </c>
    </row>
    <row r="717" spans="1:19" ht="16">
      <c r="A717" s="89" t="s">
        <v>437</v>
      </c>
      <c r="B717" s="90">
        <v>122222222221</v>
      </c>
      <c r="C717" s="90" t="s">
        <v>19</v>
      </c>
      <c r="D717" s="91">
        <v>0.5</v>
      </c>
      <c r="E717" s="82">
        <v>12</v>
      </c>
      <c r="F717" s="82">
        <v>10</v>
      </c>
      <c r="G717" s="82">
        <v>18</v>
      </c>
      <c r="H717" s="24">
        <v>7.5202</v>
      </c>
      <c r="I717" s="4">
        <v>1E-3</v>
      </c>
      <c r="J717" s="4">
        <v>-43.850200000000001</v>
      </c>
      <c r="K717" s="4">
        <v>1.8E-3</v>
      </c>
      <c r="L717" s="4">
        <v>8.5000000000000006E-2</v>
      </c>
      <c r="M717" s="4">
        <v>0.01</v>
      </c>
      <c r="N717" s="4">
        <v>-6.1000000000000004E-3</v>
      </c>
      <c r="O717" s="4">
        <v>2.9999999999999997E-4</v>
      </c>
      <c r="P717" s="4">
        <v>129.56</v>
      </c>
      <c r="Q717" s="4">
        <v>0.23</v>
      </c>
      <c r="R717" s="4">
        <f t="shared" si="15"/>
        <v>0.26658436213991771</v>
      </c>
      <c r="S717" s="22">
        <f t="shared" si="14"/>
        <v>4.732510288065844E-4</v>
      </c>
    </row>
    <row r="718" spans="1:19" ht="17" thickBot="1">
      <c r="A718" s="101" t="s">
        <v>437</v>
      </c>
      <c r="B718" s="60">
        <v>122222222221</v>
      </c>
      <c r="C718" s="60" t="s">
        <v>19</v>
      </c>
      <c r="D718" s="61">
        <v>0.75</v>
      </c>
      <c r="E718" s="72">
        <v>12</v>
      </c>
      <c r="F718" s="72">
        <v>10</v>
      </c>
      <c r="G718" s="72">
        <v>18</v>
      </c>
      <c r="H718" s="11">
        <v>8</v>
      </c>
      <c r="I718" s="10">
        <v>1E-3</v>
      </c>
      <c r="J718" s="9">
        <v>-47.707900000000002</v>
      </c>
      <c r="K718" s="10">
        <v>1.6999999999999999E-3</v>
      </c>
      <c r="L718" s="10">
        <v>0.14099999999999999</v>
      </c>
      <c r="M718" s="10">
        <v>1.4999999999999999E-2</v>
      </c>
      <c r="N718" s="10">
        <v>-6.7000000000000002E-3</v>
      </c>
      <c r="O718" s="10">
        <v>4.0000000000000002E-4</v>
      </c>
      <c r="P718" s="10">
        <v>125.13</v>
      </c>
      <c r="Q718" s="10">
        <v>0.5</v>
      </c>
      <c r="R718" s="9">
        <f>P718*E718/G718^3</f>
        <v>0.25746913580246911</v>
      </c>
      <c r="S718" s="26">
        <f>Q718*E718/G718^3</f>
        <v>1.02880658436214E-3</v>
      </c>
    </row>
    <row r="719" spans="1:19" ht="17" thickTop="1">
      <c r="A719" s="102" t="s">
        <v>438</v>
      </c>
      <c r="B719" s="76">
        <v>222221222222</v>
      </c>
      <c r="C719" s="66" t="s">
        <v>30</v>
      </c>
      <c r="D719" s="77">
        <v>0.25</v>
      </c>
      <c r="E719" s="69">
        <v>12</v>
      </c>
      <c r="F719" s="69">
        <v>11</v>
      </c>
      <c r="G719" s="69">
        <v>18</v>
      </c>
      <c r="H719" s="12">
        <v>7.6284999999999998</v>
      </c>
      <c r="I719" s="7">
        <v>4.0000000000000002E-4</v>
      </c>
      <c r="J719" s="5">
        <v>-42.862699999999997</v>
      </c>
      <c r="K719" s="7">
        <v>1.1000000000000001E-3</v>
      </c>
      <c r="L719" s="7">
        <v>2.7E-2</v>
      </c>
      <c r="M719" s="7">
        <v>0.01</v>
      </c>
      <c r="N719" s="7">
        <v>-5.0000000000000001E-3</v>
      </c>
      <c r="O719" s="7">
        <v>2.0000000000000001E-4</v>
      </c>
      <c r="P719" s="7">
        <v>132.58000000000001</v>
      </c>
      <c r="Q719" s="7">
        <v>0.14000000000000001</v>
      </c>
      <c r="R719" s="5">
        <f>P719*E719/G719^3</f>
        <v>0.27279835390946505</v>
      </c>
      <c r="S719" s="18">
        <f>Q719*E719/G719^3</f>
        <v>2.8806584362139919E-4</v>
      </c>
    </row>
    <row r="720" spans="1:19" ht="16">
      <c r="A720" s="23" t="s">
        <v>438</v>
      </c>
      <c r="B720" s="82">
        <v>222221222222</v>
      </c>
      <c r="C720" s="90" t="s">
        <v>30</v>
      </c>
      <c r="D720" s="83">
        <v>0.5</v>
      </c>
      <c r="E720" s="82">
        <v>12</v>
      </c>
      <c r="F720" s="82">
        <v>11</v>
      </c>
      <c r="G720" s="82">
        <v>18</v>
      </c>
      <c r="H720" s="24">
        <v>8.7538999999999998</v>
      </c>
      <c r="I720" s="4">
        <v>8.9999999999999998E-4</v>
      </c>
      <c r="J720" s="4">
        <v>-49.138399999999997</v>
      </c>
      <c r="K720" s="4">
        <v>1.5E-3</v>
      </c>
      <c r="L720" s="4">
        <v>2.1000000000000001E-2</v>
      </c>
      <c r="M720" s="4">
        <v>1E-3</v>
      </c>
      <c r="N720" s="4">
        <v>-4.3E-3</v>
      </c>
      <c r="O720" s="4">
        <v>1E-4</v>
      </c>
      <c r="P720" s="4">
        <v>132.06</v>
      </c>
      <c r="Q720" s="4">
        <v>7.0000000000000007E-2</v>
      </c>
      <c r="R720" s="4">
        <f t="shared" si="15"/>
        <v>0.27172839506172841</v>
      </c>
      <c r="S720" s="22">
        <f t="shared" si="14"/>
        <v>1.440329218106996E-4</v>
      </c>
    </row>
    <row r="721" spans="1:19" ht="16">
      <c r="A721" s="28" t="s">
        <v>438</v>
      </c>
      <c r="B721" s="84">
        <v>222221222222</v>
      </c>
      <c r="C721" s="93" t="s">
        <v>30</v>
      </c>
      <c r="D721" s="85">
        <v>0.75</v>
      </c>
      <c r="E721" s="82">
        <v>12</v>
      </c>
      <c r="F721" s="82">
        <v>11</v>
      </c>
      <c r="G721" s="82">
        <v>18</v>
      </c>
      <c r="H721" s="30">
        <v>9.8780999999999999</v>
      </c>
      <c r="I721" s="4">
        <v>8.9999999999999998E-4</v>
      </c>
      <c r="J721" s="29">
        <v>-55.448900000000002</v>
      </c>
      <c r="K721" s="4">
        <v>5.9999999999999995E-4</v>
      </c>
      <c r="L721" s="4">
        <v>1.7000000000000001E-2</v>
      </c>
      <c r="M721" s="4">
        <v>3.0000000000000001E-3</v>
      </c>
      <c r="N721" s="4">
        <v>-3.8999999999999998E-3</v>
      </c>
      <c r="O721" s="4">
        <v>1E-4</v>
      </c>
      <c r="P721" s="4">
        <v>131.22</v>
      </c>
      <c r="Q721" s="4">
        <v>0.1</v>
      </c>
      <c r="R721" s="29">
        <f t="shared" si="15"/>
        <v>0.26999999999999996</v>
      </c>
      <c r="S721" s="22">
        <f t="shared" si="14"/>
        <v>2.0576131687242801E-4</v>
      </c>
    </row>
    <row r="722" spans="1:19" ht="16">
      <c r="A722" s="33" t="s">
        <v>438</v>
      </c>
      <c r="B722" s="97">
        <v>222221222222</v>
      </c>
      <c r="C722" s="100" t="s">
        <v>30</v>
      </c>
      <c r="D722" s="98">
        <v>1</v>
      </c>
      <c r="E722" s="82">
        <v>12</v>
      </c>
      <c r="F722" s="82">
        <v>11</v>
      </c>
      <c r="G722" s="82">
        <v>18</v>
      </c>
      <c r="H722" s="34">
        <v>10.9985</v>
      </c>
      <c r="I722" s="4">
        <v>1E-3</v>
      </c>
      <c r="J722" s="34">
        <v>-61.784500000000001</v>
      </c>
      <c r="K722" s="4">
        <v>2E-3</v>
      </c>
      <c r="L722" s="4">
        <v>2.5000000000000001E-2</v>
      </c>
      <c r="M722" s="4">
        <v>7.0000000000000001E-3</v>
      </c>
      <c r="N722" s="4">
        <v>-3.5999999999999999E-3</v>
      </c>
      <c r="O722" s="4">
        <v>1E-4</v>
      </c>
      <c r="P722" s="4">
        <v>130.49</v>
      </c>
      <c r="Q722" s="4">
        <v>0.23</v>
      </c>
      <c r="R722" s="34">
        <f t="shared" si="15"/>
        <v>0.26849794238683128</v>
      </c>
      <c r="S722" s="22">
        <f t="shared" si="14"/>
        <v>4.732510288065844E-4</v>
      </c>
    </row>
    <row r="723" spans="1:19" ht="16">
      <c r="A723" s="44" t="s">
        <v>439</v>
      </c>
      <c r="B723" s="103">
        <v>222222222221</v>
      </c>
      <c r="C723" s="103" t="s">
        <v>17</v>
      </c>
      <c r="D723" s="104">
        <v>0.25</v>
      </c>
      <c r="E723" s="82">
        <v>12</v>
      </c>
      <c r="F723" s="82">
        <v>11</v>
      </c>
      <c r="G723" s="82">
        <v>18</v>
      </c>
      <c r="H723" s="31">
        <v>7.5415000000000001</v>
      </c>
      <c r="I723" s="4">
        <v>4.0000000000000002E-4</v>
      </c>
      <c r="J723" s="20">
        <v>-42.868000000000002</v>
      </c>
      <c r="K723" s="4">
        <v>8.9999999999999998E-4</v>
      </c>
      <c r="L723" s="4">
        <v>3.9E-2</v>
      </c>
      <c r="M723" s="4">
        <v>4.0000000000000001E-3</v>
      </c>
      <c r="N723" s="4">
        <v>-4.8999999999999998E-3</v>
      </c>
      <c r="O723" s="4">
        <v>1E-4</v>
      </c>
      <c r="P723" s="4">
        <v>132.71</v>
      </c>
      <c r="Q723" s="4">
        <v>7.0000000000000007E-2</v>
      </c>
      <c r="R723" s="20">
        <f>P723*E723/G723^3</f>
        <v>0.27306584362139918</v>
      </c>
      <c r="S723" s="22">
        <f>Q723*E723/G723^3</f>
        <v>1.440329218106996E-4</v>
      </c>
    </row>
    <row r="724" spans="1:19" ht="16">
      <c r="A724" s="23" t="s">
        <v>439</v>
      </c>
      <c r="B724" s="82">
        <v>222222222221</v>
      </c>
      <c r="C724" s="82" t="s">
        <v>17</v>
      </c>
      <c r="D724" s="83">
        <v>0.5</v>
      </c>
      <c r="E724" s="82">
        <v>12</v>
      </c>
      <c r="F724" s="82">
        <v>11</v>
      </c>
      <c r="G724" s="82">
        <v>18</v>
      </c>
      <c r="H724" s="24">
        <v>8.5733999999999995</v>
      </c>
      <c r="I724" s="4">
        <v>8.0000000000000004E-4</v>
      </c>
      <c r="J724" s="4">
        <v>-49.191000000000003</v>
      </c>
      <c r="K724" s="4">
        <v>6.9999999999999999E-4</v>
      </c>
      <c r="L724" s="4">
        <v>0.05</v>
      </c>
      <c r="M724" s="4">
        <v>6.0000000000000001E-3</v>
      </c>
      <c r="N724" s="4">
        <v>-4.7999999999999996E-3</v>
      </c>
      <c r="O724" s="4">
        <v>0</v>
      </c>
      <c r="P724" s="4">
        <v>131.08000000000001</v>
      </c>
      <c r="Q724" s="4">
        <v>0.09</v>
      </c>
      <c r="R724" s="4">
        <f t="shared" si="15"/>
        <v>0.26971193415637862</v>
      </c>
      <c r="S724" s="22">
        <f t="shared" si="14"/>
        <v>1.851851851851852E-4</v>
      </c>
    </row>
    <row r="725" spans="1:19" ht="16">
      <c r="A725" s="28" t="s">
        <v>439</v>
      </c>
      <c r="B725" s="84">
        <v>222222222221</v>
      </c>
      <c r="C725" s="84" t="s">
        <v>17</v>
      </c>
      <c r="D725" s="85">
        <v>0.75</v>
      </c>
      <c r="E725" s="82">
        <v>12</v>
      </c>
      <c r="F725" s="82">
        <v>11</v>
      </c>
      <c r="G725" s="82">
        <v>18</v>
      </c>
      <c r="H725" s="30">
        <v>9.5945</v>
      </c>
      <c r="I725" s="4">
        <v>1E-3</v>
      </c>
      <c r="J725" s="29">
        <v>-55.5867</v>
      </c>
      <c r="K725" s="4">
        <v>1.1000000000000001E-3</v>
      </c>
      <c r="L725" s="4">
        <v>7.4999999999999997E-2</v>
      </c>
      <c r="M725" s="4">
        <v>0.01</v>
      </c>
      <c r="N725" s="4">
        <v>-4.5999999999999999E-3</v>
      </c>
      <c r="O725" s="4">
        <v>1E-4</v>
      </c>
      <c r="P725" s="4">
        <v>129.24</v>
      </c>
      <c r="Q725" s="4">
        <v>0.15</v>
      </c>
      <c r="R725" s="29">
        <f t="shared" si="15"/>
        <v>0.26592592592592595</v>
      </c>
      <c r="S725" s="22">
        <f t="shared" si="14"/>
        <v>3.0864197530864197E-4</v>
      </c>
    </row>
    <row r="726" spans="1:19" ht="16">
      <c r="A726" s="33" t="s">
        <v>439</v>
      </c>
      <c r="B726" s="97">
        <v>222222222221</v>
      </c>
      <c r="C726" s="97" t="s">
        <v>17</v>
      </c>
      <c r="D726" s="98">
        <v>1</v>
      </c>
      <c r="E726" s="82">
        <v>12</v>
      </c>
      <c r="F726" s="82">
        <v>11</v>
      </c>
      <c r="G726" s="82">
        <v>18</v>
      </c>
      <c r="H726" s="34">
        <v>10.6106</v>
      </c>
      <c r="I726" s="4">
        <v>8.0000000000000004E-4</v>
      </c>
      <c r="J726" s="34">
        <v>-62.039400000000001</v>
      </c>
      <c r="K726" s="4">
        <v>1.5E-3</v>
      </c>
      <c r="L726" s="4">
        <v>8.6999999999999994E-2</v>
      </c>
      <c r="M726" s="4">
        <v>6.0000000000000001E-3</v>
      </c>
      <c r="N726" s="4">
        <v>-4.8999999999999998E-3</v>
      </c>
      <c r="O726" s="4">
        <v>0</v>
      </c>
      <c r="P726" s="4">
        <v>126.19</v>
      </c>
      <c r="Q726" s="4">
        <v>0.1</v>
      </c>
      <c r="R726" s="34">
        <f t="shared" si="15"/>
        <v>0.25965020576131687</v>
      </c>
      <c r="S726" s="22">
        <f t="shared" si="14"/>
        <v>2.0576131687242801E-4</v>
      </c>
    </row>
    <row r="727" spans="1:19" ht="16">
      <c r="A727" s="44" t="s">
        <v>440</v>
      </c>
      <c r="B727" s="103">
        <v>222222222212</v>
      </c>
      <c r="C727" s="103"/>
      <c r="D727" s="104">
        <v>0.25</v>
      </c>
      <c r="E727" s="82">
        <v>12</v>
      </c>
      <c r="F727" s="82">
        <v>11</v>
      </c>
      <c r="G727" s="82">
        <v>18</v>
      </c>
      <c r="H727" s="21">
        <v>7.5816999999999997</v>
      </c>
      <c r="I727" s="4">
        <v>8.9999999999999998E-4</v>
      </c>
      <c r="J727" s="20">
        <v>-42.978900000000003</v>
      </c>
      <c r="K727" s="4">
        <v>1.8E-3</v>
      </c>
      <c r="L727" s="4">
        <v>3.4000000000000002E-2</v>
      </c>
      <c r="M727" s="4">
        <v>4.0000000000000001E-3</v>
      </c>
      <c r="N727" s="4">
        <v>-4.7000000000000002E-3</v>
      </c>
      <c r="O727" s="4">
        <v>2.0000000000000001E-4</v>
      </c>
      <c r="P727" s="4">
        <v>132.88999999999999</v>
      </c>
      <c r="Q727" s="4">
        <v>0.26</v>
      </c>
      <c r="R727" s="20">
        <f>P727*E727/G727^3</f>
        <v>0.27343621399176954</v>
      </c>
      <c r="S727" s="22">
        <f>Q727*E727/G727^3</f>
        <v>5.3497942386831272E-4</v>
      </c>
    </row>
    <row r="728" spans="1:19" ht="16">
      <c r="A728" s="23" t="s">
        <v>440</v>
      </c>
      <c r="B728" s="82">
        <v>222222222212</v>
      </c>
      <c r="C728" s="82"/>
      <c r="D728" s="83">
        <v>0.5</v>
      </c>
      <c r="E728" s="82">
        <v>12</v>
      </c>
      <c r="F728" s="82">
        <v>11</v>
      </c>
      <c r="G728" s="82">
        <v>18</v>
      </c>
      <c r="H728" s="24">
        <v>8.6593</v>
      </c>
      <c r="I728" s="4">
        <v>1E-3</v>
      </c>
      <c r="J728" s="4">
        <v>-49.388399999999997</v>
      </c>
      <c r="K728" s="4">
        <v>5.9999999999999995E-4</v>
      </c>
      <c r="L728" s="4">
        <v>4.1000000000000002E-2</v>
      </c>
      <c r="M728" s="4">
        <v>7.0000000000000001E-3</v>
      </c>
      <c r="N728" s="4">
        <v>-4.4999999999999997E-3</v>
      </c>
      <c r="O728" s="4">
        <v>1E-4</v>
      </c>
      <c r="P728" s="4">
        <v>131.74</v>
      </c>
      <c r="Q728" s="4">
        <v>0.09</v>
      </c>
      <c r="R728" s="4">
        <f t="shared" si="15"/>
        <v>0.27106995884773666</v>
      </c>
      <c r="S728" s="22">
        <f t="shared" si="14"/>
        <v>1.851851851851852E-4</v>
      </c>
    </row>
    <row r="729" spans="1:19" ht="16">
      <c r="A729" s="28" t="s">
        <v>440</v>
      </c>
      <c r="B729" s="84">
        <v>222222222212</v>
      </c>
      <c r="C729" s="84"/>
      <c r="D729" s="85">
        <v>0.75</v>
      </c>
      <c r="E729" s="82">
        <v>12</v>
      </c>
      <c r="F729" s="82">
        <v>11</v>
      </c>
      <c r="G729" s="82">
        <v>18</v>
      </c>
      <c r="H729" s="30">
        <v>9.7309999999999999</v>
      </c>
      <c r="I729" s="4">
        <v>8.0000000000000004E-4</v>
      </c>
      <c r="J729" s="29">
        <v>-55.849800000000002</v>
      </c>
      <c r="K729" s="4">
        <v>5.0000000000000001E-4</v>
      </c>
      <c r="L729" s="4">
        <v>5.0999999999999997E-2</v>
      </c>
      <c r="M729" s="4">
        <v>3.0000000000000001E-3</v>
      </c>
      <c r="N729" s="4">
        <v>-4.1999999999999997E-3</v>
      </c>
      <c r="O729" s="4">
        <v>1E-4</v>
      </c>
      <c r="P729" s="4">
        <v>130.44</v>
      </c>
      <c r="Q729" s="4">
        <v>0.2</v>
      </c>
      <c r="R729" s="29">
        <f t="shared" si="15"/>
        <v>0.26839506172839506</v>
      </c>
      <c r="S729" s="22">
        <f t="shared" si="14"/>
        <v>4.1152263374485601E-4</v>
      </c>
    </row>
    <row r="730" spans="1:19" ht="16">
      <c r="A730" s="33" t="s">
        <v>440</v>
      </c>
      <c r="B730" s="97">
        <v>222222222212</v>
      </c>
      <c r="C730" s="97"/>
      <c r="D730" s="98">
        <v>1</v>
      </c>
      <c r="E730" s="82">
        <v>12</v>
      </c>
      <c r="F730" s="82">
        <v>11</v>
      </c>
      <c r="G730" s="82">
        <v>18</v>
      </c>
      <c r="H730" s="34">
        <v>10.799200000000001</v>
      </c>
      <c r="I730" s="4">
        <v>6.9999999999999999E-4</v>
      </c>
      <c r="J730" s="34">
        <v>-62.348199999999999</v>
      </c>
      <c r="K730" s="4">
        <v>2.5000000000000001E-3</v>
      </c>
      <c r="L730" s="4">
        <v>5.6000000000000001E-2</v>
      </c>
      <c r="M730" s="4">
        <v>4.0000000000000001E-3</v>
      </c>
      <c r="N730" s="4">
        <v>-4.1000000000000003E-3</v>
      </c>
      <c r="O730" s="4">
        <v>1E-4</v>
      </c>
      <c r="P730" s="4">
        <v>128.82</v>
      </c>
      <c r="Q730" s="4">
        <v>0.23</v>
      </c>
      <c r="R730" s="34">
        <f t="shared" si="15"/>
        <v>0.2650617283950617</v>
      </c>
      <c r="S730" s="22">
        <f t="shared" si="14"/>
        <v>4.732510288065844E-4</v>
      </c>
    </row>
    <row r="731" spans="1:19" ht="16">
      <c r="A731" s="44" t="s">
        <v>441</v>
      </c>
      <c r="B731" s="103">
        <v>222222221222</v>
      </c>
      <c r="C731" s="103"/>
      <c r="D731" s="104">
        <v>0.25</v>
      </c>
      <c r="E731" s="82">
        <v>12</v>
      </c>
      <c r="F731" s="82">
        <v>11</v>
      </c>
      <c r="G731" s="82">
        <v>18</v>
      </c>
      <c r="H731" s="21">
        <v>7.6143999999999998</v>
      </c>
      <c r="I731" s="4">
        <v>8.9999999999999998E-4</v>
      </c>
      <c r="J731" s="20">
        <v>-42.889400000000002</v>
      </c>
      <c r="K731" s="4">
        <v>1.4E-3</v>
      </c>
      <c r="L731" s="4">
        <v>8.4000000000000005E-2</v>
      </c>
      <c r="M731" s="4">
        <v>5.0000000000000001E-3</v>
      </c>
      <c r="N731" s="4">
        <v>-4.0000000000000001E-3</v>
      </c>
      <c r="O731" s="4">
        <v>1E-4</v>
      </c>
      <c r="P731" s="4">
        <v>133.37</v>
      </c>
      <c r="Q731" s="4">
        <v>0.23</v>
      </c>
      <c r="R731" s="20">
        <f>P731*E731/G731^3</f>
        <v>0.27442386831275722</v>
      </c>
      <c r="S731" s="22">
        <f>Q731*E731/G731^3</f>
        <v>4.732510288065844E-4</v>
      </c>
    </row>
    <row r="732" spans="1:19" ht="16">
      <c r="A732" s="23" t="s">
        <v>441</v>
      </c>
      <c r="B732" s="82">
        <v>222222221222</v>
      </c>
      <c r="C732" s="82"/>
      <c r="D732" s="83">
        <v>0.5</v>
      </c>
      <c r="E732" s="82">
        <v>12</v>
      </c>
      <c r="F732" s="82">
        <v>11</v>
      </c>
      <c r="G732" s="82">
        <v>18</v>
      </c>
      <c r="H732" s="24">
        <v>8.7314000000000007</v>
      </c>
      <c r="I732" s="4">
        <v>5.0000000000000001E-4</v>
      </c>
      <c r="J732" s="4">
        <v>-49.194299999999998</v>
      </c>
      <c r="K732" s="4">
        <v>1E-3</v>
      </c>
      <c r="L732" s="4">
        <v>2.5000000000000001E-2</v>
      </c>
      <c r="M732" s="4">
        <v>4.0000000000000001E-3</v>
      </c>
      <c r="N732" s="4">
        <v>-4.4000000000000003E-3</v>
      </c>
      <c r="O732" s="4">
        <v>1E-4</v>
      </c>
      <c r="P732" s="4">
        <v>132</v>
      </c>
      <c r="Q732" s="4">
        <v>0.23</v>
      </c>
      <c r="R732" s="4">
        <f t="shared" ref="R732:R734" si="21">P732*E732/G732^3</f>
        <v>0.27160493827160492</v>
      </c>
      <c r="S732" s="22">
        <f t="shared" ref="S732:S734" si="22">Q732*E732/G732^3</f>
        <v>4.732510288065844E-4</v>
      </c>
    </row>
    <row r="733" spans="1:19" ht="16">
      <c r="A733" s="28" t="s">
        <v>441</v>
      </c>
      <c r="B733" s="84">
        <v>222222221222</v>
      </c>
      <c r="C733" s="84"/>
      <c r="D733" s="85">
        <v>0.75</v>
      </c>
      <c r="E733" s="82">
        <v>12</v>
      </c>
      <c r="F733" s="82">
        <v>11</v>
      </c>
      <c r="G733" s="82">
        <v>18</v>
      </c>
      <c r="H733" s="30">
        <v>9.8417999999999992</v>
      </c>
      <c r="I733" s="4">
        <v>5.9999999999999995E-4</v>
      </c>
      <c r="J733" s="29">
        <v>-55.539200000000001</v>
      </c>
      <c r="K733" s="4">
        <v>8.9999999999999998E-4</v>
      </c>
      <c r="L733" s="4">
        <v>2.8000000000000001E-2</v>
      </c>
      <c r="M733" s="4">
        <v>5.0000000000000001E-3</v>
      </c>
      <c r="N733" s="4">
        <v>-4.0000000000000001E-3</v>
      </c>
      <c r="O733" s="4">
        <v>1E-4</v>
      </c>
      <c r="P733" s="4">
        <v>131.05000000000001</v>
      </c>
      <c r="Q733" s="4">
        <v>0.09</v>
      </c>
      <c r="R733" s="29">
        <f t="shared" si="21"/>
        <v>0.26965020576131687</v>
      </c>
      <c r="S733" s="22">
        <f t="shared" si="22"/>
        <v>1.851851851851852E-4</v>
      </c>
    </row>
    <row r="734" spans="1:19" ht="16">
      <c r="A734" s="33" t="s">
        <v>441</v>
      </c>
      <c r="B734" s="97">
        <v>222222221222</v>
      </c>
      <c r="C734" s="97"/>
      <c r="D734" s="98">
        <v>1</v>
      </c>
      <c r="E734" s="82">
        <v>12</v>
      </c>
      <c r="F734" s="82">
        <v>11</v>
      </c>
      <c r="G734" s="82">
        <v>18</v>
      </c>
      <c r="H734" s="34">
        <v>10.948700000000001</v>
      </c>
      <c r="I734" s="4">
        <v>8.9999999999999998E-4</v>
      </c>
      <c r="J734" s="34">
        <v>-61.910400000000003</v>
      </c>
      <c r="K734" s="4">
        <v>1.9E-3</v>
      </c>
      <c r="L734" s="4">
        <v>3.3000000000000002E-2</v>
      </c>
      <c r="M734" s="4">
        <v>6.0000000000000001E-3</v>
      </c>
      <c r="N734" s="4">
        <v>-3.5999999999999999E-3</v>
      </c>
      <c r="O734" s="4">
        <v>2.0000000000000001E-4</v>
      </c>
      <c r="P734" s="4">
        <v>130.38</v>
      </c>
      <c r="Q734" s="4">
        <v>0.38</v>
      </c>
      <c r="R734" s="34">
        <f t="shared" si="21"/>
        <v>0.26827160493827157</v>
      </c>
      <c r="S734" s="22">
        <f t="shared" si="22"/>
        <v>7.8189300411522647E-4</v>
      </c>
    </row>
    <row r="735" spans="1:19" ht="16">
      <c r="A735" s="44" t="s">
        <v>442</v>
      </c>
      <c r="B735" s="103">
        <v>222222222122</v>
      </c>
      <c r="C735" s="103"/>
      <c r="D735" s="104">
        <v>0.25</v>
      </c>
      <c r="E735" s="82">
        <v>12</v>
      </c>
      <c r="F735" s="82">
        <v>11</v>
      </c>
      <c r="G735" s="82">
        <v>18</v>
      </c>
      <c r="H735" s="21">
        <v>7.6044</v>
      </c>
      <c r="I735" s="4">
        <v>8.0000000000000004E-4</v>
      </c>
      <c r="J735" s="20">
        <v>-42.922499999999999</v>
      </c>
      <c r="K735" s="4">
        <v>2.2000000000000001E-3</v>
      </c>
      <c r="L735" s="4">
        <v>2.9000000000000001E-2</v>
      </c>
      <c r="M735" s="4">
        <v>4.0000000000000001E-3</v>
      </c>
      <c r="N735" s="4">
        <v>-4.7999999999999996E-3</v>
      </c>
      <c r="O735" s="4">
        <v>1E-4</v>
      </c>
      <c r="P735" s="4">
        <v>132.86000000000001</v>
      </c>
      <c r="Q735" s="4">
        <v>0.14000000000000001</v>
      </c>
      <c r="R735" s="20">
        <f>P735*E735/G735^3</f>
        <v>0.27337448559670785</v>
      </c>
      <c r="S735" s="22">
        <f>Q735*E735/G735^3</f>
        <v>2.8806584362139919E-4</v>
      </c>
    </row>
    <row r="736" spans="1:19" ht="16">
      <c r="A736" s="23" t="s">
        <v>442</v>
      </c>
      <c r="B736" s="82">
        <v>222222222122</v>
      </c>
      <c r="C736" s="82"/>
      <c r="D736" s="83">
        <v>0.5</v>
      </c>
      <c r="E736" s="82">
        <v>12</v>
      </c>
      <c r="F736" s="82">
        <v>11</v>
      </c>
      <c r="G736" s="82">
        <v>18</v>
      </c>
      <c r="H736" s="24">
        <v>8.7041000000000004</v>
      </c>
      <c r="I736" s="4">
        <v>1E-3</v>
      </c>
      <c r="J736" s="4">
        <v>-49.265900000000002</v>
      </c>
      <c r="K736" s="4">
        <v>2.8E-3</v>
      </c>
      <c r="L736" s="4">
        <v>3.5999999999999997E-2</v>
      </c>
      <c r="M736" s="4">
        <v>1.0999999999999999E-2</v>
      </c>
      <c r="N736" s="4">
        <v>-4.1999999999999997E-3</v>
      </c>
      <c r="O736" s="4">
        <v>2.9999999999999997E-4</v>
      </c>
      <c r="P736" s="4">
        <v>132.11000000000001</v>
      </c>
      <c r="Q736" s="4">
        <v>0.31</v>
      </c>
      <c r="R736" s="4">
        <f t="shared" ref="R736:R738" si="23">P736*E736/G736^3</f>
        <v>0.27183127572016463</v>
      </c>
      <c r="S736" s="22">
        <f t="shared" ref="S736:S738" si="24">Q736*E736/G736^3</f>
        <v>6.3786008230452666E-4</v>
      </c>
    </row>
    <row r="737" spans="1:19" ht="16">
      <c r="A737" s="28" t="s">
        <v>442</v>
      </c>
      <c r="B737" s="84">
        <v>222222222122</v>
      </c>
      <c r="C737" s="84"/>
      <c r="D737" s="85">
        <v>0.75</v>
      </c>
      <c r="E737" s="82">
        <v>12</v>
      </c>
      <c r="F737" s="82">
        <v>11</v>
      </c>
      <c r="G737" s="82">
        <v>18</v>
      </c>
      <c r="H737" s="30">
        <v>9.7988999999999997</v>
      </c>
      <c r="I737" s="4">
        <v>5.9999999999999995E-4</v>
      </c>
      <c r="J737" s="29">
        <v>-55.656199999999998</v>
      </c>
      <c r="K737" s="4">
        <v>1.8E-3</v>
      </c>
      <c r="L737" s="4">
        <v>3.4000000000000002E-2</v>
      </c>
      <c r="M737" s="4">
        <v>8.0000000000000002E-3</v>
      </c>
      <c r="N737" s="4">
        <v>-4.1000000000000003E-3</v>
      </c>
      <c r="O737" s="4">
        <v>0</v>
      </c>
      <c r="P737" s="4">
        <v>130.75</v>
      </c>
      <c r="Q737" s="4">
        <v>0.1</v>
      </c>
      <c r="R737" s="29">
        <f t="shared" si="23"/>
        <v>0.2690329218106996</v>
      </c>
      <c r="S737" s="22">
        <f t="shared" si="24"/>
        <v>2.0576131687242801E-4</v>
      </c>
    </row>
    <row r="738" spans="1:19" ht="16">
      <c r="A738" s="33" t="s">
        <v>442</v>
      </c>
      <c r="B738" s="97">
        <v>222222222122</v>
      </c>
      <c r="C738" s="97"/>
      <c r="D738" s="98">
        <v>1</v>
      </c>
      <c r="E738" s="82">
        <v>12</v>
      </c>
      <c r="F738" s="82">
        <v>11</v>
      </c>
      <c r="G738" s="82">
        <v>18</v>
      </c>
      <c r="H738" s="34">
        <v>10.8925</v>
      </c>
      <c r="I738" s="4">
        <v>6.9999999999999999E-4</v>
      </c>
      <c r="J738" s="34">
        <v>-62.074100000000001</v>
      </c>
      <c r="K738" s="4">
        <v>8.9999999999999998E-4</v>
      </c>
      <c r="L738" s="4">
        <v>3.9E-2</v>
      </c>
      <c r="M738" s="4">
        <v>6.0000000000000001E-3</v>
      </c>
      <c r="N738" s="4">
        <v>-3.8E-3</v>
      </c>
      <c r="O738" s="4">
        <v>2.0000000000000001E-4</v>
      </c>
      <c r="P738" s="4">
        <v>129.77000000000001</v>
      </c>
      <c r="Q738" s="4">
        <v>0.28999999999999998</v>
      </c>
      <c r="R738" s="34">
        <f t="shared" si="23"/>
        <v>0.26701646090534986</v>
      </c>
      <c r="S738" s="22">
        <f t="shared" si="24"/>
        <v>5.9670781893004111E-4</v>
      </c>
    </row>
    <row r="739" spans="1:19" ht="16">
      <c r="A739" s="44" t="s">
        <v>443</v>
      </c>
      <c r="B739" s="103">
        <v>222222212222</v>
      </c>
      <c r="C739" s="103"/>
      <c r="D739" s="104">
        <v>0.25</v>
      </c>
      <c r="E739" s="82">
        <v>12</v>
      </c>
      <c r="F739" s="82">
        <v>11</v>
      </c>
      <c r="G739" s="82">
        <v>18</v>
      </c>
      <c r="H739" s="21">
        <v>7.6246</v>
      </c>
      <c r="I739" s="4">
        <v>8.0000000000000004E-4</v>
      </c>
      <c r="J739" s="20">
        <v>-42.871299999999998</v>
      </c>
      <c r="K739" s="4">
        <v>1.6000000000000001E-3</v>
      </c>
      <c r="L739" s="4">
        <v>2.1000000000000001E-2</v>
      </c>
      <c r="M739" s="4">
        <v>8.0000000000000002E-3</v>
      </c>
      <c r="N739" s="4">
        <v>-4.7000000000000002E-3</v>
      </c>
      <c r="O739" s="4">
        <v>1E-4</v>
      </c>
      <c r="P739" s="4">
        <v>132.88999999999999</v>
      </c>
      <c r="Q739" s="4">
        <v>0.12</v>
      </c>
      <c r="R739" s="20">
        <f>P739*E739/G739^3</f>
        <v>0.27343621399176954</v>
      </c>
      <c r="S739" s="22">
        <f>Q739*E739/G739^3</f>
        <v>2.4691358024691359E-4</v>
      </c>
    </row>
    <row r="740" spans="1:19" ht="16">
      <c r="A740" s="23" t="s">
        <v>443</v>
      </c>
      <c r="B740" s="82">
        <v>222222212222</v>
      </c>
      <c r="C740" s="82"/>
      <c r="D740" s="83">
        <v>0.5</v>
      </c>
      <c r="E740" s="82">
        <v>12</v>
      </c>
      <c r="F740" s="82">
        <v>11</v>
      </c>
      <c r="G740" s="82">
        <v>18</v>
      </c>
      <c r="H740" s="24">
        <v>8.7468000000000004</v>
      </c>
      <c r="I740" s="4">
        <v>8.0000000000000004E-4</v>
      </c>
      <c r="J740" s="4">
        <v>-49.155999999999999</v>
      </c>
      <c r="K740" s="4">
        <v>2.3999999999999998E-3</v>
      </c>
      <c r="L740" s="4">
        <v>2.5999999999999999E-2</v>
      </c>
      <c r="M740" s="4">
        <v>4.0000000000000001E-3</v>
      </c>
      <c r="N740" s="4">
        <v>-4.3E-3</v>
      </c>
      <c r="O740" s="4">
        <v>1E-4</v>
      </c>
      <c r="P740" s="4">
        <v>132.01</v>
      </c>
      <c r="Q740" s="4">
        <v>0.21</v>
      </c>
      <c r="R740" s="4">
        <f t="shared" ref="R740:R742" si="25">P740*E740/G740^3</f>
        <v>0.27162551440329219</v>
      </c>
      <c r="S740" s="22">
        <f t="shared" ref="S740:S742" si="26">Q740*E740/G740^3</f>
        <v>4.3209876543209879E-4</v>
      </c>
    </row>
    <row r="741" spans="1:19" ht="16">
      <c r="A741" s="28" t="s">
        <v>443</v>
      </c>
      <c r="B741" s="84">
        <v>222222212222</v>
      </c>
      <c r="C741" s="84"/>
      <c r="D741" s="85">
        <v>0.75</v>
      </c>
      <c r="E741" s="82">
        <v>12</v>
      </c>
      <c r="F741" s="82">
        <v>11</v>
      </c>
      <c r="G741" s="82">
        <v>18</v>
      </c>
      <c r="H741" s="30">
        <v>9.8646999999999991</v>
      </c>
      <c r="I741" s="4">
        <v>8.0000000000000004E-4</v>
      </c>
      <c r="J741" s="29">
        <v>-55.476799999999997</v>
      </c>
      <c r="K741" s="4">
        <v>2.3E-3</v>
      </c>
      <c r="L741" s="4">
        <v>2.7E-2</v>
      </c>
      <c r="M741" s="4">
        <v>3.0000000000000001E-3</v>
      </c>
      <c r="N741" s="4">
        <v>-3.8999999999999998E-3</v>
      </c>
      <c r="O741" s="4">
        <v>1E-4</v>
      </c>
      <c r="P741" s="4">
        <v>131.18</v>
      </c>
      <c r="Q741" s="4">
        <v>0.2</v>
      </c>
      <c r="R741" s="29">
        <f t="shared" si="25"/>
        <v>0.26991769547325106</v>
      </c>
      <c r="S741" s="22">
        <f t="shared" si="26"/>
        <v>4.1152263374485601E-4</v>
      </c>
    </row>
    <row r="742" spans="1:19" ht="17" thickBot="1">
      <c r="A742" s="50" t="s">
        <v>443</v>
      </c>
      <c r="B742" s="78">
        <v>222222212222</v>
      </c>
      <c r="C742" s="78"/>
      <c r="D742" s="79">
        <v>1</v>
      </c>
      <c r="E742" s="72">
        <v>12</v>
      </c>
      <c r="F742" s="72">
        <v>11</v>
      </c>
      <c r="G742" s="72">
        <v>18</v>
      </c>
      <c r="H742" s="14">
        <v>10.983499999999999</v>
      </c>
      <c r="I742" s="10">
        <v>8.0000000000000004E-4</v>
      </c>
      <c r="J742" s="14">
        <v>-61.8245</v>
      </c>
      <c r="K742" s="10">
        <v>2.7000000000000001E-3</v>
      </c>
      <c r="L742" s="10">
        <v>2.7E-2</v>
      </c>
      <c r="M742" s="10">
        <v>1.4E-2</v>
      </c>
      <c r="N742" s="10">
        <v>-3.5000000000000001E-3</v>
      </c>
      <c r="O742" s="10">
        <v>2.0000000000000001E-4</v>
      </c>
      <c r="P742" s="10">
        <v>130.47999999999999</v>
      </c>
      <c r="Q742" s="10">
        <v>0.2</v>
      </c>
      <c r="R742" s="14">
        <f t="shared" si="25"/>
        <v>0.26847736625514401</v>
      </c>
      <c r="S742" s="26">
        <f t="shared" si="26"/>
        <v>4.1152263374485601E-4</v>
      </c>
    </row>
    <row r="743" spans="1:19" ht="17" thickTop="1">
      <c r="A743" s="51" t="s">
        <v>444</v>
      </c>
      <c r="B743" s="67">
        <v>222222222222</v>
      </c>
      <c r="C743" s="67" t="s">
        <v>13</v>
      </c>
      <c r="D743" s="68">
        <v>0</v>
      </c>
      <c r="E743" s="69">
        <v>12</v>
      </c>
      <c r="F743" s="69">
        <v>12</v>
      </c>
      <c r="G743" s="69">
        <v>18</v>
      </c>
      <c r="H743" s="8">
        <v>6.4987000000000004</v>
      </c>
      <c r="I743" s="7">
        <v>4.0000000000000002E-4</v>
      </c>
      <c r="J743" s="6">
        <v>-36.641500000000001</v>
      </c>
      <c r="K743" s="7">
        <v>1.2999999999999999E-3</v>
      </c>
      <c r="L743" s="7">
        <v>2.5000000000000001E-2</v>
      </c>
      <c r="M743" s="7">
        <v>3.0000000000000001E-3</v>
      </c>
      <c r="N743" s="7">
        <v>-5.7999999999999996E-3</v>
      </c>
      <c r="O743" s="7">
        <v>2.0000000000000001E-4</v>
      </c>
      <c r="P743" s="7">
        <v>133.01</v>
      </c>
      <c r="Q743" s="7">
        <v>0.15</v>
      </c>
      <c r="R743" s="6">
        <f>P743*E743/G743^3</f>
        <v>0.27368312757201646</v>
      </c>
      <c r="S743" s="18">
        <f>Q743*E743/G743^3</f>
        <v>3.0864197530864197E-4</v>
      </c>
    </row>
    <row r="744" spans="1:19" ht="16">
      <c r="A744" s="19" t="s">
        <v>444</v>
      </c>
      <c r="B744" s="80">
        <v>222222222222</v>
      </c>
      <c r="C744" s="80" t="s">
        <v>13</v>
      </c>
      <c r="D744" s="81">
        <v>0.25</v>
      </c>
      <c r="E744" s="82">
        <v>12</v>
      </c>
      <c r="F744" s="82">
        <v>12</v>
      </c>
      <c r="G744" s="82">
        <v>18</v>
      </c>
      <c r="H744" s="21">
        <v>8.1234000000000002</v>
      </c>
      <c r="I744" s="4">
        <v>5.9999999999999995E-4</v>
      </c>
      <c r="J744" s="20">
        <v>-45.800600000000003</v>
      </c>
      <c r="K744" s="4">
        <v>1.6999999999999999E-3</v>
      </c>
      <c r="L744" s="4">
        <v>2.5999999999999999E-2</v>
      </c>
      <c r="M744" s="4">
        <v>4.0000000000000001E-3</v>
      </c>
      <c r="N744" s="4">
        <v>-4.5999999999999999E-3</v>
      </c>
      <c r="O744" s="4">
        <v>1E-4</v>
      </c>
      <c r="P744" s="4">
        <v>133.04</v>
      </c>
      <c r="Q744" s="4">
        <v>0.19</v>
      </c>
      <c r="R744" s="20">
        <f>P744*E744/G744^3</f>
        <v>0.2737448559670782</v>
      </c>
      <c r="S744" s="22">
        <f>Q744*E744/G744^3</f>
        <v>3.9094650205761324E-4</v>
      </c>
    </row>
    <row r="745" spans="1:19" ht="16">
      <c r="A745" s="23" t="s">
        <v>444</v>
      </c>
      <c r="B745" s="82">
        <v>222222222222</v>
      </c>
      <c r="C745" s="82" t="s">
        <v>13</v>
      </c>
      <c r="D745" s="83">
        <v>0.5</v>
      </c>
      <c r="E745" s="82">
        <v>12</v>
      </c>
      <c r="F745" s="82">
        <v>12</v>
      </c>
      <c r="G745" s="82">
        <v>18</v>
      </c>
      <c r="H745" s="24">
        <v>9.7476000000000003</v>
      </c>
      <c r="I745" s="4">
        <v>1E-3</v>
      </c>
      <c r="J745" s="4">
        <v>-54.9621</v>
      </c>
      <c r="K745" s="4">
        <v>3.0000000000000001E-3</v>
      </c>
      <c r="L745" s="4">
        <v>2.1999999999999999E-2</v>
      </c>
      <c r="M745" s="4">
        <v>3.0000000000000001E-3</v>
      </c>
      <c r="N745" s="4">
        <v>-3.8E-3</v>
      </c>
      <c r="O745" s="4">
        <v>1E-4</v>
      </c>
      <c r="P745" s="4">
        <v>133.08000000000001</v>
      </c>
      <c r="Q745" s="4">
        <v>0.19</v>
      </c>
      <c r="R745" s="4">
        <f t="shared" si="15"/>
        <v>0.27382716049382716</v>
      </c>
      <c r="S745" s="22">
        <f t="shared" si="14"/>
        <v>3.9094650205761324E-4</v>
      </c>
    </row>
    <row r="746" spans="1:19" ht="16">
      <c r="A746" s="28" t="s">
        <v>444</v>
      </c>
      <c r="B746" s="84">
        <v>222222222222</v>
      </c>
      <c r="C746" s="84" t="s">
        <v>13</v>
      </c>
      <c r="D746" s="85">
        <v>0.75</v>
      </c>
      <c r="E746" s="82">
        <v>12</v>
      </c>
      <c r="F746" s="82">
        <v>12</v>
      </c>
      <c r="G746" s="82">
        <v>18</v>
      </c>
      <c r="H746" s="30">
        <v>11.373100000000001</v>
      </c>
      <c r="I746" s="4">
        <v>6.9999999999999999E-4</v>
      </c>
      <c r="J746" s="29">
        <v>-64.120599999999996</v>
      </c>
      <c r="K746" s="4">
        <v>2.3999999999999998E-3</v>
      </c>
      <c r="L746" s="4">
        <v>2.3E-2</v>
      </c>
      <c r="M746" s="4">
        <v>2E-3</v>
      </c>
      <c r="N746" s="4">
        <v>-3.2000000000000002E-3</v>
      </c>
      <c r="O746" s="4">
        <v>0</v>
      </c>
      <c r="P746" s="4">
        <v>133.18</v>
      </c>
      <c r="Q746" s="4">
        <v>0.13</v>
      </c>
      <c r="R746" s="29">
        <f t="shared" si="15"/>
        <v>0.2740329218106996</v>
      </c>
      <c r="S746" s="22">
        <f t="shared" si="14"/>
        <v>2.6748971193415636E-4</v>
      </c>
    </row>
    <row r="747" spans="1:19" ht="17" thickBot="1">
      <c r="A747" s="50" t="s">
        <v>444</v>
      </c>
      <c r="B747" s="78">
        <v>222222222222</v>
      </c>
      <c r="C747" s="78" t="s">
        <v>13</v>
      </c>
      <c r="D747" s="79">
        <v>1</v>
      </c>
      <c r="E747" s="72">
        <v>12</v>
      </c>
      <c r="F747" s="72">
        <v>12</v>
      </c>
      <c r="G747" s="72">
        <v>18</v>
      </c>
      <c r="H747" s="59">
        <v>12.996700000000001</v>
      </c>
      <c r="I747" s="10">
        <v>8.0000000000000004E-4</v>
      </c>
      <c r="J747" s="14">
        <v>-73.279600000000002</v>
      </c>
      <c r="K747" s="10">
        <v>2.3E-3</v>
      </c>
      <c r="L747" s="10">
        <v>2.5999999999999999E-2</v>
      </c>
      <c r="M747" s="10">
        <v>5.0000000000000001E-3</v>
      </c>
      <c r="N747" s="10">
        <v>-2.7000000000000001E-3</v>
      </c>
      <c r="O747" s="10">
        <v>1E-4</v>
      </c>
      <c r="P747" s="10">
        <v>133.33000000000001</v>
      </c>
      <c r="Q747" s="10">
        <v>0.11</v>
      </c>
      <c r="R747" s="14">
        <f t="shared" si="15"/>
        <v>0.27434156378600821</v>
      </c>
      <c r="S747" s="26">
        <f t="shared" si="14"/>
        <v>2.2633744855967078E-4</v>
      </c>
    </row>
    <row r="748" spans="1:19" ht="17" thickTop="1">
      <c r="A748" s="52" t="s">
        <v>158</v>
      </c>
      <c r="B748" s="53" t="s">
        <v>445</v>
      </c>
      <c r="C748" s="53"/>
      <c r="D748" s="53">
        <v>0</v>
      </c>
      <c r="E748" s="4">
        <v>12</v>
      </c>
      <c r="F748" s="4">
        <v>1</v>
      </c>
      <c r="G748" s="4">
        <v>18</v>
      </c>
      <c r="H748" s="53">
        <v>6.4987000000000004</v>
      </c>
      <c r="I748" s="4">
        <v>4.0000000000000002E-4</v>
      </c>
      <c r="J748" s="53">
        <v>-36.641500000000001</v>
      </c>
      <c r="K748" s="4">
        <v>1.2999999999999999E-3</v>
      </c>
      <c r="L748" s="4">
        <v>2.5000000000000001E-2</v>
      </c>
      <c r="M748" s="4">
        <v>3.0000000000000001E-3</v>
      </c>
      <c r="N748" s="4">
        <v>-5.7999999999999996E-3</v>
      </c>
      <c r="O748" s="4">
        <v>2.0000000000000001E-4</v>
      </c>
      <c r="P748" s="4">
        <v>133.01</v>
      </c>
      <c r="Q748" s="4">
        <v>0.15</v>
      </c>
      <c r="R748" s="16">
        <f>P748*E748/G748^3</f>
        <v>0.27368312757201646</v>
      </c>
      <c r="S748" s="18">
        <f>Q748*E748/G748^3</f>
        <v>3.0864197530864197E-4</v>
      </c>
    </row>
    <row r="749" spans="1:19" ht="16">
      <c r="A749" s="52" t="s">
        <v>159</v>
      </c>
      <c r="B749" s="53" t="s">
        <v>446</v>
      </c>
      <c r="C749" s="53"/>
      <c r="D749" s="53">
        <v>0</v>
      </c>
      <c r="E749" s="4">
        <v>12</v>
      </c>
      <c r="F749" s="4">
        <v>1</v>
      </c>
      <c r="G749" s="4">
        <v>18</v>
      </c>
      <c r="H749" s="53">
        <v>6.4987000000000004</v>
      </c>
      <c r="I749" s="4">
        <v>4.0000000000000002E-4</v>
      </c>
      <c r="J749" s="53">
        <v>-36.641500000000001</v>
      </c>
      <c r="K749" s="4">
        <v>1.2999999999999999E-3</v>
      </c>
      <c r="L749" s="4">
        <v>2.5000000000000001E-2</v>
      </c>
      <c r="M749" s="4">
        <v>3.0000000000000001E-3</v>
      </c>
      <c r="N749" s="4">
        <v>-5.7999999999999996E-3</v>
      </c>
      <c r="O749" s="4">
        <v>2.0000000000000001E-4</v>
      </c>
      <c r="P749" s="4">
        <v>133.01</v>
      </c>
      <c r="Q749" s="4">
        <v>0.15</v>
      </c>
      <c r="R749" s="53">
        <f t="shared" ref="R749:R812" si="27">P749*E749/G749^3</f>
        <v>0.27368312757201646</v>
      </c>
      <c r="S749" s="22">
        <f t="shared" ref="S749:S812" si="28">Q749*E749/G749^3</f>
        <v>3.0864197530864197E-4</v>
      </c>
    </row>
    <row r="750" spans="1:19" ht="16">
      <c r="A750" s="52" t="s">
        <v>160</v>
      </c>
      <c r="B750" s="53" t="s">
        <v>447</v>
      </c>
      <c r="C750" s="53"/>
      <c r="D750" s="53">
        <v>0</v>
      </c>
      <c r="E750" s="4">
        <v>12</v>
      </c>
      <c r="F750" s="4">
        <v>1</v>
      </c>
      <c r="G750" s="4">
        <v>18</v>
      </c>
      <c r="H750" s="53">
        <v>6.4987000000000004</v>
      </c>
      <c r="I750" s="4">
        <v>4.0000000000000002E-4</v>
      </c>
      <c r="J750" s="53">
        <v>-36.641500000000001</v>
      </c>
      <c r="K750" s="4">
        <v>1.2999999999999999E-3</v>
      </c>
      <c r="L750" s="4">
        <v>2.5000000000000001E-2</v>
      </c>
      <c r="M750" s="4">
        <v>3.0000000000000001E-3</v>
      </c>
      <c r="N750" s="4">
        <v>-5.7999999999999996E-3</v>
      </c>
      <c r="O750" s="4">
        <v>2.0000000000000001E-4</v>
      </c>
      <c r="P750" s="4">
        <v>133.01</v>
      </c>
      <c r="Q750" s="4">
        <v>0.15</v>
      </c>
      <c r="R750" s="53">
        <f t="shared" si="27"/>
        <v>0.27368312757201646</v>
      </c>
      <c r="S750" s="22">
        <f t="shared" si="28"/>
        <v>3.0864197530864197E-4</v>
      </c>
    </row>
    <row r="751" spans="1:19" ht="16">
      <c r="A751" s="52" t="s">
        <v>161</v>
      </c>
      <c r="B751" s="53" t="s">
        <v>448</v>
      </c>
      <c r="C751" s="53"/>
      <c r="D751" s="53">
        <v>0</v>
      </c>
      <c r="E751" s="4">
        <v>12</v>
      </c>
      <c r="F751" s="4">
        <v>1</v>
      </c>
      <c r="G751" s="4">
        <v>18</v>
      </c>
      <c r="H751" s="53">
        <v>6.4987000000000004</v>
      </c>
      <c r="I751" s="4">
        <v>4.0000000000000002E-4</v>
      </c>
      <c r="J751" s="53">
        <v>-36.641500000000001</v>
      </c>
      <c r="K751" s="4">
        <v>1.2999999999999999E-3</v>
      </c>
      <c r="L751" s="4">
        <v>2.5000000000000001E-2</v>
      </c>
      <c r="M751" s="4">
        <v>3.0000000000000001E-3</v>
      </c>
      <c r="N751" s="4">
        <v>-5.7999999999999996E-3</v>
      </c>
      <c r="O751" s="4">
        <v>2.0000000000000001E-4</v>
      </c>
      <c r="P751" s="4">
        <v>133.01</v>
      </c>
      <c r="Q751" s="4">
        <v>0.15</v>
      </c>
      <c r="R751" s="53">
        <f t="shared" si="27"/>
        <v>0.27368312757201646</v>
      </c>
      <c r="S751" s="22">
        <f t="shared" si="28"/>
        <v>3.0864197530864197E-4</v>
      </c>
    </row>
    <row r="752" spans="1:19" ht="16">
      <c r="A752" s="52" t="s">
        <v>162</v>
      </c>
      <c r="B752" s="53" t="s">
        <v>449</v>
      </c>
      <c r="C752" s="53"/>
      <c r="D752" s="53">
        <v>0</v>
      </c>
      <c r="E752" s="4">
        <v>12</v>
      </c>
      <c r="F752" s="4">
        <v>1</v>
      </c>
      <c r="G752" s="4">
        <v>18</v>
      </c>
      <c r="H752" s="53">
        <v>6.4987000000000004</v>
      </c>
      <c r="I752" s="4">
        <v>4.0000000000000002E-4</v>
      </c>
      <c r="J752" s="53">
        <v>-36.641500000000001</v>
      </c>
      <c r="K752" s="4">
        <v>1.2999999999999999E-3</v>
      </c>
      <c r="L752" s="4">
        <v>2.5000000000000001E-2</v>
      </c>
      <c r="M752" s="4">
        <v>3.0000000000000001E-3</v>
      </c>
      <c r="N752" s="4">
        <v>-5.7999999999999996E-3</v>
      </c>
      <c r="O752" s="4">
        <v>2.0000000000000001E-4</v>
      </c>
      <c r="P752" s="4">
        <v>133.01</v>
      </c>
      <c r="Q752" s="4">
        <v>0.15</v>
      </c>
      <c r="R752" s="53">
        <f t="shared" si="27"/>
        <v>0.27368312757201646</v>
      </c>
      <c r="S752" s="22">
        <f t="shared" si="28"/>
        <v>3.0864197530864197E-4</v>
      </c>
    </row>
    <row r="753" spans="1:19" ht="16">
      <c r="A753" s="52" t="s">
        <v>163</v>
      </c>
      <c r="B753" s="53" t="s">
        <v>450</v>
      </c>
      <c r="C753" s="53"/>
      <c r="D753" s="53">
        <v>0</v>
      </c>
      <c r="E753" s="4">
        <v>12</v>
      </c>
      <c r="F753" s="4">
        <v>1</v>
      </c>
      <c r="G753" s="4">
        <v>18</v>
      </c>
      <c r="H753" s="53">
        <v>6.4987000000000004</v>
      </c>
      <c r="I753" s="4">
        <v>4.0000000000000002E-4</v>
      </c>
      <c r="J753" s="53">
        <v>-36.641500000000001</v>
      </c>
      <c r="K753" s="4">
        <v>1.2999999999999999E-3</v>
      </c>
      <c r="L753" s="4">
        <v>2.5000000000000001E-2</v>
      </c>
      <c r="M753" s="4">
        <v>3.0000000000000001E-3</v>
      </c>
      <c r="N753" s="4">
        <v>-5.7999999999999996E-3</v>
      </c>
      <c r="O753" s="4">
        <v>2.0000000000000001E-4</v>
      </c>
      <c r="P753" s="4">
        <v>133.01</v>
      </c>
      <c r="Q753" s="4">
        <v>0.15</v>
      </c>
      <c r="R753" s="53">
        <f t="shared" si="27"/>
        <v>0.27368312757201646</v>
      </c>
      <c r="S753" s="22">
        <f t="shared" si="28"/>
        <v>3.0864197530864197E-4</v>
      </c>
    </row>
    <row r="754" spans="1:19" ht="16">
      <c r="A754" s="52" t="s">
        <v>164</v>
      </c>
      <c r="B754" s="53" t="s">
        <v>451</v>
      </c>
      <c r="C754" s="53"/>
      <c r="D754" s="53">
        <v>0</v>
      </c>
      <c r="E754" s="4">
        <v>12</v>
      </c>
      <c r="F754" s="4">
        <v>2</v>
      </c>
      <c r="G754" s="4">
        <v>18</v>
      </c>
      <c r="H754" s="53">
        <v>6.4987000000000004</v>
      </c>
      <c r="I754" s="4">
        <v>4.0000000000000002E-4</v>
      </c>
      <c r="J754" s="53">
        <v>-36.641500000000001</v>
      </c>
      <c r="K754" s="4">
        <v>1.2999999999999999E-3</v>
      </c>
      <c r="L754" s="4">
        <v>2.5000000000000001E-2</v>
      </c>
      <c r="M754" s="4">
        <v>3.0000000000000001E-3</v>
      </c>
      <c r="N754" s="4">
        <v>-5.7999999999999996E-3</v>
      </c>
      <c r="O754" s="4">
        <v>2.0000000000000001E-4</v>
      </c>
      <c r="P754" s="4">
        <v>133.01</v>
      </c>
      <c r="Q754" s="4">
        <v>0.15</v>
      </c>
      <c r="R754" s="53">
        <f t="shared" si="27"/>
        <v>0.27368312757201646</v>
      </c>
      <c r="S754" s="22">
        <f t="shared" si="28"/>
        <v>3.0864197530864197E-4</v>
      </c>
    </row>
    <row r="755" spans="1:19" ht="16">
      <c r="A755" s="52" t="s">
        <v>165</v>
      </c>
      <c r="B755" s="53" t="s">
        <v>452</v>
      </c>
      <c r="C755" s="53"/>
      <c r="D755" s="53">
        <v>0</v>
      </c>
      <c r="E755" s="4">
        <v>12</v>
      </c>
      <c r="F755" s="4">
        <v>2</v>
      </c>
      <c r="G755" s="4">
        <v>18</v>
      </c>
      <c r="H755" s="53">
        <v>6.4987000000000004</v>
      </c>
      <c r="I755" s="4">
        <v>4.0000000000000002E-4</v>
      </c>
      <c r="J755" s="53">
        <v>-36.641500000000001</v>
      </c>
      <c r="K755" s="4">
        <v>1.2999999999999999E-3</v>
      </c>
      <c r="L755" s="4">
        <v>2.5000000000000001E-2</v>
      </c>
      <c r="M755" s="4">
        <v>3.0000000000000001E-3</v>
      </c>
      <c r="N755" s="4">
        <v>-5.7999999999999996E-3</v>
      </c>
      <c r="O755" s="4">
        <v>2.0000000000000001E-4</v>
      </c>
      <c r="P755" s="4">
        <v>133.01</v>
      </c>
      <c r="Q755" s="4">
        <v>0.15</v>
      </c>
      <c r="R755" s="53">
        <f t="shared" si="27"/>
        <v>0.27368312757201646</v>
      </c>
      <c r="S755" s="22">
        <f t="shared" si="28"/>
        <v>3.0864197530864197E-4</v>
      </c>
    </row>
    <row r="756" spans="1:19" ht="16">
      <c r="A756" s="52" t="s">
        <v>166</v>
      </c>
      <c r="B756" s="53" t="s">
        <v>453</v>
      </c>
      <c r="C756" s="53"/>
      <c r="D756" s="53">
        <v>0</v>
      </c>
      <c r="E756" s="4">
        <v>12</v>
      </c>
      <c r="F756" s="4">
        <v>2</v>
      </c>
      <c r="G756" s="4">
        <v>18</v>
      </c>
      <c r="H756" s="53">
        <v>6.4987000000000004</v>
      </c>
      <c r="I756" s="4">
        <v>4.0000000000000002E-4</v>
      </c>
      <c r="J756" s="53">
        <v>-36.641500000000001</v>
      </c>
      <c r="K756" s="4">
        <v>1.2999999999999999E-3</v>
      </c>
      <c r="L756" s="4">
        <v>2.5000000000000001E-2</v>
      </c>
      <c r="M756" s="4">
        <v>3.0000000000000001E-3</v>
      </c>
      <c r="N756" s="4">
        <v>-5.7999999999999996E-3</v>
      </c>
      <c r="O756" s="4">
        <v>2.0000000000000001E-4</v>
      </c>
      <c r="P756" s="4">
        <v>133.01</v>
      </c>
      <c r="Q756" s="4">
        <v>0.15</v>
      </c>
      <c r="R756" s="53">
        <f t="shared" si="27"/>
        <v>0.27368312757201646</v>
      </c>
      <c r="S756" s="22">
        <f t="shared" si="28"/>
        <v>3.0864197530864197E-4</v>
      </c>
    </row>
    <row r="757" spans="1:19" ht="16">
      <c r="A757" s="52" t="s">
        <v>167</v>
      </c>
      <c r="B757" s="53" t="s">
        <v>454</v>
      </c>
      <c r="C757" s="53"/>
      <c r="D757" s="53">
        <v>0</v>
      </c>
      <c r="E757" s="4">
        <v>12</v>
      </c>
      <c r="F757" s="4">
        <v>2</v>
      </c>
      <c r="G757" s="4">
        <v>18</v>
      </c>
      <c r="H757" s="53">
        <v>6.4987000000000004</v>
      </c>
      <c r="I757" s="4">
        <v>4.0000000000000002E-4</v>
      </c>
      <c r="J757" s="53">
        <v>-36.641500000000001</v>
      </c>
      <c r="K757" s="4">
        <v>1.2999999999999999E-3</v>
      </c>
      <c r="L757" s="4">
        <v>2.5000000000000001E-2</v>
      </c>
      <c r="M757" s="4">
        <v>3.0000000000000001E-3</v>
      </c>
      <c r="N757" s="4">
        <v>-5.7999999999999996E-3</v>
      </c>
      <c r="O757" s="4">
        <v>2.0000000000000001E-4</v>
      </c>
      <c r="P757" s="4">
        <v>133.01</v>
      </c>
      <c r="Q757" s="4">
        <v>0.15</v>
      </c>
      <c r="R757" s="53">
        <f t="shared" si="27"/>
        <v>0.27368312757201646</v>
      </c>
      <c r="S757" s="22">
        <f t="shared" si="28"/>
        <v>3.0864197530864197E-4</v>
      </c>
    </row>
    <row r="758" spans="1:19" ht="16">
      <c r="A758" s="52" t="s">
        <v>168</v>
      </c>
      <c r="B758" s="53" t="s">
        <v>455</v>
      </c>
      <c r="C758" s="53"/>
      <c r="D758" s="53">
        <v>0</v>
      </c>
      <c r="E758" s="4">
        <v>12</v>
      </c>
      <c r="F758" s="4">
        <v>2</v>
      </c>
      <c r="G758" s="4">
        <v>18</v>
      </c>
      <c r="H758" s="53">
        <v>6.4987000000000004</v>
      </c>
      <c r="I758" s="4">
        <v>4.0000000000000002E-4</v>
      </c>
      <c r="J758" s="53">
        <v>-36.641500000000001</v>
      </c>
      <c r="K758" s="4">
        <v>1.2999999999999999E-3</v>
      </c>
      <c r="L758" s="4">
        <v>2.5000000000000001E-2</v>
      </c>
      <c r="M758" s="4">
        <v>3.0000000000000001E-3</v>
      </c>
      <c r="N758" s="4">
        <v>-5.7999999999999996E-3</v>
      </c>
      <c r="O758" s="4">
        <v>2.0000000000000001E-4</v>
      </c>
      <c r="P758" s="4">
        <v>133.01</v>
      </c>
      <c r="Q758" s="4">
        <v>0.15</v>
      </c>
      <c r="R758" s="53">
        <f t="shared" si="27"/>
        <v>0.27368312757201646</v>
      </c>
      <c r="S758" s="22">
        <f t="shared" si="28"/>
        <v>3.0864197530864197E-4</v>
      </c>
    </row>
    <row r="759" spans="1:19" ht="16">
      <c r="A759" s="52" t="s">
        <v>169</v>
      </c>
      <c r="B759" s="53" t="s">
        <v>456</v>
      </c>
      <c r="C759" s="53"/>
      <c r="D759" s="53">
        <v>0</v>
      </c>
      <c r="E759" s="4">
        <v>12</v>
      </c>
      <c r="F759" s="4">
        <v>2</v>
      </c>
      <c r="G759" s="4">
        <v>18</v>
      </c>
      <c r="H759" s="53">
        <v>6.4987000000000004</v>
      </c>
      <c r="I759" s="4">
        <v>4.0000000000000002E-4</v>
      </c>
      <c r="J759" s="53">
        <v>-36.641500000000001</v>
      </c>
      <c r="K759" s="4">
        <v>1.2999999999999999E-3</v>
      </c>
      <c r="L759" s="4">
        <v>2.5000000000000001E-2</v>
      </c>
      <c r="M759" s="4">
        <v>3.0000000000000001E-3</v>
      </c>
      <c r="N759" s="4">
        <v>-5.7999999999999996E-3</v>
      </c>
      <c r="O759" s="4">
        <v>2.0000000000000001E-4</v>
      </c>
      <c r="P759" s="4">
        <v>133.01</v>
      </c>
      <c r="Q759" s="4">
        <v>0.15</v>
      </c>
      <c r="R759" s="53">
        <f t="shared" si="27"/>
        <v>0.27368312757201646</v>
      </c>
      <c r="S759" s="22">
        <f t="shared" si="28"/>
        <v>3.0864197530864197E-4</v>
      </c>
    </row>
    <row r="760" spans="1:19" ht="16">
      <c r="A760" s="52" t="s">
        <v>170</v>
      </c>
      <c r="B760" s="53" t="s">
        <v>457</v>
      </c>
      <c r="C760" s="53"/>
      <c r="D760" s="53">
        <v>0</v>
      </c>
      <c r="E760" s="4">
        <v>12</v>
      </c>
      <c r="F760" s="4">
        <v>2</v>
      </c>
      <c r="G760" s="4">
        <v>18</v>
      </c>
      <c r="H760" s="53">
        <v>6.4987000000000004</v>
      </c>
      <c r="I760" s="4">
        <v>4.0000000000000002E-4</v>
      </c>
      <c r="J760" s="53">
        <v>-36.641500000000001</v>
      </c>
      <c r="K760" s="4">
        <v>1.2999999999999999E-3</v>
      </c>
      <c r="L760" s="4">
        <v>2.5000000000000001E-2</v>
      </c>
      <c r="M760" s="4">
        <v>3.0000000000000001E-3</v>
      </c>
      <c r="N760" s="4">
        <v>-5.7999999999999996E-3</v>
      </c>
      <c r="O760" s="4">
        <v>2.0000000000000001E-4</v>
      </c>
      <c r="P760" s="4">
        <v>133.01</v>
      </c>
      <c r="Q760" s="4">
        <v>0.15</v>
      </c>
      <c r="R760" s="53">
        <f t="shared" si="27"/>
        <v>0.27368312757201646</v>
      </c>
      <c r="S760" s="22">
        <f t="shared" si="28"/>
        <v>3.0864197530864197E-4</v>
      </c>
    </row>
    <row r="761" spans="1:19" ht="16">
      <c r="A761" s="52" t="s">
        <v>171</v>
      </c>
      <c r="B761" s="53" t="s">
        <v>458</v>
      </c>
      <c r="C761" s="53"/>
      <c r="D761" s="53">
        <v>0</v>
      </c>
      <c r="E761" s="4">
        <v>12</v>
      </c>
      <c r="F761" s="4">
        <v>3</v>
      </c>
      <c r="G761" s="4">
        <v>18</v>
      </c>
      <c r="H761" s="53">
        <v>6.4987000000000004</v>
      </c>
      <c r="I761" s="4">
        <v>4.0000000000000002E-4</v>
      </c>
      <c r="J761" s="53">
        <v>-36.641500000000001</v>
      </c>
      <c r="K761" s="4">
        <v>1.2999999999999999E-3</v>
      </c>
      <c r="L761" s="4">
        <v>2.5000000000000001E-2</v>
      </c>
      <c r="M761" s="4">
        <v>3.0000000000000001E-3</v>
      </c>
      <c r="N761" s="4">
        <v>-5.7999999999999996E-3</v>
      </c>
      <c r="O761" s="4">
        <v>2.0000000000000001E-4</v>
      </c>
      <c r="P761" s="4">
        <v>133.01</v>
      </c>
      <c r="Q761" s="4">
        <v>0.15</v>
      </c>
      <c r="R761" s="53">
        <f t="shared" si="27"/>
        <v>0.27368312757201646</v>
      </c>
      <c r="S761" s="22">
        <f t="shared" si="28"/>
        <v>3.0864197530864197E-4</v>
      </c>
    </row>
    <row r="762" spans="1:19" ht="16">
      <c r="A762" s="52" t="s">
        <v>172</v>
      </c>
      <c r="B762" s="53" t="s">
        <v>459</v>
      </c>
      <c r="C762" s="53"/>
      <c r="D762" s="53">
        <v>0</v>
      </c>
      <c r="E762" s="4">
        <v>12</v>
      </c>
      <c r="F762" s="4">
        <v>3</v>
      </c>
      <c r="G762" s="4">
        <v>18</v>
      </c>
      <c r="H762" s="53">
        <v>6.4987000000000004</v>
      </c>
      <c r="I762" s="4">
        <v>4.0000000000000002E-4</v>
      </c>
      <c r="J762" s="53">
        <v>-36.641500000000001</v>
      </c>
      <c r="K762" s="4">
        <v>1.2999999999999999E-3</v>
      </c>
      <c r="L762" s="4">
        <v>2.5000000000000001E-2</v>
      </c>
      <c r="M762" s="4">
        <v>3.0000000000000001E-3</v>
      </c>
      <c r="N762" s="4">
        <v>-5.7999999999999996E-3</v>
      </c>
      <c r="O762" s="4">
        <v>2.0000000000000001E-4</v>
      </c>
      <c r="P762" s="4">
        <v>133.01</v>
      </c>
      <c r="Q762" s="4">
        <v>0.15</v>
      </c>
      <c r="R762" s="53">
        <f t="shared" si="27"/>
        <v>0.27368312757201646</v>
      </c>
      <c r="S762" s="22">
        <f t="shared" si="28"/>
        <v>3.0864197530864197E-4</v>
      </c>
    </row>
    <row r="763" spans="1:19" ht="16">
      <c r="A763" s="52" t="s">
        <v>173</v>
      </c>
      <c r="B763" s="53" t="s">
        <v>460</v>
      </c>
      <c r="C763" s="53"/>
      <c r="D763" s="53">
        <v>0</v>
      </c>
      <c r="E763" s="4">
        <v>12</v>
      </c>
      <c r="F763" s="4">
        <v>3</v>
      </c>
      <c r="G763" s="4">
        <v>18</v>
      </c>
      <c r="H763" s="53">
        <v>6.4987000000000004</v>
      </c>
      <c r="I763" s="4">
        <v>4.0000000000000002E-4</v>
      </c>
      <c r="J763" s="53">
        <v>-36.641500000000001</v>
      </c>
      <c r="K763" s="4">
        <v>1.2999999999999999E-3</v>
      </c>
      <c r="L763" s="4">
        <v>2.5000000000000001E-2</v>
      </c>
      <c r="M763" s="4">
        <v>3.0000000000000001E-3</v>
      </c>
      <c r="N763" s="4">
        <v>-5.7999999999999996E-3</v>
      </c>
      <c r="O763" s="4">
        <v>2.0000000000000001E-4</v>
      </c>
      <c r="P763" s="4">
        <v>133.01</v>
      </c>
      <c r="Q763" s="4">
        <v>0.15</v>
      </c>
      <c r="R763" s="53">
        <f t="shared" si="27"/>
        <v>0.27368312757201646</v>
      </c>
      <c r="S763" s="22">
        <f t="shared" si="28"/>
        <v>3.0864197530864197E-4</v>
      </c>
    </row>
    <row r="764" spans="1:19" ht="16">
      <c r="A764" s="52" t="s">
        <v>174</v>
      </c>
      <c r="B764" s="53" t="s">
        <v>461</v>
      </c>
      <c r="C764" s="53"/>
      <c r="D764" s="53">
        <v>0</v>
      </c>
      <c r="E764" s="4">
        <v>12</v>
      </c>
      <c r="F764" s="4">
        <v>3</v>
      </c>
      <c r="G764" s="4">
        <v>18</v>
      </c>
      <c r="H764" s="53">
        <v>6.4987000000000004</v>
      </c>
      <c r="I764" s="4">
        <v>4.0000000000000002E-4</v>
      </c>
      <c r="J764" s="53">
        <v>-36.641500000000001</v>
      </c>
      <c r="K764" s="4">
        <v>1.2999999999999999E-3</v>
      </c>
      <c r="L764" s="4">
        <v>2.5000000000000001E-2</v>
      </c>
      <c r="M764" s="4">
        <v>3.0000000000000001E-3</v>
      </c>
      <c r="N764" s="4">
        <v>-5.7999999999999996E-3</v>
      </c>
      <c r="O764" s="4">
        <v>2.0000000000000001E-4</v>
      </c>
      <c r="P764" s="4">
        <v>133.01</v>
      </c>
      <c r="Q764" s="4">
        <v>0.15</v>
      </c>
      <c r="R764" s="53">
        <f t="shared" si="27"/>
        <v>0.27368312757201646</v>
      </c>
      <c r="S764" s="22">
        <f t="shared" si="28"/>
        <v>3.0864197530864197E-4</v>
      </c>
    </row>
    <row r="765" spans="1:19" ht="16">
      <c r="A765" s="52" t="s">
        <v>175</v>
      </c>
      <c r="B765" s="53" t="s">
        <v>462</v>
      </c>
      <c r="C765" s="53"/>
      <c r="D765" s="53">
        <v>0</v>
      </c>
      <c r="E765" s="4">
        <v>12</v>
      </c>
      <c r="F765" s="4">
        <v>3</v>
      </c>
      <c r="G765" s="4">
        <v>18</v>
      </c>
      <c r="H765" s="53">
        <v>6.4987000000000004</v>
      </c>
      <c r="I765" s="4">
        <v>4.0000000000000002E-4</v>
      </c>
      <c r="J765" s="53">
        <v>-36.641500000000001</v>
      </c>
      <c r="K765" s="4">
        <v>1.2999999999999999E-3</v>
      </c>
      <c r="L765" s="4">
        <v>2.5000000000000001E-2</v>
      </c>
      <c r="M765" s="4">
        <v>3.0000000000000001E-3</v>
      </c>
      <c r="N765" s="4">
        <v>-5.7999999999999996E-3</v>
      </c>
      <c r="O765" s="4">
        <v>2.0000000000000001E-4</v>
      </c>
      <c r="P765" s="4">
        <v>133.01</v>
      </c>
      <c r="Q765" s="4">
        <v>0.15</v>
      </c>
      <c r="R765" s="53">
        <f t="shared" si="27"/>
        <v>0.27368312757201646</v>
      </c>
      <c r="S765" s="22">
        <f t="shared" si="28"/>
        <v>3.0864197530864197E-4</v>
      </c>
    </row>
    <row r="766" spans="1:19" ht="16">
      <c r="A766" s="52" t="s">
        <v>176</v>
      </c>
      <c r="B766" s="53" t="s">
        <v>463</v>
      </c>
      <c r="C766" s="53"/>
      <c r="D766" s="53">
        <v>0</v>
      </c>
      <c r="E766" s="4">
        <v>12</v>
      </c>
      <c r="F766" s="4">
        <v>3</v>
      </c>
      <c r="G766" s="4">
        <v>18</v>
      </c>
      <c r="H766" s="53">
        <v>6.4987000000000004</v>
      </c>
      <c r="I766" s="4">
        <v>4.0000000000000002E-4</v>
      </c>
      <c r="J766" s="53">
        <v>-36.641500000000001</v>
      </c>
      <c r="K766" s="4">
        <v>1.2999999999999999E-3</v>
      </c>
      <c r="L766" s="4">
        <v>2.5000000000000001E-2</v>
      </c>
      <c r="M766" s="4">
        <v>3.0000000000000001E-3</v>
      </c>
      <c r="N766" s="4">
        <v>-5.7999999999999996E-3</v>
      </c>
      <c r="O766" s="4">
        <v>2.0000000000000001E-4</v>
      </c>
      <c r="P766" s="4">
        <v>133.01</v>
      </c>
      <c r="Q766" s="4">
        <v>0.15</v>
      </c>
      <c r="R766" s="53">
        <f t="shared" si="27"/>
        <v>0.27368312757201646</v>
      </c>
      <c r="S766" s="22">
        <f t="shared" si="28"/>
        <v>3.0864197530864197E-4</v>
      </c>
    </row>
    <row r="767" spans="1:19" ht="16">
      <c r="A767" s="52" t="s">
        <v>177</v>
      </c>
      <c r="B767" s="53" t="s">
        <v>464</v>
      </c>
      <c r="C767" s="53"/>
      <c r="D767" s="53">
        <v>0</v>
      </c>
      <c r="E767" s="4">
        <v>12</v>
      </c>
      <c r="F767" s="4">
        <v>3</v>
      </c>
      <c r="G767" s="4">
        <v>18</v>
      </c>
      <c r="H767" s="53">
        <v>6.4987000000000004</v>
      </c>
      <c r="I767" s="4">
        <v>4.0000000000000002E-4</v>
      </c>
      <c r="J767" s="53">
        <v>-36.641500000000001</v>
      </c>
      <c r="K767" s="4">
        <v>1.2999999999999999E-3</v>
      </c>
      <c r="L767" s="4">
        <v>2.5000000000000001E-2</v>
      </c>
      <c r="M767" s="4">
        <v>3.0000000000000001E-3</v>
      </c>
      <c r="N767" s="4">
        <v>-5.7999999999999996E-3</v>
      </c>
      <c r="O767" s="4">
        <v>2.0000000000000001E-4</v>
      </c>
      <c r="P767" s="4">
        <v>133.01</v>
      </c>
      <c r="Q767" s="4">
        <v>0.15</v>
      </c>
      <c r="R767" s="53">
        <f t="shared" si="27"/>
        <v>0.27368312757201646</v>
      </c>
      <c r="S767" s="22">
        <f t="shared" si="28"/>
        <v>3.0864197530864197E-4</v>
      </c>
    </row>
    <row r="768" spans="1:19" ht="16">
      <c r="A768" s="52" t="s">
        <v>178</v>
      </c>
      <c r="B768" s="53" t="s">
        <v>465</v>
      </c>
      <c r="C768" s="53"/>
      <c r="D768" s="53">
        <v>0</v>
      </c>
      <c r="E768" s="4">
        <v>12</v>
      </c>
      <c r="F768" s="4">
        <v>3</v>
      </c>
      <c r="G768" s="4">
        <v>18</v>
      </c>
      <c r="H768" s="53">
        <v>6.4987000000000004</v>
      </c>
      <c r="I768" s="4">
        <v>4.0000000000000002E-4</v>
      </c>
      <c r="J768" s="53">
        <v>-36.641500000000001</v>
      </c>
      <c r="K768" s="4">
        <v>1.2999999999999999E-3</v>
      </c>
      <c r="L768" s="4">
        <v>2.5000000000000001E-2</v>
      </c>
      <c r="M768" s="4">
        <v>3.0000000000000001E-3</v>
      </c>
      <c r="N768" s="4">
        <v>-5.7999999999999996E-3</v>
      </c>
      <c r="O768" s="4">
        <v>2.0000000000000001E-4</v>
      </c>
      <c r="P768" s="4">
        <v>133.01</v>
      </c>
      <c r="Q768" s="4">
        <v>0.15</v>
      </c>
      <c r="R768" s="53">
        <f t="shared" si="27"/>
        <v>0.27368312757201646</v>
      </c>
      <c r="S768" s="22">
        <f t="shared" si="28"/>
        <v>3.0864197530864197E-4</v>
      </c>
    </row>
    <row r="769" spans="1:19" ht="16">
      <c r="A769" s="52" t="s">
        <v>179</v>
      </c>
      <c r="B769" s="53" t="s">
        <v>466</v>
      </c>
      <c r="C769" s="53"/>
      <c r="D769" s="53">
        <v>0</v>
      </c>
      <c r="E769" s="4">
        <v>12</v>
      </c>
      <c r="F769" s="4">
        <v>3</v>
      </c>
      <c r="G769" s="4">
        <v>18</v>
      </c>
      <c r="H769" s="53">
        <v>6.4987000000000004</v>
      </c>
      <c r="I769" s="4">
        <v>4.0000000000000002E-4</v>
      </c>
      <c r="J769" s="53">
        <v>-36.641500000000001</v>
      </c>
      <c r="K769" s="4">
        <v>1.2999999999999999E-3</v>
      </c>
      <c r="L769" s="4">
        <v>2.5000000000000001E-2</v>
      </c>
      <c r="M769" s="4">
        <v>3.0000000000000001E-3</v>
      </c>
      <c r="N769" s="4">
        <v>-5.7999999999999996E-3</v>
      </c>
      <c r="O769" s="4">
        <v>2.0000000000000001E-4</v>
      </c>
      <c r="P769" s="4">
        <v>133.01</v>
      </c>
      <c r="Q769" s="4">
        <v>0.15</v>
      </c>
      <c r="R769" s="53">
        <f t="shared" si="27"/>
        <v>0.27368312757201646</v>
      </c>
      <c r="S769" s="22">
        <f t="shared" si="28"/>
        <v>3.0864197530864197E-4</v>
      </c>
    </row>
    <row r="770" spans="1:19" ht="16">
      <c r="A770" s="52" t="s">
        <v>180</v>
      </c>
      <c r="B770" s="53" t="s">
        <v>467</v>
      </c>
      <c r="C770" s="53"/>
      <c r="D770" s="53">
        <v>0</v>
      </c>
      <c r="E770" s="4">
        <v>12</v>
      </c>
      <c r="F770" s="4">
        <v>3</v>
      </c>
      <c r="G770" s="4">
        <v>18</v>
      </c>
      <c r="H770" s="53">
        <v>6.4987000000000004</v>
      </c>
      <c r="I770" s="4">
        <v>4.0000000000000002E-4</v>
      </c>
      <c r="J770" s="53">
        <v>-36.641500000000001</v>
      </c>
      <c r="K770" s="4">
        <v>1.2999999999999999E-3</v>
      </c>
      <c r="L770" s="4">
        <v>2.5000000000000001E-2</v>
      </c>
      <c r="M770" s="4">
        <v>3.0000000000000001E-3</v>
      </c>
      <c r="N770" s="4">
        <v>-5.7999999999999996E-3</v>
      </c>
      <c r="O770" s="4">
        <v>2.0000000000000001E-4</v>
      </c>
      <c r="P770" s="4">
        <v>133.01</v>
      </c>
      <c r="Q770" s="4">
        <v>0.15</v>
      </c>
      <c r="R770" s="53">
        <f t="shared" si="27"/>
        <v>0.27368312757201646</v>
      </c>
      <c r="S770" s="22">
        <f t="shared" si="28"/>
        <v>3.0864197530864197E-4</v>
      </c>
    </row>
    <row r="771" spans="1:19" ht="16">
      <c r="A771" s="52" t="s">
        <v>181</v>
      </c>
      <c r="B771" s="53" t="s">
        <v>468</v>
      </c>
      <c r="C771" s="53"/>
      <c r="D771" s="53">
        <v>0</v>
      </c>
      <c r="E771" s="4">
        <v>12</v>
      </c>
      <c r="F771" s="4">
        <v>3</v>
      </c>
      <c r="G771" s="4">
        <v>18</v>
      </c>
      <c r="H771" s="53">
        <v>6.4987000000000004</v>
      </c>
      <c r="I771" s="4">
        <v>4.0000000000000002E-4</v>
      </c>
      <c r="J771" s="53">
        <v>-36.641500000000001</v>
      </c>
      <c r="K771" s="4">
        <v>1.2999999999999999E-3</v>
      </c>
      <c r="L771" s="4">
        <v>2.5000000000000001E-2</v>
      </c>
      <c r="M771" s="4">
        <v>3.0000000000000001E-3</v>
      </c>
      <c r="N771" s="4">
        <v>-5.7999999999999996E-3</v>
      </c>
      <c r="O771" s="4">
        <v>2.0000000000000001E-4</v>
      </c>
      <c r="P771" s="4">
        <v>133.01</v>
      </c>
      <c r="Q771" s="4">
        <v>0.15</v>
      </c>
      <c r="R771" s="53">
        <f t="shared" si="27"/>
        <v>0.27368312757201646</v>
      </c>
      <c r="S771" s="22">
        <f t="shared" si="28"/>
        <v>3.0864197530864197E-4</v>
      </c>
    </row>
    <row r="772" spans="1:19" ht="16">
      <c r="A772" s="52" t="s">
        <v>182</v>
      </c>
      <c r="B772" s="53" t="s">
        <v>469</v>
      </c>
      <c r="C772" s="53"/>
      <c r="D772" s="53">
        <v>0</v>
      </c>
      <c r="E772" s="4">
        <v>12</v>
      </c>
      <c r="F772" s="4">
        <v>3</v>
      </c>
      <c r="G772" s="4">
        <v>18</v>
      </c>
      <c r="H772" s="53">
        <v>6.4987000000000004</v>
      </c>
      <c r="I772" s="4">
        <v>4.0000000000000002E-4</v>
      </c>
      <c r="J772" s="53">
        <v>-36.641500000000001</v>
      </c>
      <c r="K772" s="4">
        <v>1.2999999999999999E-3</v>
      </c>
      <c r="L772" s="4">
        <v>2.5000000000000001E-2</v>
      </c>
      <c r="M772" s="4">
        <v>3.0000000000000001E-3</v>
      </c>
      <c r="N772" s="4">
        <v>-5.7999999999999996E-3</v>
      </c>
      <c r="O772" s="4">
        <v>2.0000000000000001E-4</v>
      </c>
      <c r="P772" s="4">
        <v>133.01</v>
      </c>
      <c r="Q772" s="4">
        <v>0.15</v>
      </c>
      <c r="R772" s="53">
        <f t="shared" si="27"/>
        <v>0.27368312757201646</v>
      </c>
      <c r="S772" s="22">
        <f t="shared" si="28"/>
        <v>3.0864197530864197E-4</v>
      </c>
    </row>
    <row r="773" spans="1:19" ht="16">
      <c r="A773" s="52" t="s">
        <v>183</v>
      </c>
      <c r="B773" s="53" t="s">
        <v>470</v>
      </c>
      <c r="C773" s="53"/>
      <c r="D773" s="53">
        <v>0</v>
      </c>
      <c r="E773" s="4">
        <v>12</v>
      </c>
      <c r="F773" s="4">
        <v>3</v>
      </c>
      <c r="G773" s="4">
        <v>18</v>
      </c>
      <c r="H773" s="53">
        <v>6.4987000000000004</v>
      </c>
      <c r="I773" s="4">
        <v>4.0000000000000002E-4</v>
      </c>
      <c r="J773" s="53">
        <v>-36.641500000000001</v>
      </c>
      <c r="K773" s="4">
        <v>1.2999999999999999E-3</v>
      </c>
      <c r="L773" s="4">
        <v>2.5000000000000001E-2</v>
      </c>
      <c r="M773" s="4">
        <v>3.0000000000000001E-3</v>
      </c>
      <c r="N773" s="4">
        <v>-5.7999999999999996E-3</v>
      </c>
      <c r="O773" s="4">
        <v>2.0000000000000001E-4</v>
      </c>
      <c r="P773" s="4">
        <v>133.01</v>
      </c>
      <c r="Q773" s="4">
        <v>0.15</v>
      </c>
      <c r="R773" s="53">
        <f t="shared" si="27"/>
        <v>0.27368312757201646</v>
      </c>
      <c r="S773" s="22">
        <f t="shared" si="28"/>
        <v>3.0864197530864197E-4</v>
      </c>
    </row>
    <row r="774" spans="1:19" ht="16">
      <c r="A774" s="52" t="s">
        <v>184</v>
      </c>
      <c r="B774" s="53" t="s">
        <v>471</v>
      </c>
      <c r="C774" s="53"/>
      <c r="D774" s="53">
        <v>0</v>
      </c>
      <c r="E774" s="4">
        <v>12</v>
      </c>
      <c r="F774" s="4">
        <v>3</v>
      </c>
      <c r="G774" s="4">
        <v>18</v>
      </c>
      <c r="H774" s="53">
        <v>6.4987000000000004</v>
      </c>
      <c r="I774" s="4">
        <v>4.0000000000000002E-4</v>
      </c>
      <c r="J774" s="53">
        <v>-36.641500000000001</v>
      </c>
      <c r="K774" s="4">
        <v>1.2999999999999999E-3</v>
      </c>
      <c r="L774" s="4">
        <v>2.5000000000000001E-2</v>
      </c>
      <c r="M774" s="4">
        <v>3.0000000000000001E-3</v>
      </c>
      <c r="N774" s="4">
        <v>-5.7999999999999996E-3</v>
      </c>
      <c r="O774" s="4">
        <v>2.0000000000000001E-4</v>
      </c>
      <c r="P774" s="4">
        <v>133.01</v>
      </c>
      <c r="Q774" s="4">
        <v>0.15</v>
      </c>
      <c r="R774" s="53">
        <f t="shared" si="27"/>
        <v>0.27368312757201646</v>
      </c>
      <c r="S774" s="22">
        <f t="shared" si="28"/>
        <v>3.0864197530864197E-4</v>
      </c>
    </row>
    <row r="775" spans="1:19" ht="16">
      <c r="A775" s="52" t="s">
        <v>185</v>
      </c>
      <c r="B775" s="53" t="s">
        <v>472</v>
      </c>
      <c r="C775" s="53"/>
      <c r="D775" s="53">
        <v>0</v>
      </c>
      <c r="E775" s="4">
        <v>12</v>
      </c>
      <c r="F775" s="4">
        <v>3</v>
      </c>
      <c r="G775" s="4">
        <v>18</v>
      </c>
      <c r="H775" s="53">
        <v>6.4987000000000004</v>
      </c>
      <c r="I775" s="4">
        <v>4.0000000000000002E-4</v>
      </c>
      <c r="J775" s="53">
        <v>-36.641500000000001</v>
      </c>
      <c r="K775" s="4">
        <v>1.2999999999999999E-3</v>
      </c>
      <c r="L775" s="4">
        <v>2.5000000000000001E-2</v>
      </c>
      <c r="M775" s="4">
        <v>3.0000000000000001E-3</v>
      </c>
      <c r="N775" s="4">
        <v>-5.7999999999999996E-3</v>
      </c>
      <c r="O775" s="4">
        <v>2.0000000000000001E-4</v>
      </c>
      <c r="P775" s="4">
        <v>133.01</v>
      </c>
      <c r="Q775" s="4">
        <v>0.15</v>
      </c>
      <c r="R775" s="53">
        <f t="shared" si="27"/>
        <v>0.27368312757201646</v>
      </c>
      <c r="S775" s="22">
        <f t="shared" si="28"/>
        <v>3.0864197530864197E-4</v>
      </c>
    </row>
    <row r="776" spans="1:19" ht="16">
      <c r="A776" s="52" t="s">
        <v>186</v>
      </c>
      <c r="B776" s="53" t="s">
        <v>473</v>
      </c>
      <c r="C776" s="53"/>
      <c r="D776" s="53">
        <v>0</v>
      </c>
      <c r="E776" s="4">
        <v>12</v>
      </c>
      <c r="F776" s="4">
        <v>3</v>
      </c>
      <c r="G776" s="4">
        <v>18</v>
      </c>
      <c r="H776" s="53">
        <v>6.4987000000000004</v>
      </c>
      <c r="I776" s="4">
        <v>4.0000000000000002E-4</v>
      </c>
      <c r="J776" s="53">
        <v>-36.641500000000001</v>
      </c>
      <c r="K776" s="4">
        <v>1.2999999999999999E-3</v>
      </c>
      <c r="L776" s="4">
        <v>2.5000000000000001E-2</v>
      </c>
      <c r="M776" s="4">
        <v>3.0000000000000001E-3</v>
      </c>
      <c r="N776" s="4">
        <v>-5.7999999999999996E-3</v>
      </c>
      <c r="O776" s="4">
        <v>2.0000000000000001E-4</v>
      </c>
      <c r="P776" s="4">
        <v>133.01</v>
      </c>
      <c r="Q776" s="4">
        <v>0.15</v>
      </c>
      <c r="R776" s="53">
        <f t="shared" si="27"/>
        <v>0.27368312757201646</v>
      </c>
      <c r="S776" s="22">
        <f t="shared" si="28"/>
        <v>3.0864197530864197E-4</v>
      </c>
    </row>
    <row r="777" spans="1:19" ht="16">
      <c r="A777" s="52" t="s">
        <v>187</v>
      </c>
      <c r="B777" s="53" t="s">
        <v>474</v>
      </c>
      <c r="C777" s="53"/>
      <c r="D777" s="53">
        <v>0</v>
      </c>
      <c r="E777" s="4">
        <v>12</v>
      </c>
      <c r="F777" s="4">
        <v>4</v>
      </c>
      <c r="G777" s="4">
        <v>18</v>
      </c>
      <c r="H777" s="53">
        <v>6.4987000000000004</v>
      </c>
      <c r="I777" s="4">
        <v>4.0000000000000002E-4</v>
      </c>
      <c r="J777" s="53">
        <v>-36.641500000000001</v>
      </c>
      <c r="K777" s="4">
        <v>1.2999999999999999E-3</v>
      </c>
      <c r="L777" s="4">
        <v>2.5000000000000001E-2</v>
      </c>
      <c r="M777" s="4">
        <v>3.0000000000000001E-3</v>
      </c>
      <c r="N777" s="4">
        <v>-5.7999999999999996E-3</v>
      </c>
      <c r="O777" s="4">
        <v>2.0000000000000001E-4</v>
      </c>
      <c r="P777" s="4">
        <v>133.01</v>
      </c>
      <c r="Q777" s="4">
        <v>0.15</v>
      </c>
      <c r="R777" s="53">
        <f t="shared" si="27"/>
        <v>0.27368312757201646</v>
      </c>
      <c r="S777" s="22">
        <f t="shared" si="28"/>
        <v>3.0864197530864197E-4</v>
      </c>
    </row>
    <row r="778" spans="1:19" ht="16">
      <c r="A778" s="52" t="s">
        <v>188</v>
      </c>
      <c r="B778" s="53" t="s">
        <v>475</v>
      </c>
      <c r="C778" s="53"/>
      <c r="D778" s="53">
        <v>0</v>
      </c>
      <c r="E778" s="4">
        <v>12</v>
      </c>
      <c r="F778" s="4">
        <v>4</v>
      </c>
      <c r="G778" s="4">
        <v>18</v>
      </c>
      <c r="H778" s="53">
        <v>6.4987000000000004</v>
      </c>
      <c r="I778" s="4">
        <v>4.0000000000000002E-4</v>
      </c>
      <c r="J778" s="53">
        <v>-36.641500000000001</v>
      </c>
      <c r="K778" s="4">
        <v>1.2999999999999999E-3</v>
      </c>
      <c r="L778" s="4">
        <v>2.5000000000000001E-2</v>
      </c>
      <c r="M778" s="4">
        <v>3.0000000000000001E-3</v>
      </c>
      <c r="N778" s="4">
        <v>-5.7999999999999996E-3</v>
      </c>
      <c r="O778" s="4">
        <v>2.0000000000000001E-4</v>
      </c>
      <c r="P778" s="4">
        <v>133.01</v>
      </c>
      <c r="Q778" s="4">
        <v>0.15</v>
      </c>
      <c r="R778" s="53">
        <f t="shared" si="27"/>
        <v>0.27368312757201646</v>
      </c>
      <c r="S778" s="22">
        <f t="shared" si="28"/>
        <v>3.0864197530864197E-4</v>
      </c>
    </row>
    <row r="779" spans="1:19" ht="16">
      <c r="A779" s="52" t="s">
        <v>189</v>
      </c>
      <c r="B779" s="53" t="s">
        <v>476</v>
      </c>
      <c r="C779" s="53"/>
      <c r="D779" s="53">
        <v>0</v>
      </c>
      <c r="E779" s="4">
        <v>12</v>
      </c>
      <c r="F779" s="4">
        <v>4</v>
      </c>
      <c r="G779" s="4">
        <v>18</v>
      </c>
      <c r="H779" s="53">
        <v>6.4987000000000004</v>
      </c>
      <c r="I779" s="4">
        <v>4.0000000000000002E-4</v>
      </c>
      <c r="J779" s="53">
        <v>-36.641500000000001</v>
      </c>
      <c r="K779" s="4">
        <v>1.2999999999999999E-3</v>
      </c>
      <c r="L779" s="4">
        <v>2.5000000000000001E-2</v>
      </c>
      <c r="M779" s="4">
        <v>3.0000000000000001E-3</v>
      </c>
      <c r="N779" s="4">
        <v>-5.7999999999999996E-3</v>
      </c>
      <c r="O779" s="4">
        <v>2.0000000000000001E-4</v>
      </c>
      <c r="P779" s="4">
        <v>133.01</v>
      </c>
      <c r="Q779" s="4">
        <v>0.15</v>
      </c>
      <c r="R779" s="53">
        <f t="shared" si="27"/>
        <v>0.27368312757201646</v>
      </c>
      <c r="S779" s="22">
        <f t="shared" si="28"/>
        <v>3.0864197530864197E-4</v>
      </c>
    </row>
    <row r="780" spans="1:19" ht="16">
      <c r="A780" s="52" t="s">
        <v>190</v>
      </c>
      <c r="B780" s="53" t="s">
        <v>477</v>
      </c>
      <c r="C780" s="53"/>
      <c r="D780" s="53">
        <v>0</v>
      </c>
      <c r="E780" s="4">
        <v>12</v>
      </c>
      <c r="F780" s="4">
        <v>4</v>
      </c>
      <c r="G780" s="4">
        <v>18</v>
      </c>
      <c r="H780" s="53">
        <v>6.4987000000000004</v>
      </c>
      <c r="I780" s="4">
        <v>4.0000000000000002E-4</v>
      </c>
      <c r="J780" s="53">
        <v>-36.641500000000001</v>
      </c>
      <c r="K780" s="4">
        <v>1.2999999999999999E-3</v>
      </c>
      <c r="L780" s="4">
        <v>2.5000000000000001E-2</v>
      </c>
      <c r="M780" s="4">
        <v>3.0000000000000001E-3</v>
      </c>
      <c r="N780" s="4">
        <v>-5.7999999999999996E-3</v>
      </c>
      <c r="O780" s="4">
        <v>2.0000000000000001E-4</v>
      </c>
      <c r="P780" s="4">
        <v>133.01</v>
      </c>
      <c r="Q780" s="4">
        <v>0.15</v>
      </c>
      <c r="R780" s="53">
        <f t="shared" si="27"/>
        <v>0.27368312757201646</v>
      </c>
      <c r="S780" s="22">
        <f t="shared" si="28"/>
        <v>3.0864197530864197E-4</v>
      </c>
    </row>
    <row r="781" spans="1:19" ht="16">
      <c r="A781" s="52" t="s">
        <v>191</v>
      </c>
      <c r="B781" s="53" t="s">
        <v>478</v>
      </c>
      <c r="C781" s="53"/>
      <c r="D781" s="53">
        <v>0</v>
      </c>
      <c r="E781" s="4">
        <v>12</v>
      </c>
      <c r="F781" s="4">
        <v>4</v>
      </c>
      <c r="G781" s="4">
        <v>18</v>
      </c>
      <c r="H781" s="53">
        <v>6.4987000000000004</v>
      </c>
      <c r="I781" s="4">
        <v>4.0000000000000002E-4</v>
      </c>
      <c r="J781" s="53">
        <v>-36.641500000000001</v>
      </c>
      <c r="K781" s="4">
        <v>1.2999999999999999E-3</v>
      </c>
      <c r="L781" s="4">
        <v>2.5000000000000001E-2</v>
      </c>
      <c r="M781" s="4">
        <v>3.0000000000000001E-3</v>
      </c>
      <c r="N781" s="4">
        <v>-5.7999999999999996E-3</v>
      </c>
      <c r="O781" s="4">
        <v>2.0000000000000001E-4</v>
      </c>
      <c r="P781" s="4">
        <v>133.01</v>
      </c>
      <c r="Q781" s="4">
        <v>0.15</v>
      </c>
      <c r="R781" s="53">
        <f t="shared" si="27"/>
        <v>0.27368312757201646</v>
      </c>
      <c r="S781" s="22">
        <f t="shared" si="28"/>
        <v>3.0864197530864197E-4</v>
      </c>
    </row>
    <row r="782" spans="1:19" ht="16">
      <c r="A782" s="52" t="s">
        <v>192</v>
      </c>
      <c r="B782" s="53" t="s">
        <v>479</v>
      </c>
      <c r="C782" s="53"/>
      <c r="D782" s="53">
        <v>0</v>
      </c>
      <c r="E782" s="4">
        <v>12</v>
      </c>
      <c r="F782" s="4">
        <v>4</v>
      </c>
      <c r="G782" s="4">
        <v>18</v>
      </c>
      <c r="H782" s="53">
        <v>6.4987000000000004</v>
      </c>
      <c r="I782" s="4">
        <v>4.0000000000000002E-4</v>
      </c>
      <c r="J782" s="53">
        <v>-36.641500000000001</v>
      </c>
      <c r="K782" s="4">
        <v>1.2999999999999999E-3</v>
      </c>
      <c r="L782" s="4">
        <v>2.5000000000000001E-2</v>
      </c>
      <c r="M782" s="4">
        <v>3.0000000000000001E-3</v>
      </c>
      <c r="N782" s="4">
        <v>-5.7999999999999996E-3</v>
      </c>
      <c r="O782" s="4">
        <v>2.0000000000000001E-4</v>
      </c>
      <c r="P782" s="4">
        <v>133.01</v>
      </c>
      <c r="Q782" s="4">
        <v>0.15</v>
      </c>
      <c r="R782" s="53">
        <f t="shared" si="27"/>
        <v>0.27368312757201646</v>
      </c>
      <c r="S782" s="22">
        <f t="shared" si="28"/>
        <v>3.0864197530864197E-4</v>
      </c>
    </row>
    <row r="783" spans="1:19" ht="16">
      <c r="A783" s="52" t="s">
        <v>193</v>
      </c>
      <c r="B783" s="53" t="s">
        <v>480</v>
      </c>
      <c r="C783" s="53"/>
      <c r="D783" s="53">
        <v>0</v>
      </c>
      <c r="E783" s="4">
        <v>12</v>
      </c>
      <c r="F783" s="4">
        <v>4</v>
      </c>
      <c r="G783" s="4">
        <v>18</v>
      </c>
      <c r="H783" s="53">
        <v>6.4987000000000004</v>
      </c>
      <c r="I783" s="4">
        <v>4.0000000000000002E-4</v>
      </c>
      <c r="J783" s="53">
        <v>-36.641500000000001</v>
      </c>
      <c r="K783" s="4">
        <v>1.2999999999999999E-3</v>
      </c>
      <c r="L783" s="4">
        <v>2.5000000000000001E-2</v>
      </c>
      <c r="M783" s="4">
        <v>3.0000000000000001E-3</v>
      </c>
      <c r="N783" s="4">
        <v>-5.7999999999999996E-3</v>
      </c>
      <c r="O783" s="4">
        <v>2.0000000000000001E-4</v>
      </c>
      <c r="P783" s="4">
        <v>133.01</v>
      </c>
      <c r="Q783" s="4">
        <v>0.15</v>
      </c>
      <c r="R783" s="53">
        <f t="shared" si="27"/>
        <v>0.27368312757201646</v>
      </c>
      <c r="S783" s="22">
        <f t="shared" si="28"/>
        <v>3.0864197530864197E-4</v>
      </c>
    </row>
    <row r="784" spans="1:19" ht="16">
      <c r="A784" s="52" t="s">
        <v>194</v>
      </c>
      <c r="B784" s="53" t="s">
        <v>481</v>
      </c>
      <c r="C784" s="53"/>
      <c r="D784" s="53">
        <v>0</v>
      </c>
      <c r="E784" s="4">
        <v>12</v>
      </c>
      <c r="F784" s="4">
        <v>4</v>
      </c>
      <c r="G784" s="4">
        <v>18</v>
      </c>
      <c r="H784" s="53">
        <v>6.4987000000000004</v>
      </c>
      <c r="I784" s="4">
        <v>4.0000000000000002E-4</v>
      </c>
      <c r="J784" s="53">
        <v>-36.641500000000001</v>
      </c>
      <c r="K784" s="4">
        <v>1.2999999999999999E-3</v>
      </c>
      <c r="L784" s="4">
        <v>2.5000000000000001E-2</v>
      </c>
      <c r="M784" s="4">
        <v>3.0000000000000001E-3</v>
      </c>
      <c r="N784" s="4">
        <v>-5.7999999999999996E-3</v>
      </c>
      <c r="O784" s="4">
        <v>2.0000000000000001E-4</v>
      </c>
      <c r="P784" s="4">
        <v>133.01</v>
      </c>
      <c r="Q784" s="4">
        <v>0.15</v>
      </c>
      <c r="R784" s="53">
        <f t="shared" si="27"/>
        <v>0.27368312757201646</v>
      </c>
      <c r="S784" s="22">
        <f t="shared" si="28"/>
        <v>3.0864197530864197E-4</v>
      </c>
    </row>
    <row r="785" spans="1:19" ht="16">
      <c r="A785" s="52" t="s">
        <v>195</v>
      </c>
      <c r="B785" s="53" t="s">
        <v>482</v>
      </c>
      <c r="C785" s="53"/>
      <c r="D785" s="53">
        <v>0</v>
      </c>
      <c r="E785" s="4">
        <v>12</v>
      </c>
      <c r="F785" s="4">
        <v>4</v>
      </c>
      <c r="G785" s="4">
        <v>18</v>
      </c>
      <c r="H785" s="53">
        <v>6.4987000000000004</v>
      </c>
      <c r="I785" s="4">
        <v>4.0000000000000002E-4</v>
      </c>
      <c r="J785" s="53">
        <v>-36.641500000000001</v>
      </c>
      <c r="K785" s="4">
        <v>1.2999999999999999E-3</v>
      </c>
      <c r="L785" s="4">
        <v>2.5000000000000001E-2</v>
      </c>
      <c r="M785" s="4">
        <v>3.0000000000000001E-3</v>
      </c>
      <c r="N785" s="4">
        <v>-5.7999999999999996E-3</v>
      </c>
      <c r="O785" s="4">
        <v>2.0000000000000001E-4</v>
      </c>
      <c r="P785" s="4">
        <v>133.01</v>
      </c>
      <c r="Q785" s="4">
        <v>0.15</v>
      </c>
      <c r="R785" s="53">
        <f t="shared" si="27"/>
        <v>0.27368312757201646</v>
      </c>
      <c r="S785" s="22">
        <f t="shared" si="28"/>
        <v>3.0864197530864197E-4</v>
      </c>
    </row>
    <row r="786" spans="1:19" ht="16">
      <c r="A786" s="52" t="s">
        <v>196</v>
      </c>
      <c r="B786" s="53" t="s">
        <v>483</v>
      </c>
      <c r="C786" s="53"/>
      <c r="D786" s="53">
        <v>0</v>
      </c>
      <c r="E786" s="4">
        <v>12</v>
      </c>
      <c r="F786" s="4">
        <v>4</v>
      </c>
      <c r="G786" s="4">
        <v>18</v>
      </c>
      <c r="H786" s="53">
        <v>6.4987000000000004</v>
      </c>
      <c r="I786" s="4">
        <v>4.0000000000000002E-4</v>
      </c>
      <c r="J786" s="53">
        <v>-36.641500000000001</v>
      </c>
      <c r="K786" s="4">
        <v>1.2999999999999999E-3</v>
      </c>
      <c r="L786" s="4">
        <v>2.5000000000000001E-2</v>
      </c>
      <c r="M786" s="4">
        <v>3.0000000000000001E-3</v>
      </c>
      <c r="N786" s="4">
        <v>-5.7999999999999996E-3</v>
      </c>
      <c r="O786" s="4">
        <v>2.0000000000000001E-4</v>
      </c>
      <c r="P786" s="4">
        <v>133.01</v>
      </c>
      <c r="Q786" s="4">
        <v>0.15</v>
      </c>
      <c r="R786" s="53">
        <f t="shared" si="27"/>
        <v>0.27368312757201646</v>
      </c>
      <c r="S786" s="22">
        <f t="shared" si="28"/>
        <v>3.0864197530864197E-4</v>
      </c>
    </row>
    <row r="787" spans="1:19" ht="16">
      <c r="A787" s="52" t="s">
        <v>197</v>
      </c>
      <c r="B787" s="53" t="s">
        <v>484</v>
      </c>
      <c r="C787" s="53"/>
      <c r="D787" s="53">
        <v>0</v>
      </c>
      <c r="E787" s="4">
        <v>12</v>
      </c>
      <c r="F787" s="4">
        <v>4</v>
      </c>
      <c r="G787" s="4">
        <v>18</v>
      </c>
      <c r="H787" s="53">
        <v>6.4987000000000004</v>
      </c>
      <c r="I787" s="4">
        <v>4.0000000000000002E-4</v>
      </c>
      <c r="J787" s="53">
        <v>-36.641500000000001</v>
      </c>
      <c r="K787" s="4">
        <v>1.2999999999999999E-3</v>
      </c>
      <c r="L787" s="4">
        <v>2.5000000000000001E-2</v>
      </c>
      <c r="M787" s="4">
        <v>3.0000000000000001E-3</v>
      </c>
      <c r="N787" s="4">
        <v>-5.7999999999999996E-3</v>
      </c>
      <c r="O787" s="4">
        <v>2.0000000000000001E-4</v>
      </c>
      <c r="P787" s="4">
        <v>133.01</v>
      </c>
      <c r="Q787" s="4">
        <v>0.15</v>
      </c>
      <c r="R787" s="53">
        <f t="shared" si="27"/>
        <v>0.27368312757201646</v>
      </c>
      <c r="S787" s="22">
        <f t="shared" si="28"/>
        <v>3.0864197530864197E-4</v>
      </c>
    </row>
    <row r="788" spans="1:19" ht="16">
      <c r="A788" s="52" t="s">
        <v>198</v>
      </c>
      <c r="B788" s="53" t="s">
        <v>485</v>
      </c>
      <c r="C788" s="53"/>
      <c r="D788" s="53">
        <v>0</v>
      </c>
      <c r="E788" s="4">
        <v>12</v>
      </c>
      <c r="F788" s="4">
        <v>4</v>
      </c>
      <c r="G788" s="4">
        <v>18</v>
      </c>
      <c r="H788" s="53">
        <v>6.4987000000000004</v>
      </c>
      <c r="I788" s="4">
        <v>4.0000000000000002E-4</v>
      </c>
      <c r="J788" s="53">
        <v>-36.641500000000001</v>
      </c>
      <c r="K788" s="4">
        <v>1.2999999999999999E-3</v>
      </c>
      <c r="L788" s="4">
        <v>2.5000000000000001E-2</v>
      </c>
      <c r="M788" s="4">
        <v>3.0000000000000001E-3</v>
      </c>
      <c r="N788" s="4">
        <v>-5.7999999999999996E-3</v>
      </c>
      <c r="O788" s="4">
        <v>2.0000000000000001E-4</v>
      </c>
      <c r="P788" s="4">
        <v>133.01</v>
      </c>
      <c r="Q788" s="4">
        <v>0.15</v>
      </c>
      <c r="R788" s="53">
        <f t="shared" si="27"/>
        <v>0.27368312757201646</v>
      </c>
      <c r="S788" s="22">
        <f t="shared" si="28"/>
        <v>3.0864197530864197E-4</v>
      </c>
    </row>
    <row r="789" spans="1:19" ht="16">
      <c r="A789" s="52" t="s">
        <v>199</v>
      </c>
      <c r="B789" s="53" t="s">
        <v>486</v>
      </c>
      <c r="C789" s="53"/>
      <c r="D789" s="53">
        <v>0</v>
      </c>
      <c r="E789" s="4">
        <v>12</v>
      </c>
      <c r="F789" s="4">
        <v>4</v>
      </c>
      <c r="G789" s="4">
        <v>18</v>
      </c>
      <c r="H789" s="53">
        <v>6.4987000000000004</v>
      </c>
      <c r="I789" s="4">
        <v>4.0000000000000002E-4</v>
      </c>
      <c r="J789" s="53">
        <v>-36.641500000000001</v>
      </c>
      <c r="K789" s="4">
        <v>1.2999999999999999E-3</v>
      </c>
      <c r="L789" s="4">
        <v>2.5000000000000001E-2</v>
      </c>
      <c r="M789" s="4">
        <v>3.0000000000000001E-3</v>
      </c>
      <c r="N789" s="4">
        <v>-5.7999999999999996E-3</v>
      </c>
      <c r="O789" s="4">
        <v>2.0000000000000001E-4</v>
      </c>
      <c r="P789" s="4">
        <v>133.01</v>
      </c>
      <c r="Q789" s="4">
        <v>0.15</v>
      </c>
      <c r="R789" s="53">
        <f t="shared" si="27"/>
        <v>0.27368312757201646</v>
      </c>
      <c r="S789" s="22">
        <f t="shared" si="28"/>
        <v>3.0864197530864197E-4</v>
      </c>
    </row>
    <row r="790" spans="1:19" ht="16">
      <c r="A790" s="52" t="s">
        <v>200</v>
      </c>
      <c r="B790" s="53" t="s">
        <v>487</v>
      </c>
      <c r="C790" s="53"/>
      <c r="D790" s="53">
        <v>0</v>
      </c>
      <c r="E790" s="4">
        <v>12</v>
      </c>
      <c r="F790" s="4">
        <v>4</v>
      </c>
      <c r="G790" s="4">
        <v>18</v>
      </c>
      <c r="H790" s="53">
        <v>6.4987000000000004</v>
      </c>
      <c r="I790" s="4">
        <v>4.0000000000000002E-4</v>
      </c>
      <c r="J790" s="53">
        <v>-36.641500000000001</v>
      </c>
      <c r="K790" s="4">
        <v>1.2999999999999999E-3</v>
      </c>
      <c r="L790" s="4">
        <v>2.5000000000000001E-2</v>
      </c>
      <c r="M790" s="4">
        <v>3.0000000000000001E-3</v>
      </c>
      <c r="N790" s="4">
        <v>-5.7999999999999996E-3</v>
      </c>
      <c r="O790" s="4">
        <v>2.0000000000000001E-4</v>
      </c>
      <c r="P790" s="4">
        <v>133.01</v>
      </c>
      <c r="Q790" s="4">
        <v>0.15</v>
      </c>
      <c r="R790" s="53">
        <f t="shared" si="27"/>
        <v>0.27368312757201646</v>
      </c>
      <c r="S790" s="22">
        <f t="shared" si="28"/>
        <v>3.0864197530864197E-4</v>
      </c>
    </row>
    <row r="791" spans="1:19" ht="16">
      <c r="A791" s="52" t="s">
        <v>201</v>
      </c>
      <c r="B791" s="53" t="s">
        <v>488</v>
      </c>
      <c r="C791" s="53"/>
      <c r="D791" s="53">
        <v>0</v>
      </c>
      <c r="E791" s="4">
        <v>12</v>
      </c>
      <c r="F791" s="4">
        <v>4</v>
      </c>
      <c r="G791" s="4">
        <v>18</v>
      </c>
      <c r="H791" s="53">
        <v>6.4987000000000004</v>
      </c>
      <c r="I791" s="4">
        <v>4.0000000000000002E-4</v>
      </c>
      <c r="J791" s="53">
        <v>-36.641500000000001</v>
      </c>
      <c r="K791" s="4">
        <v>1.2999999999999999E-3</v>
      </c>
      <c r="L791" s="4">
        <v>2.5000000000000001E-2</v>
      </c>
      <c r="M791" s="4">
        <v>3.0000000000000001E-3</v>
      </c>
      <c r="N791" s="4">
        <v>-5.7999999999999996E-3</v>
      </c>
      <c r="O791" s="4">
        <v>2.0000000000000001E-4</v>
      </c>
      <c r="P791" s="4">
        <v>133.01</v>
      </c>
      <c r="Q791" s="4">
        <v>0.15</v>
      </c>
      <c r="R791" s="53">
        <f t="shared" si="27"/>
        <v>0.27368312757201646</v>
      </c>
      <c r="S791" s="22">
        <f t="shared" si="28"/>
        <v>3.0864197530864197E-4</v>
      </c>
    </row>
    <row r="792" spans="1:19" ht="16">
      <c r="A792" s="52" t="s">
        <v>202</v>
      </c>
      <c r="B792" s="53" t="s">
        <v>489</v>
      </c>
      <c r="C792" s="53"/>
      <c r="D792" s="53">
        <v>0</v>
      </c>
      <c r="E792" s="4">
        <v>12</v>
      </c>
      <c r="F792" s="4">
        <v>4</v>
      </c>
      <c r="G792" s="4">
        <v>18</v>
      </c>
      <c r="H792" s="53">
        <v>6.4987000000000004</v>
      </c>
      <c r="I792" s="4">
        <v>4.0000000000000002E-4</v>
      </c>
      <c r="J792" s="53">
        <v>-36.641500000000001</v>
      </c>
      <c r="K792" s="4">
        <v>1.2999999999999999E-3</v>
      </c>
      <c r="L792" s="4">
        <v>2.5000000000000001E-2</v>
      </c>
      <c r="M792" s="4">
        <v>3.0000000000000001E-3</v>
      </c>
      <c r="N792" s="4">
        <v>-5.7999999999999996E-3</v>
      </c>
      <c r="O792" s="4">
        <v>2.0000000000000001E-4</v>
      </c>
      <c r="P792" s="4">
        <v>133.01</v>
      </c>
      <c r="Q792" s="4">
        <v>0.15</v>
      </c>
      <c r="R792" s="53">
        <f t="shared" si="27"/>
        <v>0.27368312757201646</v>
      </c>
      <c r="S792" s="22">
        <f t="shared" si="28"/>
        <v>3.0864197530864197E-4</v>
      </c>
    </row>
    <row r="793" spans="1:19" ht="16">
      <c r="A793" s="52" t="s">
        <v>203</v>
      </c>
      <c r="B793" s="53" t="s">
        <v>490</v>
      </c>
      <c r="C793" s="53"/>
      <c r="D793" s="53">
        <v>0</v>
      </c>
      <c r="E793" s="4">
        <v>12</v>
      </c>
      <c r="F793" s="4">
        <v>4</v>
      </c>
      <c r="G793" s="4">
        <v>18</v>
      </c>
      <c r="H793" s="53">
        <v>6.4987000000000004</v>
      </c>
      <c r="I793" s="4">
        <v>4.0000000000000002E-4</v>
      </c>
      <c r="J793" s="53">
        <v>-36.641500000000001</v>
      </c>
      <c r="K793" s="4">
        <v>1.2999999999999999E-3</v>
      </c>
      <c r="L793" s="4">
        <v>2.5000000000000001E-2</v>
      </c>
      <c r="M793" s="4">
        <v>3.0000000000000001E-3</v>
      </c>
      <c r="N793" s="4">
        <v>-5.7999999999999996E-3</v>
      </c>
      <c r="O793" s="4">
        <v>2.0000000000000001E-4</v>
      </c>
      <c r="P793" s="4">
        <v>133.01</v>
      </c>
      <c r="Q793" s="4">
        <v>0.15</v>
      </c>
      <c r="R793" s="53">
        <f t="shared" si="27"/>
        <v>0.27368312757201646</v>
      </c>
      <c r="S793" s="22">
        <f t="shared" si="28"/>
        <v>3.0864197530864197E-4</v>
      </c>
    </row>
    <row r="794" spans="1:19" ht="16">
      <c r="A794" s="52" t="s">
        <v>204</v>
      </c>
      <c r="B794" s="53" t="s">
        <v>491</v>
      </c>
      <c r="C794" s="53"/>
      <c r="D794" s="53">
        <v>0</v>
      </c>
      <c r="E794" s="4">
        <v>12</v>
      </c>
      <c r="F794" s="4">
        <v>4</v>
      </c>
      <c r="G794" s="4">
        <v>18</v>
      </c>
      <c r="H794" s="53">
        <v>6.4987000000000004</v>
      </c>
      <c r="I794" s="4">
        <v>4.0000000000000002E-4</v>
      </c>
      <c r="J794" s="53">
        <v>-36.641500000000001</v>
      </c>
      <c r="K794" s="4">
        <v>1.2999999999999999E-3</v>
      </c>
      <c r="L794" s="4">
        <v>2.5000000000000001E-2</v>
      </c>
      <c r="M794" s="4">
        <v>3.0000000000000001E-3</v>
      </c>
      <c r="N794" s="4">
        <v>-5.7999999999999996E-3</v>
      </c>
      <c r="O794" s="4">
        <v>2.0000000000000001E-4</v>
      </c>
      <c r="P794" s="4">
        <v>133.01</v>
      </c>
      <c r="Q794" s="4">
        <v>0.15</v>
      </c>
      <c r="R794" s="53">
        <f t="shared" si="27"/>
        <v>0.27368312757201646</v>
      </c>
      <c r="S794" s="22">
        <f t="shared" si="28"/>
        <v>3.0864197530864197E-4</v>
      </c>
    </row>
    <row r="795" spans="1:19" ht="16">
      <c r="A795" s="52" t="s">
        <v>205</v>
      </c>
      <c r="B795" s="53" t="s">
        <v>492</v>
      </c>
      <c r="C795" s="53"/>
      <c r="D795" s="53">
        <v>0</v>
      </c>
      <c r="E795" s="4">
        <v>12</v>
      </c>
      <c r="F795" s="4">
        <v>4</v>
      </c>
      <c r="G795" s="4">
        <v>18</v>
      </c>
      <c r="H795" s="53">
        <v>6.4987000000000004</v>
      </c>
      <c r="I795" s="4">
        <v>4.0000000000000002E-4</v>
      </c>
      <c r="J795" s="53">
        <v>-36.641500000000001</v>
      </c>
      <c r="K795" s="4">
        <v>1.2999999999999999E-3</v>
      </c>
      <c r="L795" s="4">
        <v>2.5000000000000001E-2</v>
      </c>
      <c r="M795" s="4">
        <v>3.0000000000000001E-3</v>
      </c>
      <c r="N795" s="4">
        <v>-5.7999999999999996E-3</v>
      </c>
      <c r="O795" s="4">
        <v>2.0000000000000001E-4</v>
      </c>
      <c r="P795" s="4">
        <v>133.01</v>
      </c>
      <c r="Q795" s="4">
        <v>0.15</v>
      </c>
      <c r="R795" s="53">
        <f t="shared" si="27"/>
        <v>0.27368312757201646</v>
      </c>
      <c r="S795" s="22">
        <f t="shared" si="28"/>
        <v>3.0864197530864197E-4</v>
      </c>
    </row>
    <row r="796" spans="1:19" ht="16">
      <c r="A796" s="52" t="s">
        <v>206</v>
      </c>
      <c r="B796" s="53" t="s">
        <v>493</v>
      </c>
      <c r="C796" s="53"/>
      <c r="D796" s="53">
        <v>0</v>
      </c>
      <c r="E796" s="4">
        <v>12</v>
      </c>
      <c r="F796" s="4">
        <v>4</v>
      </c>
      <c r="G796" s="4">
        <v>18</v>
      </c>
      <c r="H796" s="53">
        <v>6.4987000000000004</v>
      </c>
      <c r="I796" s="4">
        <v>4.0000000000000002E-4</v>
      </c>
      <c r="J796" s="53">
        <v>-36.641500000000001</v>
      </c>
      <c r="K796" s="4">
        <v>1.2999999999999999E-3</v>
      </c>
      <c r="L796" s="4">
        <v>2.5000000000000001E-2</v>
      </c>
      <c r="M796" s="4">
        <v>3.0000000000000001E-3</v>
      </c>
      <c r="N796" s="4">
        <v>-5.7999999999999996E-3</v>
      </c>
      <c r="O796" s="4">
        <v>2.0000000000000001E-4</v>
      </c>
      <c r="P796" s="4">
        <v>133.01</v>
      </c>
      <c r="Q796" s="4">
        <v>0.15</v>
      </c>
      <c r="R796" s="53">
        <f t="shared" si="27"/>
        <v>0.27368312757201646</v>
      </c>
      <c r="S796" s="22">
        <f t="shared" si="28"/>
        <v>3.0864197530864197E-4</v>
      </c>
    </row>
    <row r="797" spans="1:19" ht="16">
      <c r="A797" s="52" t="s">
        <v>207</v>
      </c>
      <c r="B797" s="53" t="s">
        <v>494</v>
      </c>
      <c r="C797" s="53"/>
      <c r="D797" s="53">
        <v>0</v>
      </c>
      <c r="E797" s="4">
        <v>12</v>
      </c>
      <c r="F797" s="4">
        <v>4</v>
      </c>
      <c r="G797" s="4">
        <v>18</v>
      </c>
      <c r="H797" s="53">
        <v>6.4987000000000004</v>
      </c>
      <c r="I797" s="4">
        <v>4.0000000000000002E-4</v>
      </c>
      <c r="J797" s="53">
        <v>-36.641500000000001</v>
      </c>
      <c r="K797" s="4">
        <v>1.2999999999999999E-3</v>
      </c>
      <c r="L797" s="4">
        <v>2.5000000000000001E-2</v>
      </c>
      <c r="M797" s="4">
        <v>3.0000000000000001E-3</v>
      </c>
      <c r="N797" s="4">
        <v>-5.7999999999999996E-3</v>
      </c>
      <c r="O797" s="4">
        <v>2.0000000000000001E-4</v>
      </c>
      <c r="P797" s="4">
        <v>133.01</v>
      </c>
      <c r="Q797" s="4">
        <v>0.15</v>
      </c>
      <c r="R797" s="53">
        <f t="shared" si="27"/>
        <v>0.27368312757201646</v>
      </c>
      <c r="S797" s="22">
        <f t="shared" si="28"/>
        <v>3.0864197530864197E-4</v>
      </c>
    </row>
    <row r="798" spans="1:19" ht="16">
      <c r="A798" s="52" t="s">
        <v>208</v>
      </c>
      <c r="B798" s="53" t="s">
        <v>495</v>
      </c>
      <c r="C798" s="53"/>
      <c r="D798" s="53">
        <v>0</v>
      </c>
      <c r="E798" s="4">
        <v>12</v>
      </c>
      <c r="F798" s="4">
        <v>4</v>
      </c>
      <c r="G798" s="4">
        <v>18</v>
      </c>
      <c r="H798" s="53">
        <v>6.4987000000000004</v>
      </c>
      <c r="I798" s="4">
        <v>4.0000000000000002E-4</v>
      </c>
      <c r="J798" s="53">
        <v>-36.641500000000001</v>
      </c>
      <c r="K798" s="4">
        <v>1.2999999999999999E-3</v>
      </c>
      <c r="L798" s="4">
        <v>2.5000000000000001E-2</v>
      </c>
      <c r="M798" s="4">
        <v>3.0000000000000001E-3</v>
      </c>
      <c r="N798" s="4">
        <v>-5.7999999999999996E-3</v>
      </c>
      <c r="O798" s="4">
        <v>2.0000000000000001E-4</v>
      </c>
      <c r="P798" s="4">
        <v>133.01</v>
      </c>
      <c r="Q798" s="4">
        <v>0.15</v>
      </c>
      <c r="R798" s="53">
        <f t="shared" si="27"/>
        <v>0.27368312757201646</v>
      </c>
      <c r="S798" s="22">
        <f t="shared" si="28"/>
        <v>3.0864197530864197E-4</v>
      </c>
    </row>
    <row r="799" spans="1:19" ht="16">
      <c r="A799" s="52" t="s">
        <v>209</v>
      </c>
      <c r="B799" s="53" t="s">
        <v>496</v>
      </c>
      <c r="C799" s="53"/>
      <c r="D799" s="53">
        <v>0</v>
      </c>
      <c r="E799" s="4">
        <v>12</v>
      </c>
      <c r="F799" s="4">
        <v>4</v>
      </c>
      <c r="G799" s="4">
        <v>18</v>
      </c>
      <c r="H799" s="53">
        <v>6.4987000000000004</v>
      </c>
      <c r="I799" s="4">
        <v>4.0000000000000002E-4</v>
      </c>
      <c r="J799" s="53">
        <v>-36.641500000000001</v>
      </c>
      <c r="K799" s="4">
        <v>1.2999999999999999E-3</v>
      </c>
      <c r="L799" s="4">
        <v>2.5000000000000001E-2</v>
      </c>
      <c r="M799" s="4">
        <v>3.0000000000000001E-3</v>
      </c>
      <c r="N799" s="4">
        <v>-5.7999999999999996E-3</v>
      </c>
      <c r="O799" s="4">
        <v>2.0000000000000001E-4</v>
      </c>
      <c r="P799" s="4">
        <v>133.01</v>
      </c>
      <c r="Q799" s="4">
        <v>0.15</v>
      </c>
      <c r="R799" s="53">
        <f t="shared" si="27"/>
        <v>0.27368312757201646</v>
      </c>
      <c r="S799" s="22">
        <f t="shared" si="28"/>
        <v>3.0864197530864197E-4</v>
      </c>
    </row>
    <row r="800" spans="1:19" ht="16">
      <c r="A800" s="52" t="s">
        <v>210</v>
      </c>
      <c r="B800" s="53" t="s">
        <v>497</v>
      </c>
      <c r="C800" s="53"/>
      <c r="D800" s="53">
        <v>0</v>
      </c>
      <c r="E800" s="4">
        <v>12</v>
      </c>
      <c r="F800" s="4">
        <v>4</v>
      </c>
      <c r="G800" s="4">
        <v>18</v>
      </c>
      <c r="H800" s="53">
        <v>6.4987000000000004</v>
      </c>
      <c r="I800" s="4">
        <v>4.0000000000000002E-4</v>
      </c>
      <c r="J800" s="53">
        <v>-36.641500000000001</v>
      </c>
      <c r="K800" s="4">
        <v>1.2999999999999999E-3</v>
      </c>
      <c r="L800" s="4">
        <v>2.5000000000000001E-2</v>
      </c>
      <c r="M800" s="4">
        <v>3.0000000000000001E-3</v>
      </c>
      <c r="N800" s="4">
        <v>-5.7999999999999996E-3</v>
      </c>
      <c r="O800" s="4">
        <v>2.0000000000000001E-4</v>
      </c>
      <c r="P800" s="4">
        <v>133.01</v>
      </c>
      <c r="Q800" s="4">
        <v>0.15</v>
      </c>
      <c r="R800" s="53">
        <f t="shared" si="27"/>
        <v>0.27368312757201646</v>
      </c>
      <c r="S800" s="22">
        <f t="shared" si="28"/>
        <v>3.0864197530864197E-4</v>
      </c>
    </row>
    <row r="801" spans="1:19" ht="16">
      <c r="A801" s="52" t="s">
        <v>211</v>
      </c>
      <c r="B801" s="53" t="s">
        <v>498</v>
      </c>
      <c r="C801" s="53"/>
      <c r="D801" s="53">
        <v>0</v>
      </c>
      <c r="E801" s="4">
        <v>12</v>
      </c>
      <c r="F801" s="4">
        <v>4</v>
      </c>
      <c r="G801" s="4">
        <v>18</v>
      </c>
      <c r="H801" s="53">
        <v>6.4987000000000004</v>
      </c>
      <c r="I801" s="4">
        <v>4.0000000000000002E-4</v>
      </c>
      <c r="J801" s="53">
        <v>-36.641500000000001</v>
      </c>
      <c r="K801" s="4">
        <v>1.2999999999999999E-3</v>
      </c>
      <c r="L801" s="4">
        <v>2.5000000000000001E-2</v>
      </c>
      <c r="M801" s="4">
        <v>3.0000000000000001E-3</v>
      </c>
      <c r="N801" s="4">
        <v>-5.7999999999999996E-3</v>
      </c>
      <c r="O801" s="4">
        <v>2.0000000000000001E-4</v>
      </c>
      <c r="P801" s="4">
        <v>133.01</v>
      </c>
      <c r="Q801" s="4">
        <v>0.15</v>
      </c>
      <c r="R801" s="53">
        <f t="shared" si="27"/>
        <v>0.27368312757201646</v>
      </c>
      <c r="S801" s="22">
        <f t="shared" si="28"/>
        <v>3.0864197530864197E-4</v>
      </c>
    </row>
    <row r="802" spans="1:19" ht="16">
      <c r="A802" s="52" t="s">
        <v>212</v>
      </c>
      <c r="B802" s="53" t="s">
        <v>499</v>
      </c>
      <c r="C802" s="53"/>
      <c r="D802" s="53">
        <v>0</v>
      </c>
      <c r="E802" s="4">
        <v>12</v>
      </c>
      <c r="F802" s="4">
        <v>4</v>
      </c>
      <c r="G802" s="4">
        <v>18</v>
      </c>
      <c r="H802" s="53">
        <v>6.4987000000000004</v>
      </c>
      <c r="I802" s="4">
        <v>4.0000000000000002E-4</v>
      </c>
      <c r="J802" s="53">
        <v>-36.641500000000001</v>
      </c>
      <c r="K802" s="4">
        <v>1.2999999999999999E-3</v>
      </c>
      <c r="L802" s="4">
        <v>2.5000000000000001E-2</v>
      </c>
      <c r="M802" s="4">
        <v>3.0000000000000001E-3</v>
      </c>
      <c r="N802" s="4">
        <v>-5.7999999999999996E-3</v>
      </c>
      <c r="O802" s="4">
        <v>2.0000000000000001E-4</v>
      </c>
      <c r="P802" s="4">
        <v>133.01</v>
      </c>
      <c r="Q802" s="4">
        <v>0.15</v>
      </c>
      <c r="R802" s="53">
        <f t="shared" si="27"/>
        <v>0.27368312757201646</v>
      </c>
      <c r="S802" s="22">
        <f t="shared" si="28"/>
        <v>3.0864197530864197E-4</v>
      </c>
    </row>
    <row r="803" spans="1:19" ht="16">
      <c r="A803" s="52" t="s">
        <v>213</v>
      </c>
      <c r="B803" s="53" t="s">
        <v>500</v>
      </c>
      <c r="C803" s="53"/>
      <c r="D803" s="53">
        <v>0</v>
      </c>
      <c r="E803" s="4">
        <v>12</v>
      </c>
      <c r="F803" s="4">
        <v>4</v>
      </c>
      <c r="G803" s="4">
        <v>18</v>
      </c>
      <c r="H803" s="53">
        <v>6.4987000000000004</v>
      </c>
      <c r="I803" s="4">
        <v>4.0000000000000002E-4</v>
      </c>
      <c r="J803" s="53">
        <v>-36.641500000000001</v>
      </c>
      <c r="K803" s="4">
        <v>1.2999999999999999E-3</v>
      </c>
      <c r="L803" s="4">
        <v>2.5000000000000001E-2</v>
      </c>
      <c r="M803" s="4">
        <v>3.0000000000000001E-3</v>
      </c>
      <c r="N803" s="4">
        <v>-5.7999999999999996E-3</v>
      </c>
      <c r="O803" s="4">
        <v>2.0000000000000001E-4</v>
      </c>
      <c r="P803" s="4">
        <v>133.01</v>
      </c>
      <c r="Q803" s="4">
        <v>0.15</v>
      </c>
      <c r="R803" s="53">
        <f t="shared" si="27"/>
        <v>0.27368312757201646</v>
      </c>
      <c r="S803" s="22">
        <f t="shared" si="28"/>
        <v>3.0864197530864197E-4</v>
      </c>
    </row>
    <row r="804" spans="1:19" ht="16">
      <c r="A804" s="52" t="s">
        <v>214</v>
      </c>
      <c r="B804" s="53" t="s">
        <v>501</v>
      </c>
      <c r="C804" s="53"/>
      <c r="D804" s="53">
        <v>0</v>
      </c>
      <c r="E804" s="4">
        <v>12</v>
      </c>
      <c r="F804" s="4">
        <v>4</v>
      </c>
      <c r="G804" s="4">
        <v>18</v>
      </c>
      <c r="H804" s="53">
        <v>6.4987000000000004</v>
      </c>
      <c r="I804" s="4">
        <v>4.0000000000000002E-4</v>
      </c>
      <c r="J804" s="53">
        <v>-36.641500000000001</v>
      </c>
      <c r="K804" s="4">
        <v>1.2999999999999999E-3</v>
      </c>
      <c r="L804" s="4">
        <v>2.5000000000000001E-2</v>
      </c>
      <c r="M804" s="4">
        <v>3.0000000000000001E-3</v>
      </c>
      <c r="N804" s="4">
        <v>-5.7999999999999996E-3</v>
      </c>
      <c r="O804" s="4">
        <v>2.0000000000000001E-4</v>
      </c>
      <c r="P804" s="4">
        <v>133.01</v>
      </c>
      <c r="Q804" s="4">
        <v>0.15</v>
      </c>
      <c r="R804" s="53">
        <f t="shared" si="27"/>
        <v>0.27368312757201646</v>
      </c>
      <c r="S804" s="22">
        <f t="shared" si="28"/>
        <v>3.0864197530864197E-4</v>
      </c>
    </row>
    <row r="805" spans="1:19" ht="16">
      <c r="A805" s="52" t="s">
        <v>215</v>
      </c>
      <c r="B805" s="53" t="s">
        <v>502</v>
      </c>
      <c r="C805" s="53"/>
      <c r="D805" s="53">
        <v>0</v>
      </c>
      <c r="E805" s="4">
        <v>12</v>
      </c>
      <c r="F805" s="4">
        <v>4</v>
      </c>
      <c r="G805" s="4">
        <v>18</v>
      </c>
      <c r="H805" s="53">
        <v>6.4987000000000004</v>
      </c>
      <c r="I805" s="4">
        <v>4.0000000000000002E-4</v>
      </c>
      <c r="J805" s="53">
        <v>-36.641500000000001</v>
      </c>
      <c r="K805" s="4">
        <v>1.2999999999999999E-3</v>
      </c>
      <c r="L805" s="4">
        <v>2.5000000000000001E-2</v>
      </c>
      <c r="M805" s="4">
        <v>3.0000000000000001E-3</v>
      </c>
      <c r="N805" s="4">
        <v>-5.7999999999999996E-3</v>
      </c>
      <c r="O805" s="4">
        <v>2.0000000000000001E-4</v>
      </c>
      <c r="P805" s="4">
        <v>133.01</v>
      </c>
      <c r="Q805" s="4">
        <v>0.15</v>
      </c>
      <c r="R805" s="53">
        <f t="shared" si="27"/>
        <v>0.27368312757201646</v>
      </c>
      <c r="S805" s="22">
        <f t="shared" si="28"/>
        <v>3.0864197530864197E-4</v>
      </c>
    </row>
    <row r="806" spans="1:19" ht="16">
      <c r="A806" s="52" t="s">
        <v>216</v>
      </c>
      <c r="B806" s="53" t="s">
        <v>503</v>
      </c>
      <c r="C806" s="53"/>
      <c r="D806" s="53">
        <v>0</v>
      </c>
      <c r="E806" s="4">
        <v>12</v>
      </c>
      <c r="F806" s="4">
        <v>4</v>
      </c>
      <c r="G806" s="4">
        <v>18</v>
      </c>
      <c r="H806" s="53">
        <v>6.4987000000000004</v>
      </c>
      <c r="I806" s="4">
        <v>4.0000000000000002E-4</v>
      </c>
      <c r="J806" s="53">
        <v>-36.641500000000001</v>
      </c>
      <c r="K806" s="4">
        <v>1.2999999999999999E-3</v>
      </c>
      <c r="L806" s="4">
        <v>2.5000000000000001E-2</v>
      </c>
      <c r="M806" s="4">
        <v>3.0000000000000001E-3</v>
      </c>
      <c r="N806" s="4">
        <v>-5.7999999999999996E-3</v>
      </c>
      <c r="O806" s="4">
        <v>2.0000000000000001E-4</v>
      </c>
      <c r="P806" s="4">
        <v>133.01</v>
      </c>
      <c r="Q806" s="4">
        <v>0.15</v>
      </c>
      <c r="R806" s="53">
        <f t="shared" si="27"/>
        <v>0.27368312757201646</v>
      </c>
      <c r="S806" s="22">
        <f t="shared" si="28"/>
        <v>3.0864197530864197E-4</v>
      </c>
    </row>
    <row r="807" spans="1:19" ht="16">
      <c r="A807" s="52" t="s">
        <v>217</v>
      </c>
      <c r="B807" s="53" t="s">
        <v>504</v>
      </c>
      <c r="C807" s="53"/>
      <c r="D807" s="53">
        <v>0</v>
      </c>
      <c r="E807" s="4">
        <v>12</v>
      </c>
      <c r="F807" s="4">
        <v>4</v>
      </c>
      <c r="G807" s="4">
        <v>18</v>
      </c>
      <c r="H807" s="53">
        <v>6.4987000000000004</v>
      </c>
      <c r="I807" s="4">
        <v>4.0000000000000002E-4</v>
      </c>
      <c r="J807" s="53">
        <v>-36.641500000000001</v>
      </c>
      <c r="K807" s="4">
        <v>1.2999999999999999E-3</v>
      </c>
      <c r="L807" s="4">
        <v>2.5000000000000001E-2</v>
      </c>
      <c r="M807" s="4">
        <v>3.0000000000000001E-3</v>
      </c>
      <c r="N807" s="4">
        <v>-5.7999999999999996E-3</v>
      </c>
      <c r="O807" s="4">
        <v>2.0000000000000001E-4</v>
      </c>
      <c r="P807" s="4">
        <v>133.01</v>
      </c>
      <c r="Q807" s="4">
        <v>0.15</v>
      </c>
      <c r="R807" s="53">
        <f t="shared" si="27"/>
        <v>0.27368312757201646</v>
      </c>
      <c r="S807" s="22">
        <f t="shared" si="28"/>
        <v>3.0864197530864197E-4</v>
      </c>
    </row>
    <row r="808" spans="1:19" ht="16">
      <c r="A808" s="52" t="s">
        <v>218</v>
      </c>
      <c r="B808" s="53" t="s">
        <v>505</v>
      </c>
      <c r="C808" s="53"/>
      <c r="D808" s="53">
        <v>0</v>
      </c>
      <c r="E808" s="4">
        <v>12</v>
      </c>
      <c r="F808" s="4">
        <v>4</v>
      </c>
      <c r="G808" s="4">
        <v>18</v>
      </c>
      <c r="H808" s="53">
        <v>6.4987000000000004</v>
      </c>
      <c r="I808" s="4">
        <v>4.0000000000000002E-4</v>
      </c>
      <c r="J808" s="53">
        <v>-36.641500000000001</v>
      </c>
      <c r="K808" s="4">
        <v>1.2999999999999999E-3</v>
      </c>
      <c r="L808" s="4">
        <v>2.5000000000000001E-2</v>
      </c>
      <c r="M808" s="4">
        <v>3.0000000000000001E-3</v>
      </c>
      <c r="N808" s="4">
        <v>-5.7999999999999996E-3</v>
      </c>
      <c r="O808" s="4">
        <v>2.0000000000000001E-4</v>
      </c>
      <c r="P808" s="4">
        <v>133.01</v>
      </c>
      <c r="Q808" s="4">
        <v>0.15</v>
      </c>
      <c r="R808" s="53">
        <f t="shared" si="27"/>
        <v>0.27368312757201646</v>
      </c>
      <c r="S808" s="22">
        <f t="shared" si="28"/>
        <v>3.0864197530864197E-4</v>
      </c>
    </row>
    <row r="809" spans="1:19" ht="16">
      <c r="A809" s="52" t="s">
        <v>219</v>
      </c>
      <c r="B809" s="53" t="s">
        <v>506</v>
      </c>
      <c r="C809" s="53"/>
      <c r="D809" s="53">
        <v>0</v>
      </c>
      <c r="E809" s="4">
        <v>12</v>
      </c>
      <c r="F809" s="4">
        <v>5</v>
      </c>
      <c r="G809" s="4">
        <v>18</v>
      </c>
      <c r="H809" s="53">
        <v>6.4987000000000004</v>
      </c>
      <c r="I809" s="4">
        <v>4.0000000000000002E-4</v>
      </c>
      <c r="J809" s="53">
        <v>-36.641500000000001</v>
      </c>
      <c r="K809" s="4">
        <v>1.2999999999999999E-3</v>
      </c>
      <c r="L809" s="4">
        <v>2.5000000000000001E-2</v>
      </c>
      <c r="M809" s="4">
        <v>3.0000000000000001E-3</v>
      </c>
      <c r="N809" s="4">
        <v>-5.7999999999999996E-3</v>
      </c>
      <c r="O809" s="4">
        <v>2.0000000000000001E-4</v>
      </c>
      <c r="P809" s="4">
        <v>133.01</v>
      </c>
      <c r="Q809" s="4">
        <v>0.15</v>
      </c>
      <c r="R809" s="53">
        <f t="shared" si="27"/>
        <v>0.27368312757201646</v>
      </c>
      <c r="S809" s="22">
        <f t="shared" si="28"/>
        <v>3.0864197530864197E-4</v>
      </c>
    </row>
    <row r="810" spans="1:19" ht="16">
      <c r="A810" s="52" t="s">
        <v>220</v>
      </c>
      <c r="B810" s="53" t="s">
        <v>507</v>
      </c>
      <c r="C810" s="53"/>
      <c r="D810" s="53">
        <v>0</v>
      </c>
      <c r="E810" s="4">
        <v>12</v>
      </c>
      <c r="F810" s="4">
        <v>5</v>
      </c>
      <c r="G810" s="4">
        <v>18</v>
      </c>
      <c r="H810" s="53">
        <v>6.4987000000000004</v>
      </c>
      <c r="I810" s="4">
        <v>4.0000000000000002E-4</v>
      </c>
      <c r="J810" s="53">
        <v>-36.641500000000001</v>
      </c>
      <c r="K810" s="4">
        <v>1.2999999999999999E-3</v>
      </c>
      <c r="L810" s="4">
        <v>2.5000000000000001E-2</v>
      </c>
      <c r="M810" s="4">
        <v>3.0000000000000001E-3</v>
      </c>
      <c r="N810" s="4">
        <v>-5.7999999999999996E-3</v>
      </c>
      <c r="O810" s="4">
        <v>2.0000000000000001E-4</v>
      </c>
      <c r="P810" s="4">
        <v>133.01</v>
      </c>
      <c r="Q810" s="4">
        <v>0.15</v>
      </c>
      <c r="R810" s="53">
        <f t="shared" si="27"/>
        <v>0.27368312757201646</v>
      </c>
      <c r="S810" s="22">
        <f t="shared" si="28"/>
        <v>3.0864197530864197E-4</v>
      </c>
    </row>
    <row r="811" spans="1:19" ht="16">
      <c r="A811" s="52" t="s">
        <v>221</v>
      </c>
      <c r="B811" s="53" t="s">
        <v>508</v>
      </c>
      <c r="C811" s="53"/>
      <c r="D811" s="53">
        <v>0</v>
      </c>
      <c r="E811" s="4">
        <v>12</v>
      </c>
      <c r="F811" s="4">
        <v>5</v>
      </c>
      <c r="G811" s="4">
        <v>18</v>
      </c>
      <c r="H811" s="53">
        <v>6.4987000000000004</v>
      </c>
      <c r="I811" s="4">
        <v>4.0000000000000002E-4</v>
      </c>
      <c r="J811" s="53">
        <v>-36.641500000000001</v>
      </c>
      <c r="K811" s="4">
        <v>1.2999999999999999E-3</v>
      </c>
      <c r="L811" s="4">
        <v>2.5000000000000001E-2</v>
      </c>
      <c r="M811" s="4">
        <v>3.0000000000000001E-3</v>
      </c>
      <c r="N811" s="4">
        <v>-5.7999999999999996E-3</v>
      </c>
      <c r="O811" s="4">
        <v>2.0000000000000001E-4</v>
      </c>
      <c r="P811" s="4">
        <v>133.01</v>
      </c>
      <c r="Q811" s="4">
        <v>0.15</v>
      </c>
      <c r="R811" s="53">
        <f t="shared" si="27"/>
        <v>0.27368312757201646</v>
      </c>
      <c r="S811" s="22">
        <f t="shared" si="28"/>
        <v>3.0864197530864197E-4</v>
      </c>
    </row>
    <row r="812" spans="1:19" ht="16">
      <c r="A812" s="52" t="s">
        <v>222</v>
      </c>
      <c r="B812" s="53" t="s">
        <v>509</v>
      </c>
      <c r="C812" s="53"/>
      <c r="D812" s="53">
        <v>0</v>
      </c>
      <c r="E812" s="4">
        <v>12</v>
      </c>
      <c r="F812" s="4">
        <v>5</v>
      </c>
      <c r="G812" s="4">
        <v>18</v>
      </c>
      <c r="H812" s="53">
        <v>6.4987000000000004</v>
      </c>
      <c r="I812" s="4">
        <v>4.0000000000000002E-4</v>
      </c>
      <c r="J812" s="53">
        <v>-36.641500000000001</v>
      </c>
      <c r="K812" s="4">
        <v>1.2999999999999999E-3</v>
      </c>
      <c r="L812" s="4">
        <v>2.5000000000000001E-2</v>
      </c>
      <c r="M812" s="4">
        <v>3.0000000000000001E-3</v>
      </c>
      <c r="N812" s="4">
        <v>-5.7999999999999996E-3</v>
      </c>
      <c r="O812" s="4">
        <v>2.0000000000000001E-4</v>
      </c>
      <c r="P812" s="4">
        <v>133.01</v>
      </c>
      <c r="Q812" s="4">
        <v>0.15</v>
      </c>
      <c r="R812" s="53">
        <f t="shared" si="27"/>
        <v>0.27368312757201646</v>
      </c>
      <c r="S812" s="22">
        <f t="shared" si="28"/>
        <v>3.0864197530864197E-4</v>
      </c>
    </row>
    <row r="813" spans="1:19" ht="16">
      <c r="A813" s="52" t="s">
        <v>223</v>
      </c>
      <c r="B813" s="53" t="s">
        <v>510</v>
      </c>
      <c r="C813" s="53"/>
      <c r="D813" s="53">
        <v>0</v>
      </c>
      <c r="E813" s="4">
        <v>12</v>
      </c>
      <c r="F813" s="4">
        <v>5</v>
      </c>
      <c r="G813" s="4">
        <v>18</v>
      </c>
      <c r="H813" s="53">
        <v>6.4987000000000004</v>
      </c>
      <c r="I813" s="4">
        <v>4.0000000000000002E-4</v>
      </c>
      <c r="J813" s="53">
        <v>-36.641500000000001</v>
      </c>
      <c r="K813" s="4">
        <v>1.2999999999999999E-3</v>
      </c>
      <c r="L813" s="4">
        <v>2.5000000000000001E-2</v>
      </c>
      <c r="M813" s="4">
        <v>3.0000000000000001E-3</v>
      </c>
      <c r="N813" s="4">
        <v>-5.7999999999999996E-3</v>
      </c>
      <c r="O813" s="4">
        <v>2.0000000000000001E-4</v>
      </c>
      <c r="P813" s="4">
        <v>133.01</v>
      </c>
      <c r="Q813" s="4">
        <v>0.15</v>
      </c>
      <c r="R813" s="53">
        <f t="shared" ref="R813:R876" si="29">P813*E813/G813^3</f>
        <v>0.27368312757201646</v>
      </c>
      <c r="S813" s="22">
        <f t="shared" ref="S813:S876" si="30">Q813*E813/G813^3</f>
        <v>3.0864197530864197E-4</v>
      </c>
    </row>
    <row r="814" spans="1:19" ht="16">
      <c r="A814" s="52" t="s">
        <v>224</v>
      </c>
      <c r="B814" s="53" t="s">
        <v>511</v>
      </c>
      <c r="C814" s="53"/>
      <c r="D814" s="53">
        <v>0</v>
      </c>
      <c r="E814" s="4">
        <v>12</v>
      </c>
      <c r="F814" s="4">
        <v>5</v>
      </c>
      <c r="G814" s="4">
        <v>18</v>
      </c>
      <c r="H814" s="53">
        <v>6.4987000000000004</v>
      </c>
      <c r="I814" s="4">
        <v>4.0000000000000002E-4</v>
      </c>
      <c r="J814" s="53">
        <v>-36.641500000000001</v>
      </c>
      <c r="K814" s="4">
        <v>1.2999999999999999E-3</v>
      </c>
      <c r="L814" s="4">
        <v>2.5000000000000001E-2</v>
      </c>
      <c r="M814" s="4">
        <v>3.0000000000000001E-3</v>
      </c>
      <c r="N814" s="4">
        <v>-5.7999999999999996E-3</v>
      </c>
      <c r="O814" s="4">
        <v>2.0000000000000001E-4</v>
      </c>
      <c r="P814" s="4">
        <v>133.01</v>
      </c>
      <c r="Q814" s="4">
        <v>0.15</v>
      </c>
      <c r="R814" s="53">
        <f t="shared" si="29"/>
        <v>0.27368312757201646</v>
      </c>
      <c r="S814" s="22">
        <f t="shared" si="30"/>
        <v>3.0864197530864197E-4</v>
      </c>
    </row>
    <row r="815" spans="1:19" ht="16">
      <c r="A815" s="52" t="s">
        <v>225</v>
      </c>
      <c r="B815" s="53" t="s">
        <v>512</v>
      </c>
      <c r="C815" s="53"/>
      <c r="D815" s="53">
        <v>0</v>
      </c>
      <c r="E815" s="4">
        <v>12</v>
      </c>
      <c r="F815" s="4">
        <v>5</v>
      </c>
      <c r="G815" s="4">
        <v>18</v>
      </c>
      <c r="H815" s="53">
        <v>6.4987000000000004</v>
      </c>
      <c r="I815" s="4">
        <v>4.0000000000000002E-4</v>
      </c>
      <c r="J815" s="53">
        <v>-36.641500000000001</v>
      </c>
      <c r="K815" s="4">
        <v>1.2999999999999999E-3</v>
      </c>
      <c r="L815" s="4">
        <v>2.5000000000000001E-2</v>
      </c>
      <c r="M815" s="4">
        <v>3.0000000000000001E-3</v>
      </c>
      <c r="N815" s="4">
        <v>-5.7999999999999996E-3</v>
      </c>
      <c r="O815" s="4">
        <v>2.0000000000000001E-4</v>
      </c>
      <c r="P815" s="4">
        <v>133.01</v>
      </c>
      <c r="Q815" s="4">
        <v>0.15</v>
      </c>
      <c r="R815" s="53">
        <f t="shared" si="29"/>
        <v>0.27368312757201646</v>
      </c>
      <c r="S815" s="22">
        <f t="shared" si="30"/>
        <v>3.0864197530864197E-4</v>
      </c>
    </row>
    <row r="816" spans="1:19" ht="16">
      <c r="A816" s="52" t="s">
        <v>226</v>
      </c>
      <c r="B816" s="53" t="s">
        <v>513</v>
      </c>
      <c r="C816" s="53"/>
      <c r="D816" s="53">
        <v>0</v>
      </c>
      <c r="E816" s="4">
        <v>12</v>
      </c>
      <c r="F816" s="4">
        <v>5</v>
      </c>
      <c r="G816" s="4">
        <v>18</v>
      </c>
      <c r="H816" s="53">
        <v>6.4987000000000004</v>
      </c>
      <c r="I816" s="4">
        <v>4.0000000000000002E-4</v>
      </c>
      <c r="J816" s="53">
        <v>-36.641500000000001</v>
      </c>
      <c r="K816" s="4">
        <v>1.2999999999999999E-3</v>
      </c>
      <c r="L816" s="4">
        <v>2.5000000000000001E-2</v>
      </c>
      <c r="M816" s="4">
        <v>3.0000000000000001E-3</v>
      </c>
      <c r="N816" s="4">
        <v>-5.7999999999999996E-3</v>
      </c>
      <c r="O816" s="4">
        <v>2.0000000000000001E-4</v>
      </c>
      <c r="P816" s="4">
        <v>133.01</v>
      </c>
      <c r="Q816" s="4">
        <v>0.15</v>
      </c>
      <c r="R816" s="53">
        <f t="shared" si="29"/>
        <v>0.27368312757201646</v>
      </c>
      <c r="S816" s="22">
        <f t="shared" si="30"/>
        <v>3.0864197530864197E-4</v>
      </c>
    </row>
    <row r="817" spans="1:19" ht="16">
      <c r="A817" s="52" t="s">
        <v>227</v>
      </c>
      <c r="B817" s="53" t="s">
        <v>514</v>
      </c>
      <c r="C817" s="53"/>
      <c r="D817" s="53">
        <v>0</v>
      </c>
      <c r="E817" s="4">
        <v>12</v>
      </c>
      <c r="F817" s="4">
        <v>5</v>
      </c>
      <c r="G817" s="4">
        <v>18</v>
      </c>
      <c r="H817" s="53">
        <v>6.4987000000000004</v>
      </c>
      <c r="I817" s="4">
        <v>4.0000000000000002E-4</v>
      </c>
      <c r="J817" s="53">
        <v>-36.641500000000001</v>
      </c>
      <c r="K817" s="4">
        <v>1.2999999999999999E-3</v>
      </c>
      <c r="L817" s="4">
        <v>2.5000000000000001E-2</v>
      </c>
      <c r="M817" s="4">
        <v>3.0000000000000001E-3</v>
      </c>
      <c r="N817" s="4">
        <v>-5.7999999999999996E-3</v>
      </c>
      <c r="O817" s="4">
        <v>2.0000000000000001E-4</v>
      </c>
      <c r="P817" s="4">
        <v>133.01</v>
      </c>
      <c r="Q817" s="4">
        <v>0.15</v>
      </c>
      <c r="R817" s="53">
        <f t="shared" si="29"/>
        <v>0.27368312757201646</v>
      </c>
      <c r="S817" s="22">
        <f t="shared" si="30"/>
        <v>3.0864197530864197E-4</v>
      </c>
    </row>
    <row r="818" spans="1:19" ht="16">
      <c r="A818" s="52" t="s">
        <v>228</v>
      </c>
      <c r="B818" s="53" t="s">
        <v>515</v>
      </c>
      <c r="C818" s="53"/>
      <c r="D818" s="53">
        <v>0</v>
      </c>
      <c r="E818" s="4">
        <v>12</v>
      </c>
      <c r="F818" s="4">
        <v>5</v>
      </c>
      <c r="G818" s="4">
        <v>18</v>
      </c>
      <c r="H818" s="53">
        <v>6.4987000000000004</v>
      </c>
      <c r="I818" s="4">
        <v>4.0000000000000002E-4</v>
      </c>
      <c r="J818" s="53">
        <v>-36.641500000000001</v>
      </c>
      <c r="K818" s="4">
        <v>1.2999999999999999E-3</v>
      </c>
      <c r="L818" s="4">
        <v>2.5000000000000001E-2</v>
      </c>
      <c r="M818" s="4">
        <v>3.0000000000000001E-3</v>
      </c>
      <c r="N818" s="4">
        <v>-5.7999999999999996E-3</v>
      </c>
      <c r="O818" s="4">
        <v>2.0000000000000001E-4</v>
      </c>
      <c r="P818" s="4">
        <v>133.01</v>
      </c>
      <c r="Q818" s="4">
        <v>0.15</v>
      </c>
      <c r="R818" s="53">
        <f t="shared" si="29"/>
        <v>0.27368312757201646</v>
      </c>
      <c r="S818" s="22">
        <f t="shared" si="30"/>
        <v>3.0864197530864197E-4</v>
      </c>
    </row>
    <row r="819" spans="1:19" ht="16">
      <c r="A819" s="52" t="s">
        <v>229</v>
      </c>
      <c r="B819" s="53" t="s">
        <v>516</v>
      </c>
      <c r="C819" s="53"/>
      <c r="D819" s="53">
        <v>0</v>
      </c>
      <c r="E819" s="4">
        <v>12</v>
      </c>
      <c r="F819" s="4">
        <v>5</v>
      </c>
      <c r="G819" s="4">
        <v>18</v>
      </c>
      <c r="H819" s="53">
        <v>6.4987000000000004</v>
      </c>
      <c r="I819" s="4">
        <v>4.0000000000000002E-4</v>
      </c>
      <c r="J819" s="53">
        <v>-36.641500000000001</v>
      </c>
      <c r="K819" s="4">
        <v>1.2999999999999999E-3</v>
      </c>
      <c r="L819" s="4">
        <v>2.5000000000000001E-2</v>
      </c>
      <c r="M819" s="4">
        <v>3.0000000000000001E-3</v>
      </c>
      <c r="N819" s="4">
        <v>-5.7999999999999996E-3</v>
      </c>
      <c r="O819" s="4">
        <v>2.0000000000000001E-4</v>
      </c>
      <c r="P819" s="4">
        <v>133.01</v>
      </c>
      <c r="Q819" s="4">
        <v>0.15</v>
      </c>
      <c r="R819" s="53">
        <f t="shared" si="29"/>
        <v>0.27368312757201646</v>
      </c>
      <c r="S819" s="22">
        <f t="shared" si="30"/>
        <v>3.0864197530864197E-4</v>
      </c>
    </row>
    <row r="820" spans="1:19" ht="16">
      <c r="A820" s="52" t="s">
        <v>230</v>
      </c>
      <c r="B820" s="53" t="s">
        <v>517</v>
      </c>
      <c r="C820" s="53"/>
      <c r="D820" s="53">
        <v>0</v>
      </c>
      <c r="E820" s="4">
        <v>12</v>
      </c>
      <c r="F820" s="4">
        <v>5</v>
      </c>
      <c r="G820" s="4">
        <v>18</v>
      </c>
      <c r="H820" s="53">
        <v>6.4987000000000004</v>
      </c>
      <c r="I820" s="4">
        <v>4.0000000000000002E-4</v>
      </c>
      <c r="J820" s="53">
        <v>-36.641500000000001</v>
      </c>
      <c r="K820" s="4">
        <v>1.2999999999999999E-3</v>
      </c>
      <c r="L820" s="4">
        <v>2.5000000000000001E-2</v>
      </c>
      <c r="M820" s="4">
        <v>3.0000000000000001E-3</v>
      </c>
      <c r="N820" s="4">
        <v>-5.7999999999999996E-3</v>
      </c>
      <c r="O820" s="4">
        <v>2.0000000000000001E-4</v>
      </c>
      <c r="P820" s="4">
        <v>133.01</v>
      </c>
      <c r="Q820" s="4">
        <v>0.15</v>
      </c>
      <c r="R820" s="53">
        <f t="shared" si="29"/>
        <v>0.27368312757201646</v>
      </c>
      <c r="S820" s="22">
        <f t="shared" si="30"/>
        <v>3.0864197530864197E-4</v>
      </c>
    </row>
    <row r="821" spans="1:19" ht="16">
      <c r="A821" s="52" t="s">
        <v>231</v>
      </c>
      <c r="B821" s="53" t="s">
        <v>518</v>
      </c>
      <c r="C821" s="53"/>
      <c r="D821" s="53">
        <v>0</v>
      </c>
      <c r="E821" s="4">
        <v>12</v>
      </c>
      <c r="F821" s="4">
        <v>5</v>
      </c>
      <c r="G821" s="4">
        <v>18</v>
      </c>
      <c r="H821" s="53">
        <v>6.4987000000000004</v>
      </c>
      <c r="I821" s="4">
        <v>4.0000000000000002E-4</v>
      </c>
      <c r="J821" s="53">
        <v>-36.641500000000001</v>
      </c>
      <c r="K821" s="4">
        <v>1.2999999999999999E-3</v>
      </c>
      <c r="L821" s="4">
        <v>2.5000000000000001E-2</v>
      </c>
      <c r="M821" s="4">
        <v>3.0000000000000001E-3</v>
      </c>
      <c r="N821" s="4">
        <v>-5.7999999999999996E-3</v>
      </c>
      <c r="O821" s="4">
        <v>2.0000000000000001E-4</v>
      </c>
      <c r="P821" s="4">
        <v>133.01</v>
      </c>
      <c r="Q821" s="4">
        <v>0.15</v>
      </c>
      <c r="R821" s="53">
        <f t="shared" si="29"/>
        <v>0.27368312757201646</v>
      </c>
      <c r="S821" s="22">
        <f t="shared" si="30"/>
        <v>3.0864197530864197E-4</v>
      </c>
    </row>
    <row r="822" spans="1:19" ht="16">
      <c r="A822" s="52" t="s">
        <v>232</v>
      </c>
      <c r="B822" s="53" t="s">
        <v>519</v>
      </c>
      <c r="C822" s="53"/>
      <c r="D822" s="53">
        <v>0</v>
      </c>
      <c r="E822" s="4">
        <v>12</v>
      </c>
      <c r="F822" s="4">
        <v>5</v>
      </c>
      <c r="G822" s="4">
        <v>18</v>
      </c>
      <c r="H822" s="53">
        <v>6.4987000000000004</v>
      </c>
      <c r="I822" s="4">
        <v>4.0000000000000002E-4</v>
      </c>
      <c r="J822" s="53">
        <v>-36.641500000000001</v>
      </c>
      <c r="K822" s="4">
        <v>1.2999999999999999E-3</v>
      </c>
      <c r="L822" s="4">
        <v>2.5000000000000001E-2</v>
      </c>
      <c r="M822" s="4">
        <v>3.0000000000000001E-3</v>
      </c>
      <c r="N822" s="4">
        <v>-5.7999999999999996E-3</v>
      </c>
      <c r="O822" s="4">
        <v>2.0000000000000001E-4</v>
      </c>
      <c r="P822" s="4">
        <v>133.01</v>
      </c>
      <c r="Q822" s="4">
        <v>0.15</v>
      </c>
      <c r="R822" s="53">
        <f t="shared" si="29"/>
        <v>0.27368312757201646</v>
      </c>
      <c r="S822" s="22">
        <f t="shared" si="30"/>
        <v>3.0864197530864197E-4</v>
      </c>
    </row>
    <row r="823" spans="1:19" ht="16">
      <c r="A823" s="52" t="s">
        <v>233</v>
      </c>
      <c r="B823" s="53" t="s">
        <v>520</v>
      </c>
      <c r="C823" s="53"/>
      <c r="D823" s="53">
        <v>0</v>
      </c>
      <c r="E823" s="4">
        <v>12</v>
      </c>
      <c r="F823" s="4">
        <v>5</v>
      </c>
      <c r="G823" s="4">
        <v>18</v>
      </c>
      <c r="H823" s="53">
        <v>6.4987000000000004</v>
      </c>
      <c r="I823" s="4">
        <v>4.0000000000000002E-4</v>
      </c>
      <c r="J823" s="53">
        <v>-36.641500000000001</v>
      </c>
      <c r="K823" s="4">
        <v>1.2999999999999999E-3</v>
      </c>
      <c r="L823" s="4">
        <v>2.5000000000000001E-2</v>
      </c>
      <c r="M823" s="4">
        <v>3.0000000000000001E-3</v>
      </c>
      <c r="N823" s="4">
        <v>-5.7999999999999996E-3</v>
      </c>
      <c r="O823" s="4">
        <v>2.0000000000000001E-4</v>
      </c>
      <c r="P823" s="4">
        <v>133.01</v>
      </c>
      <c r="Q823" s="4">
        <v>0.15</v>
      </c>
      <c r="R823" s="53">
        <f t="shared" si="29"/>
        <v>0.27368312757201646</v>
      </c>
      <c r="S823" s="22">
        <f t="shared" si="30"/>
        <v>3.0864197530864197E-4</v>
      </c>
    </row>
    <row r="824" spans="1:19" ht="16">
      <c r="A824" s="52" t="s">
        <v>234</v>
      </c>
      <c r="B824" s="53" t="s">
        <v>521</v>
      </c>
      <c r="C824" s="53"/>
      <c r="D824" s="53">
        <v>0</v>
      </c>
      <c r="E824" s="4">
        <v>12</v>
      </c>
      <c r="F824" s="4">
        <v>5</v>
      </c>
      <c r="G824" s="4">
        <v>18</v>
      </c>
      <c r="H824" s="53">
        <v>6.4987000000000004</v>
      </c>
      <c r="I824" s="4">
        <v>4.0000000000000002E-4</v>
      </c>
      <c r="J824" s="53">
        <v>-36.641500000000001</v>
      </c>
      <c r="K824" s="4">
        <v>1.2999999999999999E-3</v>
      </c>
      <c r="L824" s="4">
        <v>2.5000000000000001E-2</v>
      </c>
      <c r="M824" s="4">
        <v>3.0000000000000001E-3</v>
      </c>
      <c r="N824" s="4">
        <v>-5.7999999999999996E-3</v>
      </c>
      <c r="O824" s="4">
        <v>2.0000000000000001E-4</v>
      </c>
      <c r="P824" s="4">
        <v>133.01</v>
      </c>
      <c r="Q824" s="4">
        <v>0.15</v>
      </c>
      <c r="R824" s="53">
        <f t="shared" si="29"/>
        <v>0.27368312757201646</v>
      </c>
      <c r="S824" s="22">
        <f t="shared" si="30"/>
        <v>3.0864197530864197E-4</v>
      </c>
    </row>
    <row r="825" spans="1:19" ht="16">
      <c r="A825" s="52" t="s">
        <v>235</v>
      </c>
      <c r="B825" s="53" t="s">
        <v>522</v>
      </c>
      <c r="C825" s="53"/>
      <c r="D825" s="53">
        <v>0</v>
      </c>
      <c r="E825" s="4">
        <v>12</v>
      </c>
      <c r="F825" s="4">
        <v>5</v>
      </c>
      <c r="G825" s="4">
        <v>18</v>
      </c>
      <c r="H825" s="53">
        <v>6.4987000000000004</v>
      </c>
      <c r="I825" s="4">
        <v>4.0000000000000002E-4</v>
      </c>
      <c r="J825" s="53">
        <v>-36.641500000000001</v>
      </c>
      <c r="K825" s="4">
        <v>1.2999999999999999E-3</v>
      </c>
      <c r="L825" s="4">
        <v>2.5000000000000001E-2</v>
      </c>
      <c r="M825" s="4">
        <v>3.0000000000000001E-3</v>
      </c>
      <c r="N825" s="4">
        <v>-5.7999999999999996E-3</v>
      </c>
      <c r="O825" s="4">
        <v>2.0000000000000001E-4</v>
      </c>
      <c r="P825" s="4">
        <v>133.01</v>
      </c>
      <c r="Q825" s="4">
        <v>0.15</v>
      </c>
      <c r="R825" s="53">
        <f t="shared" si="29"/>
        <v>0.27368312757201646</v>
      </c>
      <c r="S825" s="22">
        <f t="shared" si="30"/>
        <v>3.0864197530864197E-4</v>
      </c>
    </row>
    <row r="826" spans="1:19" ht="16">
      <c r="A826" s="52" t="s">
        <v>236</v>
      </c>
      <c r="B826" s="53" t="s">
        <v>523</v>
      </c>
      <c r="C826" s="53"/>
      <c r="D826" s="53">
        <v>0</v>
      </c>
      <c r="E826" s="4">
        <v>12</v>
      </c>
      <c r="F826" s="4">
        <v>5</v>
      </c>
      <c r="G826" s="4">
        <v>18</v>
      </c>
      <c r="H826" s="53">
        <v>6.4987000000000004</v>
      </c>
      <c r="I826" s="4">
        <v>4.0000000000000002E-4</v>
      </c>
      <c r="J826" s="53">
        <v>-36.641500000000001</v>
      </c>
      <c r="K826" s="4">
        <v>1.2999999999999999E-3</v>
      </c>
      <c r="L826" s="4">
        <v>2.5000000000000001E-2</v>
      </c>
      <c r="M826" s="4">
        <v>3.0000000000000001E-3</v>
      </c>
      <c r="N826" s="4">
        <v>-5.7999999999999996E-3</v>
      </c>
      <c r="O826" s="4">
        <v>2.0000000000000001E-4</v>
      </c>
      <c r="P826" s="4">
        <v>133.01</v>
      </c>
      <c r="Q826" s="4">
        <v>0.15</v>
      </c>
      <c r="R826" s="53">
        <f t="shared" si="29"/>
        <v>0.27368312757201646</v>
      </c>
      <c r="S826" s="22">
        <f t="shared" si="30"/>
        <v>3.0864197530864197E-4</v>
      </c>
    </row>
    <row r="827" spans="1:19" ht="16">
      <c r="A827" s="52" t="s">
        <v>237</v>
      </c>
      <c r="B827" s="53" t="s">
        <v>524</v>
      </c>
      <c r="C827" s="53"/>
      <c r="D827" s="53">
        <v>0</v>
      </c>
      <c r="E827" s="4">
        <v>12</v>
      </c>
      <c r="F827" s="4">
        <v>5</v>
      </c>
      <c r="G827" s="4">
        <v>18</v>
      </c>
      <c r="H827" s="53">
        <v>6.4987000000000004</v>
      </c>
      <c r="I827" s="4">
        <v>4.0000000000000002E-4</v>
      </c>
      <c r="J827" s="53">
        <v>-36.641500000000001</v>
      </c>
      <c r="K827" s="4">
        <v>1.2999999999999999E-3</v>
      </c>
      <c r="L827" s="4">
        <v>2.5000000000000001E-2</v>
      </c>
      <c r="M827" s="4">
        <v>3.0000000000000001E-3</v>
      </c>
      <c r="N827" s="4">
        <v>-5.7999999999999996E-3</v>
      </c>
      <c r="O827" s="4">
        <v>2.0000000000000001E-4</v>
      </c>
      <c r="P827" s="4">
        <v>133.01</v>
      </c>
      <c r="Q827" s="4">
        <v>0.15</v>
      </c>
      <c r="R827" s="53">
        <f t="shared" si="29"/>
        <v>0.27368312757201646</v>
      </c>
      <c r="S827" s="22">
        <f t="shared" si="30"/>
        <v>3.0864197530864197E-4</v>
      </c>
    </row>
    <row r="828" spans="1:19" ht="16">
      <c r="A828" s="52" t="s">
        <v>238</v>
      </c>
      <c r="B828" s="53" t="s">
        <v>525</v>
      </c>
      <c r="C828" s="53"/>
      <c r="D828" s="53">
        <v>0</v>
      </c>
      <c r="E828" s="4">
        <v>12</v>
      </c>
      <c r="F828" s="4">
        <v>5</v>
      </c>
      <c r="G828" s="4">
        <v>18</v>
      </c>
      <c r="H828" s="53">
        <v>6.4987000000000004</v>
      </c>
      <c r="I828" s="4">
        <v>4.0000000000000002E-4</v>
      </c>
      <c r="J828" s="53">
        <v>-36.641500000000001</v>
      </c>
      <c r="K828" s="4">
        <v>1.2999999999999999E-3</v>
      </c>
      <c r="L828" s="4">
        <v>2.5000000000000001E-2</v>
      </c>
      <c r="M828" s="4">
        <v>3.0000000000000001E-3</v>
      </c>
      <c r="N828" s="4">
        <v>-5.7999999999999996E-3</v>
      </c>
      <c r="O828" s="4">
        <v>2.0000000000000001E-4</v>
      </c>
      <c r="P828" s="4">
        <v>133.01</v>
      </c>
      <c r="Q828" s="4">
        <v>0.15</v>
      </c>
      <c r="R828" s="53">
        <f t="shared" si="29"/>
        <v>0.27368312757201646</v>
      </c>
      <c r="S828" s="22">
        <f t="shared" si="30"/>
        <v>3.0864197530864197E-4</v>
      </c>
    </row>
    <row r="829" spans="1:19" ht="16">
      <c r="A829" s="52" t="s">
        <v>239</v>
      </c>
      <c r="B829" s="53" t="s">
        <v>526</v>
      </c>
      <c r="C829" s="53"/>
      <c r="D829" s="53">
        <v>0</v>
      </c>
      <c r="E829" s="4">
        <v>12</v>
      </c>
      <c r="F829" s="4">
        <v>5</v>
      </c>
      <c r="G829" s="4">
        <v>18</v>
      </c>
      <c r="H829" s="53">
        <v>6.4987000000000004</v>
      </c>
      <c r="I829" s="4">
        <v>4.0000000000000002E-4</v>
      </c>
      <c r="J829" s="53">
        <v>-36.641500000000001</v>
      </c>
      <c r="K829" s="4">
        <v>1.2999999999999999E-3</v>
      </c>
      <c r="L829" s="4">
        <v>2.5000000000000001E-2</v>
      </c>
      <c r="M829" s="4">
        <v>3.0000000000000001E-3</v>
      </c>
      <c r="N829" s="4">
        <v>-5.7999999999999996E-3</v>
      </c>
      <c r="O829" s="4">
        <v>2.0000000000000001E-4</v>
      </c>
      <c r="P829" s="4">
        <v>133.01</v>
      </c>
      <c r="Q829" s="4">
        <v>0.15</v>
      </c>
      <c r="R829" s="53">
        <f t="shared" si="29"/>
        <v>0.27368312757201646</v>
      </c>
      <c r="S829" s="22">
        <f t="shared" si="30"/>
        <v>3.0864197530864197E-4</v>
      </c>
    </row>
    <row r="830" spans="1:19" ht="16">
      <c r="A830" s="52" t="s">
        <v>240</v>
      </c>
      <c r="B830" s="53" t="s">
        <v>527</v>
      </c>
      <c r="C830" s="53"/>
      <c r="D830" s="53">
        <v>0</v>
      </c>
      <c r="E830" s="4">
        <v>12</v>
      </c>
      <c r="F830" s="4">
        <v>5</v>
      </c>
      <c r="G830" s="4">
        <v>18</v>
      </c>
      <c r="H830" s="53">
        <v>6.4987000000000004</v>
      </c>
      <c r="I830" s="4">
        <v>4.0000000000000002E-4</v>
      </c>
      <c r="J830" s="53">
        <v>-36.641500000000001</v>
      </c>
      <c r="K830" s="4">
        <v>1.2999999999999999E-3</v>
      </c>
      <c r="L830" s="4">
        <v>2.5000000000000001E-2</v>
      </c>
      <c r="M830" s="4">
        <v>3.0000000000000001E-3</v>
      </c>
      <c r="N830" s="4">
        <v>-5.7999999999999996E-3</v>
      </c>
      <c r="O830" s="4">
        <v>2.0000000000000001E-4</v>
      </c>
      <c r="P830" s="4">
        <v>133.01</v>
      </c>
      <c r="Q830" s="4">
        <v>0.15</v>
      </c>
      <c r="R830" s="53">
        <f t="shared" si="29"/>
        <v>0.27368312757201646</v>
      </c>
      <c r="S830" s="22">
        <f t="shared" si="30"/>
        <v>3.0864197530864197E-4</v>
      </c>
    </row>
    <row r="831" spans="1:19" ht="16">
      <c r="A831" s="52" t="s">
        <v>241</v>
      </c>
      <c r="B831" s="53" t="s">
        <v>528</v>
      </c>
      <c r="C831" s="53"/>
      <c r="D831" s="53">
        <v>0</v>
      </c>
      <c r="E831" s="4">
        <v>12</v>
      </c>
      <c r="F831" s="4">
        <v>5</v>
      </c>
      <c r="G831" s="4">
        <v>18</v>
      </c>
      <c r="H831" s="53">
        <v>6.4987000000000004</v>
      </c>
      <c r="I831" s="4">
        <v>4.0000000000000002E-4</v>
      </c>
      <c r="J831" s="53">
        <v>-36.641500000000001</v>
      </c>
      <c r="K831" s="4">
        <v>1.2999999999999999E-3</v>
      </c>
      <c r="L831" s="4">
        <v>2.5000000000000001E-2</v>
      </c>
      <c r="M831" s="4">
        <v>3.0000000000000001E-3</v>
      </c>
      <c r="N831" s="4">
        <v>-5.7999999999999996E-3</v>
      </c>
      <c r="O831" s="4">
        <v>2.0000000000000001E-4</v>
      </c>
      <c r="P831" s="4">
        <v>133.01</v>
      </c>
      <c r="Q831" s="4">
        <v>0.15</v>
      </c>
      <c r="R831" s="53">
        <f t="shared" si="29"/>
        <v>0.27368312757201646</v>
      </c>
      <c r="S831" s="22">
        <f t="shared" si="30"/>
        <v>3.0864197530864197E-4</v>
      </c>
    </row>
    <row r="832" spans="1:19" ht="16">
      <c r="A832" s="52" t="s">
        <v>242</v>
      </c>
      <c r="B832" s="53" t="s">
        <v>529</v>
      </c>
      <c r="C832" s="53"/>
      <c r="D832" s="53">
        <v>0</v>
      </c>
      <c r="E832" s="4">
        <v>12</v>
      </c>
      <c r="F832" s="4">
        <v>5</v>
      </c>
      <c r="G832" s="4">
        <v>18</v>
      </c>
      <c r="H832" s="53">
        <v>6.4987000000000004</v>
      </c>
      <c r="I832" s="4">
        <v>4.0000000000000002E-4</v>
      </c>
      <c r="J832" s="53">
        <v>-36.641500000000001</v>
      </c>
      <c r="K832" s="4">
        <v>1.2999999999999999E-3</v>
      </c>
      <c r="L832" s="4">
        <v>2.5000000000000001E-2</v>
      </c>
      <c r="M832" s="4">
        <v>3.0000000000000001E-3</v>
      </c>
      <c r="N832" s="4">
        <v>-5.7999999999999996E-3</v>
      </c>
      <c r="O832" s="4">
        <v>2.0000000000000001E-4</v>
      </c>
      <c r="P832" s="4">
        <v>133.01</v>
      </c>
      <c r="Q832" s="4">
        <v>0.15</v>
      </c>
      <c r="R832" s="53">
        <f t="shared" si="29"/>
        <v>0.27368312757201646</v>
      </c>
      <c r="S832" s="22">
        <f t="shared" si="30"/>
        <v>3.0864197530864197E-4</v>
      </c>
    </row>
    <row r="833" spans="1:19" ht="16">
      <c r="A833" s="52" t="s">
        <v>243</v>
      </c>
      <c r="B833" s="53" t="s">
        <v>530</v>
      </c>
      <c r="C833" s="53"/>
      <c r="D833" s="53">
        <v>0</v>
      </c>
      <c r="E833" s="4">
        <v>12</v>
      </c>
      <c r="F833" s="4">
        <v>5</v>
      </c>
      <c r="G833" s="4">
        <v>18</v>
      </c>
      <c r="H833" s="53">
        <v>6.4987000000000004</v>
      </c>
      <c r="I833" s="4">
        <v>4.0000000000000002E-4</v>
      </c>
      <c r="J833" s="53">
        <v>-36.641500000000001</v>
      </c>
      <c r="K833" s="4">
        <v>1.2999999999999999E-3</v>
      </c>
      <c r="L833" s="4">
        <v>2.5000000000000001E-2</v>
      </c>
      <c r="M833" s="4">
        <v>3.0000000000000001E-3</v>
      </c>
      <c r="N833" s="4">
        <v>-5.7999999999999996E-3</v>
      </c>
      <c r="O833" s="4">
        <v>2.0000000000000001E-4</v>
      </c>
      <c r="P833" s="4">
        <v>133.01</v>
      </c>
      <c r="Q833" s="4">
        <v>0.15</v>
      </c>
      <c r="R833" s="53">
        <f t="shared" si="29"/>
        <v>0.27368312757201646</v>
      </c>
      <c r="S833" s="22">
        <f t="shared" si="30"/>
        <v>3.0864197530864197E-4</v>
      </c>
    </row>
    <row r="834" spans="1:19" ht="16">
      <c r="A834" s="52" t="s">
        <v>244</v>
      </c>
      <c r="B834" s="53" t="s">
        <v>531</v>
      </c>
      <c r="C834" s="53"/>
      <c r="D834" s="53">
        <v>0</v>
      </c>
      <c r="E834" s="4">
        <v>12</v>
      </c>
      <c r="F834" s="4">
        <v>5</v>
      </c>
      <c r="G834" s="4">
        <v>18</v>
      </c>
      <c r="H834" s="53">
        <v>6.4987000000000004</v>
      </c>
      <c r="I834" s="4">
        <v>4.0000000000000002E-4</v>
      </c>
      <c r="J834" s="53">
        <v>-36.641500000000001</v>
      </c>
      <c r="K834" s="4">
        <v>1.2999999999999999E-3</v>
      </c>
      <c r="L834" s="4">
        <v>2.5000000000000001E-2</v>
      </c>
      <c r="M834" s="4">
        <v>3.0000000000000001E-3</v>
      </c>
      <c r="N834" s="4">
        <v>-5.7999999999999996E-3</v>
      </c>
      <c r="O834" s="4">
        <v>2.0000000000000001E-4</v>
      </c>
      <c r="P834" s="4">
        <v>133.01</v>
      </c>
      <c r="Q834" s="4">
        <v>0.15</v>
      </c>
      <c r="R834" s="53">
        <f t="shared" si="29"/>
        <v>0.27368312757201646</v>
      </c>
      <c r="S834" s="22">
        <f t="shared" si="30"/>
        <v>3.0864197530864197E-4</v>
      </c>
    </row>
    <row r="835" spans="1:19" ht="16">
      <c r="A835" s="52" t="s">
        <v>245</v>
      </c>
      <c r="B835" s="53" t="s">
        <v>532</v>
      </c>
      <c r="C835" s="53"/>
      <c r="D835" s="53">
        <v>0</v>
      </c>
      <c r="E835" s="4">
        <v>12</v>
      </c>
      <c r="F835" s="4">
        <v>5</v>
      </c>
      <c r="G835" s="4">
        <v>18</v>
      </c>
      <c r="H835" s="53">
        <v>6.4987000000000004</v>
      </c>
      <c r="I835" s="4">
        <v>4.0000000000000002E-4</v>
      </c>
      <c r="J835" s="53">
        <v>-36.641500000000001</v>
      </c>
      <c r="K835" s="4">
        <v>1.2999999999999999E-3</v>
      </c>
      <c r="L835" s="4">
        <v>2.5000000000000001E-2</v>
      </c>
      <c r="M835" s="4">
        <v>3.0000000000000001E-3</v>
      </c>
      <c r="N835" s="4">
        <v>-5.7999999999999996E-3</v>
      </c>
      <c r="O835" s="4">
        <v>2.0000000000000001E-4</v>
      </c>
      <c r="P835" s="4">
        <v>133.01</v>
      </c>
      <c r="Q835" s="4">
        <v>0.15</v>
      </c>
      <c r="R835" s="53">
        <f t="shared" si="29"/>
        <v>0.27368312757201646</v>
      </c>
      <c r="S835" s="22">
        <f t="shared" si="30"/>
        <v>3.0864197530864197E-4</v>
      </c>
    </row>
    <row r="836" spans="1:19" ht="16">
      <c r="A836" s="52" t="s">
        <v>246</v>
      </c>
      <c r="B836" s="53" t="s">
        <v>533</v>
      </c>
      <c r="C836" s="53"/>
      <c r="D836" s="53">
        <v>0</v>
      </c>
      <c r="E836" s="4">
        <v>12</v>
      </c>
      <c r="F836" s="4">
        <v>5</v>
      </c>
      <c r="G836" s="4">
        <v>18</v>
      </c>
      <c r="H836" s="53">
        <v>6.4987000000000004</v>
      </c>
      <c r="I836" s="4">
        <v>4.0000000000000002E-4</v>
      </c>
      <c r="J836" s="53">
        <v>-36.641500000000001</v>
      </c>
      <c r="K836" s="4">
        <v>1.2999999999999999E-3</v>
      </c>
      <c r="L836" s="4">
        <v>2.5000000000000001E-2</v>
      </c>
      <c r="M836" s="4">
        <v>3.0000000000000001E-3</v>
      </c>
      <c r="N836" s="4">
        <v>-5.7999999999999996E-3</v>
      </c>
      <c r="O836" s="4">
        <v>2.0000000000000001E-4</v>
      </c>
      <c r="P836" s="4">
        <v>133.01</v>
      </c>
      <c r="Q836" s="4">
        <v>0.15</v>
      </c>
      <c r="R836" s="53">
        <f t="shared" si="29"/>
        <v>0.27368312757201646</v>
      </c>
      <c r="S836" s="22">
        <f t="shared" si="30"/>
        <v>3.0864197530864197E-4</v>
      </c>
    </row>
    <row r="837" spans="1:19" ht="16">
      <c r="A837" s="52" t="s">
        <v>247</v>
      </c>
      <c r="B837" s="53" t="s">
        <v>534</v>
      </c>
      <c r="C837" s="53"/>
      <c r="D837" s="53">
        <v>0</v>
      </c>
      <c r="E837" s="4">
        <v>12</v>
      </c>
      <c r="F837" s="4">
        <v>5</v>
      </c>
      <c r="G837" s="4">
        <v>18</v>
      </c>
      <c r="H837" s="53">
        <v>6.4987000000000004</v>
      </c>
      <c r="I837" s="4">
        <v>4.0000000000000002E-4</v>
      </c>
      <c r="J837" s="53">
        <v>-36.641500000000001</v>
      </c>
      <c r="K837" s="4">
        <v>1.2999999999999999E-3</v>
      </c>
      <c r="L837" s="4">
        <v>2.5000000000000001E-2</v>
      </c>
      <c r="M837" s="4">
        <v>3.0000000000000001E-3</v>
      </c>
      <c r="N837" s="4">
        <v>-5.7999999999999996E-3</v>
      </c>
      <c r="O837" s="4">
        <v>2.0000000000000001E-4</v>
      </c>
      <c r="P837" s="4">
        <v>133.01</v>
      </c>
      <c r="Q837" s="4">
        <v>0.15</v>
      </c>
      <c r="R837" s="53">
        <f t="shared" si="29"/>
        <v>0.27368312757201646</v>
      </c>
      <c r="S837" s="22">
        <f t="shared" si="30"/>
        <v>3.0864197530864197E-4</v>
      </c>
    </row>
    <row r="838" spans="1:19" ht="16">
      <c r="A838" s="52" t="s">
        <v>248</v>
      </c>
      <c r="B838" s="53" t="s">
        <v>535</v>
      </c>
      <c r="C838" s="53"/>
      <c r="D838" s="53">
        <v>0</v>
      </c>
      <c r="E838" s="4">
        <v>12</v>
      </c>
      <c r="F838" s="4">
        <v>5</v>
      </c>
      <c r="G838" s="4">
        <v>18</v>
      </c>
      <c r="H838" s="53">
        <v>6.4987000000000004</v>
      </c>
      <c r="I838" s="4">
        <v>4.0000000000000002E-4</v>
      </c>
      <c r="J838" s="53">
        <v>-36.641500000000001</v>
      </c>
      <c r="K838" s="4">
        <v>1.2999999999999999E-3</v>
      </c>
      <c r="L838" s="4">
        <v>2.5000000000000001E-2</v>
      </c>
      <c r="M838" s="4">
        <v>3.0000000000000001E-3</v>
      </c>
      <c r="N838" s="4">
        <v>-5.7999999999999996E-3</v>
      </c>
      <c r="O838" s="4">
        <v>2.0000000000000001E-4</v>
      </c>
      <c r="P838" s="4">
        <v>133.01</v>
      </c>
      <c r="Q838" s="4">
        <v>0.15</v>
      </c>
      <c r="R838" s="53">
        <f t="shared" si="29"/>
        <v>0.27368312757201646</v>
      </c>
      <c r="S838" s="22">
        <f t="shared" si="30"/>
        <v>3.0864197530864197E-4</v>
      </c>
    </row>
    <row r="839" spans="1:19" ht="16">
      <c r="A839" s="52" t="s">
        <v>249</v>
      </c>
      <c r="B839" s="53" t="s">
        <v>536</v>
      </c>
      <c r="C839" s="53"/>
      <c r="D839" s="53">
        <v>0</v>
      </c>
      <c r="E839" s="4">
        <v>12</v>
      </c>
      <c r="F839" s="4">
        <v>5</v>
      </c>
      <c r="G839" s="4">
        <v>18</v>
      </c>
      <c r="H839" s="53">
        <v>6.4987000000000004</v>
      </c>
      <c r="I839" s="4">
        <v>4.0000000000000002E-4</v>
      </c>
      <c r="J839" s="53">
        <v>-36.641500000000001</v>
      </c>
      <c r="K839" s="4">
        <v>1.2999999999999999E-3</v>
      </c>
      <c r="L839" s="4">
        <v>2.5000000000000001E-2</v>
      </c>
      <c r="M839" s="4">
        <v>3.0000000000000001E-3</v>
      </c>
      <c r="N839" s="4">
        <v>-5.7999999999999996E-3</v>
      </c>
      <c r="O839" s="4">
        <v>2.0000000000000001E-4</v>
      </c>
      <c r="P839" s="4">
        <v>133.01</v>
      </c>
      <c r="Q839" s="4">
        <v>0.15</v>
      </c>
      <c r="R839" s="53">
        <f t="shared" si="29"/>
        <v>0.27368312757201646</v>
      </c>
      <c r="S839" s="22">
        <f t="shared" si="30"/>
        <v>3.0864197530864197E-4</v>
      </c>
    </row>
    <row r="840" spans="1:19" ht="16">
      <c r="A840" s="52" t="s">
        <v>250</v>
      </c>
      <c r="B840" s="53" t="s">
        <v>537</v>
      </c>
      <c r="C840" s="53"/>
      <c r="D840" s="53">
        <v>0</v>
      </c>
      <c r="E840" s="4">
        <v>12</v>
      </c>
      <c r="F840" s="4">
        <v>5</v>
      </c>
      <c r="G840" s="4">
        <v>18</v>
      </c>
      <c r="H840" s="53">
        <v>6.4987000000000004</v>
      </c>
      <c r="I840" s="4">
        <v>4.0000000000000002E-4</v>
      </c>
      <c r="J840" s="53">
        <v>-36.641500000000001</v>
      </c>
      <c r="K840" s="4">
        <v>1.2999999999999999E-3</v>
      </c>
      <c r="L840" s="4">
        <v>2.5000000000000001E-2</v>
      </c>
      <c r="M840" s="4">
        <v>3.0000000000000001E-3</v>
      </c>
      <c r="N840" s="4">
        <v>-5.7999999999999996E-3</v>
      </c>
      <c r="O840" s="4">
        <v>2.0000000000000001E-4</v>
      </c>
      <c r="P840" s="4">
        <v>133.01</v>
      </c>
      <c r="Q840" s="4">
        <v>0.15</v>
      </c>
      <c r="R840" s="53">
        <f t="shared" si="29"/>
        <v>0.27368312757201646</v>
      </c>
      <c r="S840" s="22">
        <f t="shared" si="30"/>
        <v>3.0864197530864197E-4</v>
      </c>
    </row>
    <row r="841" spans="1:19" ht="16">
      <c r="A841" s="52" t="s">
        <v>251</v>
      </c>
      <c r="B841" s="53" t="s">
        <v>538</v>
      </c>
      <c r="C841" s="53"/>
      <c r="D841" s="53">
        <v>0</v>
      </c>
      <c r="E841" s="4">
        <v>12</v>
      </c>
      <c r="F841" s="4">
        <v>5</v>
      </c>
      <c r="G841" s="4">
        <v>18</v>
      </c>
      <c r="H841" s="53">
        <v>6.4987000000000004</v>
      </c>
      <c r="I841" s="4">
        <v>4.0000000000000002E-4</v>
      </c>
      <c r="J841" s="53">
        <v>-36.641500000000001</v>
      </c>
      <c r="K841" s="4">
        <v>1.2999999999999999E-3</v>
      </c>
      <c r="L841" s="4">
        <v>2.5000000000000001E-2</v>
      </c>
      <c r="M841" s="4">
        <v>3.0000000000000001E-3</v>
      </c>
      <c r="N841" s="4">
        <v>-5.7999999999999996E-3</v>
      </c>
      <c r="O841" s="4">
        <v>2.0000000000000001E-4</v>
      </c>
      <c r="P841" s="4">
        <v>133.01</v>
      </c>
      <c r="Q841" s="4">
        <v>0.15</v>
      </c>
      <c r="R841" s="53">
        <f t="shared" si="29"/>
        <v>0.27368312757201646</v>
      </c>
      <c r="S841" s="22">
        <f t="shared" si="30"/>
        <v>3.0864197530864197E-4</v>
      </c>
    </row>
    <row r="842" spans="1:19" ht="16">
      <c r="A842" s="52" t="s">
        <v>252</v>
      </c>
      <c r="B842" s="53" t="s">
        <v>539</v>
      </c>
      <c r="C842" s="53"/>
      <c r="D842" s="53">
        <v>0</v>
      </c>
      <c r="E842" s="4">
        <v>12</v>
      </c>
      <c r="F842" s="4">
        <v>5</v>
      </c>
      <c r="G842" s="4">
        <v>18</v>
      </c>
      <c r="H842" s="53">
        <v>6.4987000000000004</v>
      </c>
      <c r="I842" s="4">
        <v>4.0000000000000002E-4</v>
      </c>
      <c r="J842" s="53">
        <v>-36.641500000000001</v>
      </c>
      <c r="K842" s="4">
        <v>1.2999999999999999E-3</v>
      </c>
      <c r="L842" s="4">
        <v>2.5000000000000001E-2</v>
      </c>
      <c r="M842" s="4">
        <v>3.0000000000000001E-3</v>
      </c>
      <c r="N842" s="4">
        <v>-5.7999999999999996E-3</v>
      </c>
      <c r="O842" s="4">
        <v>2.0000000000000001E-4</v>
      </c>
      <c r="P842" s="4">
        <v>133.01</v>
      </c>
      <c r="Q842" s="4">
        <v>0.15</v>
      </c>
      <c r="R842" s="53">
        <f t="shared" si="29"/>
        <v>0.27368312757201646</v>
      </c>
      <c r="S842" s="22">
        <f t="shared" si="30"/>
        <v>3.0864197530864197E-4</v>
      </c>
    </row>
    <row r="843" spans="1:19" ht="16">
      <c r="A843" s="52" t="s">
        <v>253</v>
      </c>
      <c r="B843" s="53" t="s">
        <v>540</v>
      </c>
      <c r="C843" s="53"/>
      <c r="D843" s="53">
        <v>0</v>
      </c>
      <c r="E843" s="4">
        <v>12</v>
      </c>
      <c r="F843" s="4">
        <v>5</v>
      </c>
      <c r="G843" s="4">
        <v>18</v>
      </c>
      <c r="H843" s="53">
        <v>6.4987000000000004</v>
      </c>
      <c r="I843" s="4">
        <v>4.0000000000000002E-4</v>
      </c>
      <c r="J843" s="53">
        <v>-36.641500000000001</v>
      </c>
      <c r="K843" s="4">
        <v>1.2999999999999999E-3</v>
      </c>
      <c r="L843" s="4">
        <v>2.5000000000000001E-2</v>
      </c>
      <c r="M843" s="4">
        <v>3.0000000000000001E-3</v>
      </c>
      <c r="N843" s="4">
        <v>-5.7999999999999996E-3</v>
      </c>
      <c r="O843" s="4">
        <v>2.0000000000000001E-4</v>
      </c>
      <c r="P843" s="4">
        <v>133.01</v>
      </c>
      <c r="Q843" s="4">
        <v>0.15</v>
      </c>
      <c r="R843" s="53">
        <f t="shared" si="29"/>
        <v>0.27368312757201646</v>
      </c>
      <c r="S843" s="22">
        <f t="shared" si="30"/>
        <v>3.0864197530864197E-4</v>
      </c>
    </row>
    <row r="844" spans="1:19" ht="16">
      <c r="A844" s="52" t="s">
        <v>254</v>
      </c>
      <c r="B844" s="53" t="s">
        <v>541</v>
      </c>
      <c r="C844" s="53"/>
      <c r="D844" s="53">
        <v>0</v>
      </c>
      <c r="E844" s="4">
        <v>12</v>
      </c>
      <c r="F844" s="4">
        <v>5</v>
      </c>
      <c r="G844" s="4">
        <v>18</v>
      </c>
      <c r="H844" s="53">
        <v>6.4987000000000004</v>
      </c>
      <c r="I844" s="4">
        <v>4.0000000000000002E-4</v>
      </c>
      <c r="J844" s="53">
        <v>-36.641500000000001</v>
      </c>
      <c r="K844" s="4">
        <v>1.2999999999999999E-3</v>
      </c>
      <c r="L844" s="4">
        <v>2.5000000000000001E-2</v>
      </c>
      <c r="M844" s="4">
        <v>3.0000000000000001E-3</v>
      </c>
      <c r="N844" s="4">
        <v>-5.7999999999999996E-3</v>
      </c>
      <c r="O844" s="4">
        <v>2.0000000000000001E-4</v>
      </c>
      <c r="P844" s="4">
        <v>133.01</v>
      </c>
      <c r="Q844" s="4">
        <v>0.15</v>
      </c>
      <c r="R844" s="53">
        <f t="shared" si="29"/>
        <v>0.27368312757201646</v>
      </c>
      <c r="S844" s="22">
        <f t="shared" si="30"/>
        <v>3.0864197530864197E-4</v>
      </c>
    </row>
    <row r="845" spans="1:19" ht="16">
      <c r="A845" s="52" t="s">
        <v>255</v>
      </c>
      <c r="B845" s="53" t="s">
        <v>542</v>
      </c>
      <c r="C845" s="53"/>
      <c r="D845" s="53">
        <v>0</v>
      </c>
      <c r="E845" s="4">
        <v>12</v>
      </c>
      <c r="F845" s="4">
        <v>5</v>
      </c>
      <c r="G845" s="4">
        <v>18</v>
      </c>
      <c r="H845" s="53">
        <v>6.4987000000000004</v>
      </c>
      <c r="I845" s="4">
        <v>4.0000000000000002E-4</v>
      </c>
      <c r="J845" s="53">
        <v>-36.641500000000001</v>
      </c>
      <c r="K845" s="4">
        <v>1.2999999999999999E-3</v>
      </c>
      <c r="L845" s="4">
        <v>2.5000000000000001E-2</v>
      </c>
      <c r="M845" s="4">
        <v>3.0000000000000001E-3</v>
      </c>
      <c r="N845" s="4">
        <v>-5.7999999999999996E-3</v>
      </c>
      <c r="O845" s="4">
        <v>2.0000000000000001E-4</v>
      </c>
      <c r="P845" s="4">
        <v>133.01</v>
      </c>
      <c r="Q845" s="4">
        <v>0.15</v>
      </c>
      <c r="R845" s="53">
        <f t="shared" si="29"/>
        <v>0.27368312757201646</v>
      </c>
      <c r="S845" s="22">
        <f t="shared" si="30"/>
        <v>3.0864197530864197E-4</v>
      </c>
    </row>
    <row r="846" spans="1:19" ht="16">
      <c r="A846" s="52" t="s">
        <v>256</v>
      </c>
      <c r="B846" s="53" t="s">
        <v>543</v>
      </c>
      <c r="C846" s="53"/>
      <c r="D846" s="53">
        <v>0</v>
      </c>
      <c r="E846" s="4">
        <v>12</v>
      </c>
      <c r="F846" s="4">
        <v>5</v>
      </c>
      <c r="G846" s="4">
        <v>18</v>
      </c>
      <c r="H846" s="53">
        <v>6.4987000000000004</v>
      </c>
      <c r="I846" s="4">
        <v>4.0000000000000002E-4</v>
      </c>
      <c r="J846" s="53">
        <v>-36.641500000000001</v>
      </c>
      <c r="K846" s="4">
        <v>1.2999999999999999E-3</v>
      </c>
      <c r="L846" s="4">
        <v>2.5000000000000001E-2</v>
      </c>
      <c r="M846" s="4">
        <v>3.0000000000000001E-3</v>
      </c>
      <c r="N846" s="4">
        <v>-5.7999999999999996E-3</v>
      </c>
      <c r="O846" s="4">
        <v>2.0000000000000001E-4</v>
      </c>
      <c r="P846" s="4">
        <v>133.01</v>
      </c>
      <c r="Q846" s="4">
        <v>0.15</v>
      </c>
      <c r="R846" s="53">
        <f t="shared" si="29"/>
        <v>0.27368312757201646</v>
      </c>
      <c r="S846" s="22">
        <f t="shared" si="30"/>
        <v>3.0864197530864197E-4</v>
      </c>
    </row>
    <row r="847" spans="1:19" ht="16">
      <c r="A847" s="52" t="s">
        <v>257</v>
      </c>
      <c r="B847" s="53" t="s">
        <v>544</v>
      </c>
      <c r="C847" s="53"/>
      <c r="D847" s="53">
        <v>0</v>
      </c>
      <c r="E847" s="4">
        <v>12</v>
      </c>
      <c r="F847" s="4">
        <v>5</v>
      </c>
      <c r="G847" s="4">
        <v>18</v>
      </c>
      <c r="H847" s="53">
        <v>6.4987000000000004</v>
      </c>
      <c r="I847" s="4">
        <v>4.0000000000000002E-4</v>
      </c>
      <c r="J847" s="53">
        <v>-36.641500000000001</v>
      </c>
      <c r="K847" s="4">
        <v>1.2999999999999999E-3</v>
      </c>
      <c r="L847" s="4">
        <v>2.5000000000000001E-2</v>
      </c>
      <c r="M847" s="4">
        <v>3.0000000000000001E-3</v>
      </c>
      <c r="N847" s="4">
        <v>-5.7999999999999996E-3</v>
      </c>
      <c r="O847" s="4">
        <v>2.0000000000000001E-4</v>
      </c>
      <c r="P847" s="4">
        <v>133.01</v>
      </c>
      <c r="Q847" s="4">
        <v>0.15</v>
      </c>
      <c r="R847" s="53">
        <f t="shared" si="29"/>
        <v>0.27368312757201646</v>
      </c>
      <c r="S847" s="22">
        <f t="shared" si="30"/>
        <v>3.0864197530864197E-4</v>
      </c>
    </row>
    <row r="848" spans="1:19" ht="16">
      <c r="A848" s="52" t="s">
        <v>258</v>
      </c>
      <c r="B848" s="53" t="s">
        <v>545</v>
      </c>
      <c r="C848" s="53"/>
      <c r="D848" s="53">
        <v>0</v>
      </c>
      <c r="E848" s="4">
        <v>12</v>
      </c>
      <c r="F848" s="4">
        <v>5</v>
      </c>
      <c r="G848" s="4">
        <v>18</v>
      </c>
      <c r="H848" s="53">
        <v>6.4987000000000004</v>
      </c>
      <c r="I848" s="4">
        <v>4.0000000000000002E-4</v>
      </c>
      <c r="J848" s="53">
        <v>-36.641500000000001</v>
      </c>
      <c r="K848" s="4">
        <v>1.2999999999999999E-3</v>
      </c>
      <c r="L848" s="4">
        <v>2.5000000000000001E-2</v>
      </c>
      <c r="M848" s="4">
        <v>3.0000000000000001E-3</v>
      </c>
      <c r="N848" s="4">
        <v>-5.7999999999999996E-3</v>
      </c>
      <c r="O848" s="4">
        <v>2.0000000000000001E-4</v>
      </c>
      <c r="P848" s="4">
        <v>133.01</v>
      </c>
      <c r="Q848" s="4">
        <v>0.15</v>
      </c>
      <c r="R848" s="53">
        <f t="shared" si="29"/>
        <v>0.27368312757201646</v>
      </c>
      <c r="S848" s="22">
        <f t="shared" si="30"/>
        <v>3.0864197530864197E-4</v>
      </c>
    </row>
    <row r="849" spans="1:19" ht="16">
      <c r="A849" s="52" t="s">
        <v>259</v>
      </c>
      <c r="B849" s="53" t="s">
        <v>546</v>
      </c>
      <c r="C849" s="53"/>
      <c r="D849" s="53">
        <v>0</v>
      </c>
      <c r="E849" s="4">
        <v>12</v>
      </c>
      <c r="F849" s="4">
        <v>5</v>
      </c>
      <c r="G849" s="4">
        <v>18</v>
      </c>
      <c r="H849" s="53">
        <v>6.4987000000000004</v>
      </c>
      <c r="I849" s="4">
        <v>4.0000000000000002E-4</v>
      </c>
      <c r="J849" s="53">
        <v>-36.641500000000001</v>
      </c>
      <c r="K849" s="4">
        <v>1.2999999999999999E-3</v>
      </c>
      <c r="L849" s="4">
        <v>2.5000000000000001E-2</v>
      </c>
      <c r="M849" s="4">
        <v>3.0000000000000001E-3</v>
      </c>
      <c r="N849" s="4">
        <v>-5.7999999999999996E-3</v>
      </c>
      <c r="O849" s="4">
        <v>2.0000000000000001E-4</v>
      </c>
      <c r="P849" s="4">
        <v>133.01</v>
      </c>
      <c r="Q849" s="4">
        <v>0.15</v>
      </c>
      <c r="R849" s="53">
        <f t="shared" si="29"/>
        <v>0.27368312757201646</v>
      </c>
      <c r="S849" s="22">
        <f t="shared" si="30"/>
        <v>3.0864197530864197E-4</v>
      </c>
    </row>
    <row r="850" spans="1:19" ht="16">
      <c r="A850" s="52" t="s">
        <v>260</v>
      </c>
      <c r="B850" s="53" t="s">
        <v>547</v>
      </c>
      <c r="C850" s="53"/>
      <c r="D850" s="53">
        <v>0</v>
      </c>
      <c r="E850" s="4">
        <v>12</v>
      </c>
      <c r="F850" s="4">
        <v>5</v>
      </c>
      <c r="G850" s="4">
        <v>18</v>
      </c>
      <c r="H850" s="53">
        <v>6.4987000000000004</v>
      </c>
      <c r="I850" s="4">
        <v>4.0000000000000002E-4</v>
      </c>
      <c r="J850" s="53">
        <v>-36.641500000000001</v>
      </c>
      <c r="K850" s="4">
        <v>1.2999999999999999E-3</v>
      </c>
      <c r="L850" s="4">
        <v>2.5000000000000001E-2</v>
      </c>
      <c r="M850" s="4">
        <v>3.0000000000000001E-3</v>
      </c>
      <c r="N850" s="4">
        <v>-5.7999999999999996E-3</v>
      </c>
      <c r="O850" s="4">
        <v>2.0000000000000001E-4</v>
      </c>
      <c r="P850" s="4">
        <v>133.01</v>
      </c>
      <c r="Q850" s="4">
        <v>0.15</v>
      </c>
      <c r="R850" s="53">
        <f t="shared" si="29"/>
        <v>0.27368312757201646</v>
      </c>
      <c r="S850" s="22">
        <f t="shared" si="30"/>
        <v>3.0864197530864197E-4</v>
      </c>
    </row>
    <row r="851" spans="1:19" ht="16">
      <c r="A851" s="52" t="s">
        <v>261</v>
      </c>
      <c r="B851" s="53" t="s">
        <v>548</v>
      </c>
      <c r="C851" s="53"/>
      <c r="D851" s="53">
        <v>0</v>
      </c>
      <c r="E851" s="4">
        <v>12</v>
      </c>
      <c r="F851" s="4">
        <v>5</v>
      </c>
      <c r="G851" s="4">
        <v>18</v>
      </c>
      <c r="H851" s="53">
        <v>6.4987000000000004</v>
      </c>
      <c r="I851" s="4">
        <v>4.0000000000000002E-4</v>
      </c>
      <c r="J851" s="53">
        <v>-36.641500000000001</v>
      </c>
      <c r="K851" s="4">
        <v>1.2999999999999999E-3</v>
      </c>
      <c r="L851" s="4">
        <v>2.5000000000000001E-2</v>
      </c>
      <c r="M851" s="4">
        <v>3.0000000000000001E-3</v>
      </c>
      <c r="N851" s="4">
        <v>-5.7999999999999996E-3</v>
      </c>
      <c r="O851" s="4">
        <v>2.0000000000000001E-4</v>
      </c>
      <c r="P851" s="4">
        <v>133.01</v>
      </c>
      <c r="Q851" s="4">
        <v>0.15</v>
      </c>
      <c r="R851" s="53">
        <f t="shared" si="29"/>
        <v>0.27368312757201646</v>
      </c>
      <c r="S851" s="22">
        <f t="shared" si="30"/>
        <v>3.0864197530864197E-4</v>
      </c>
    </row>
    <row r="852" spans="1:19" ht="16">
      <c r="A852" s="52" t="s">
        <v>262</v>
      </c>
      <c r="B852" s="53" t="s">
        <v>549</v>
      </c>
      <c r="C852" s="53"/>
      <c r="D852" s="53">
        <v>0</v>
      </c>
      <c r="E852" s="4">
        <v>12</v>
      </c>
      <c r="F852" s="4">
        <v>5</v>
      </c>
      <c r="G852" s="4">
        <v>18</v>
      </c>
      <c r="H852" s="53">
        <v>6.4987000000000004</v>
      </c>
      <c r="I852" s="4">
        <v>4.0000000000000002E-4</v>
      </c>
      <c r="J852" s="53">
        <v>-36.641500000000001</v>
      </c>
      <c r="K852" s="4">
        <v>1.2999999999999999E-3</v>
      </c>
      <c r="L852" s="4">
        <v>2.5000000000000001E-2</v>
      </c>
      <c r="M852" s="4">
        <v>3.0000000000000001E-3</v>
      </c>
      <c r="N852" s="4">
        <v>-5.7999999999999996E-3</v>
      </c>
      <c r="O852" s="4">
        <v>2.0000000000000001E-4</v>
      </c>
      <c r="P852" s="4">
        <v>133.01</v>
      </c>
      <c r="Q852" s="4">
        <v>0.15</v>
      </c>
      <c r="R852" s="53">
        <f t="shared" si="29"/>
        <v>0.27368312757201646</v>
      </c>
      <c r="S852" s="22">
        <f t="shared" si="30"/>
        <v>3.0864197530864197E-4</v>
      </c>
    </row>
    <row r="853" spans="1:19" ht="16">
      <c r="A853" s="52" t="s">
        <v>263</v>
      </c>
      <c r="B853" s="53" t="s">
        <v>550</v>
      </c>
      <c r="C853" s="53"/>
      <c r="D853" s="53">
        <v>0</v>
      </c>
      <c r="E853" s="4">
        <v>12</v>
      </c>
      <c r="F853" s="4">
        <v>5</v>
      </c>
      <c r="G853" s="4">
        <v>18</v>
      </c>
      <c r="H853" s="53">
        <v>6.4987000000000004</v>
      </c>
      <c r="I853" s="4">
        <v>4.0000000000000002E-4</v>
      </c>
      <c r="J853" s="53">
        <v>-36.641500000000001</v>
      </c>
      <c r="K853" s="4">
        <v>1.2999999999999999E-3</v>
      </c>
      <c r="L853" s="4">
        <v>2.5000000000000001E-2</v>
      </c>
      <c r="M853" s="4">
        <v>3.0000000000000001E-3</v>
      </c>
      <c r="N853" s="4">
        <v>-5.7999999999999996E-3</v>
      </c>
      <c r="O853" s="4">
        <v>2.0000000000000001E-4</v>
      </c>
      <c r="P853" s="4">
        <v>133.01</v>
      </c>
      <c r="Q853" s="4">
        <v>0.15</v>
      </c>
      <c r="R853" s="53">
        <f t="shared" si="29"/>
        <v>0.27368312757201646</v>
      </c>
      <c r="S853" s="22">
        <f t="shared" si="30"/>
        <v>3.0864197530864197E-4</v>
      </c>
    </row>
    <row r="854" spans="1:19" ht="16">
      <c r="A854" s="52" t="s">
        <v>264</v>
      </c>
      <c r="B854" s="53" t="s">
        <v>551</v>
      </c>
      <c r="C854" s="53"/>
      <c r="D854" s="53">
        <v>0</v>
      </c>
      <c r="E854" s="4">
        <v>12</v>
      </c>
      <c r="F854" s="4">
        <v>5</v>
      </c>
      <c r="G854" s="4">
        <v>18</v>
      </c>
      <c r="H854" s="53">
        <v>6.4987000000000004</v>
      </c>
      <c r="I854" s="4">
        <v>4.0000000000000002E-4</v>
      </c>
      <c r="J854" s="53">
        <v>-36.641500000000001</v>
      </c>
      <c r="K854" s="4">
        <v>1.2999999999999999E-3</v>
      </c>
      <c r="L854" s="4">
        <v>2.5000000000000001E-2</v>
      </c>
      <c r="M854" s="4">
        <v>3.0000000000000001E-3</v>
      </c>
      <c r="N854" s="4">
        <v>-5.7999999999999996E-3</v>
      </c>
      <c r="O854" s="4">
        <v>2.0000000000000001E-4</v>
      </c>
      <c r="P854" s="4">
        <v>133.01</v>
      </c>
      <c r="Q854" s="4">
        <v>0.15</v>
      </c>
      <c r="R854" s="53">
        <f t="shared" si="29"/>
        <v>0.27368312757201646</v>
      </c>
      <c r="S854" s="22">
        <f t="shared" si="30"/>
        <v>3.0864197530864197E-4</v>
      </c>
    </row>
    <row r="855" spans="1:19" ht="16">
      <c r="A855" s="52" t="s">
        <v>265</v>
      </c>
      <c r="B855" s="53" t="s">
        <v>552</v>
      </c>
      <c r="C855" s="53"/>
      <c r="D855" s="53">
        <v>0</v>
      </c>
      <c r="E855" s="4">
        <v>12</v>
      </c>
      <c r="F855" s="4">
        <v>5</v>
      </c>
      <c r="G855" s="4">
        <v>18</v>
      </c>
      <c r="H855" s="53">
        <v>6.4987000000000004</v>
      </c>
      <c r="I855" s="4">
        <v>4.0000000000000002E-4</v>
      </c>
      <c r="J855" s="53">
        <v>-36.641500000000001</v>
      </c>
      <c r="K855" s="4">
        <v>1.2999999999999999E-3</v>
      </c>
      <c r="L855" s="4">
        <v>2.5000000000000001E-2</v>
      </c>
      <c r="M855" s="4">
        <v>3.0000000000000001E-3</v>
      </c>
      <c r="N855" s="4">
        <v>-5.7999999999999996E-3</v>
      </c>
      <c r="O855" s="4">
        <v>2.0000000000000001E-4</v>
      </c>
      <c r="P855" s="4">
        <v>133.01</v>
      </c>
      <c r="Q855" s="4">
        <v>0.15</v>
      </c>
      <c r="R855" s="53">
        <f t="shared" si="29"/>
        <v>0.27368312757201646</v>
      </c>
      <c r="S855" s="22">
        <f t="shared" si="30"/>
        <v>3.0864197530864197E-4</v>
      </c>
    </row>
    <row r="856" spans="1:19" ht="16">
      <c r="A856" s="52" t="s">
        <v>266</v>
      </c>
      <c r="B856" s="53" t="s">
        <v>553</v>
      </c>
      <c r="C856" s="53"/>
      <c r="D856" s="53">
        <v>0</v>
      </c>
      <c r="E856" s="4">
        <v>12</v>
      </c>
      <c r="F856" s="4">
        <v>5</v>
      </c>
      <c r="G856" s="4">
        <v>18</v>
      </c>
      <c r="H856" s="53">
        <v>6.4987000000000004</v>
      </c>
      <c r="I856" s="4">
        <v>4.0000000000000002E-4</v>
      </c>
      <c r="J856" s="53">
        <v>-36.641500000000001</v>
      </c>
      <c r="K856" s="4">
        <v>1.2999999999999999E-3</v>
      </c>
      <c r="L856" s="4">
        <v>2.5000000000000001E-2</v>
      </c>
      <c r="M856" s="4">
        <v>3.0000000000000001E-3</v>
      </c>
      <c r="N856" s="4">
        <v>-5.7999999999999996E-3</v>
      </c>
      <c r="O856" s="4">
        <v>2.0000000000000001E-4</v>
      </c>
      <c r="P856" s="4">
        <v>133.01</v>
      </c>
      <c r="Q856" s="4">
        <v>0.15</v>
      </c>
      <c r="R856" s="53">
        <f t="shared" si="29"/>
        <v>0.27368312757201646</v>
      </c>
      <c r="S856" s="22">
        <f t="shared" si="30"/>
        <v>3.0864197530864197E-4</v>
      </c>
    </row>
    <row r="857" spans="1:19" ht="16">
      <c r="A857" s="52" t="s">
        <v>267</v>
      </c>
      <c r="B857" s="53" t="s">
        <v>554</v>
      </c>
      <c r="C857" s="53"/>
      <c r="D857" s="53">
        <v>0</v>
      </c>
      <c r="E857" s="4">
        <v>12</v>
      </c>
      <c r="F857" s="4">
        <v>5</v>
      </c>
      <c r="G857" s="4">
        <v>18</v>
      </c>
      <c r="H857" s="53">
        <v>6.4987000000000004</v>
      </c>
      <c r="I857" s="4">
        <v>4.0000000000000002E-4</v>
      </c>
      <c r="J857" s="53">
        <v>-36.641500000000001</v>
      </c>
      <c r="K857" s="4">
        <v>1.2999999999999999E-3</v>
      </c>
      <c r="L857" s="4">
        <v>2.5000000000000001E-2</v>
      </c>
      <c r="M857" s="4">
        <v>3.0000000000000001E-3</v>
      </c>
      <c r="N857" s="4">
        <v>-5.7999999999999996E-3</v>
      </c>
      <c r="O857" s="4">
        <v>2.0000000000000001E-4</v>
      </c>
      <c r="P857" s="4">
        <v>133.01</v>
      </c>
      <c r="Q857" s="4">
        <v>0.15</v>
      </c>
      <c r="R857" s="53">
        <f t="shared" si="29"/>
        <v>0.27368312757201646</v>
      </c>
      <c r="S857" s="22">
        <f t="shared" si="30"/>
        <v>3.0864197530864197E-4</v>
      </c>
    </row>
    <row r="858" spans="1:19" ht="16">
      <c r="A858" s="52" t="s">
        <v>268</v>
      </c>
      <c r="B858" s="53" t="s">
        <v>555</v>
      </c>
      <c r="C858" s="53"/>
      <c r="D858" s="53">
        <v>0</v>
      </c>
      <c r="E858" s="4">
        <v>12</v>
      </c>
      <c r="F858" s="4">
        <v>5</v>
      </c>
      <c r="G858" s="4">
        <v>18</v>
      </c>
      <c r="H858" s="53">
        <v>6.4987000000000004</v>
      </c>
      <c r="I858" s="4">
        <v>4.0000000000000002E-4</v>
      </c>
      <c r="J858" s="53">
        <v>-36.641500000000001</v>
      </c>
      <c r="K858" s="4">
        <v>1.2999999999999999E-3</v>
      </c>
      <c r="L858" s="4">
        <v>2.5000000000000001E-2</v>
      </c>
      <c r="M858" s="4">
        <v>3.0000000000000001E-3</v>
      </c>
      <c r="N858" s="4">
        <v>-5.7999999999999996E-3</v>
      </c>
      <c r="O858" s="4">
        <v>2.0000000000000001E-4</v>
      </c>
      <c r="P858" s="4">
        <v>133.01</v>
      </c>
      <c r="Q858" s="4">
        <v>0.15</v>
      </c>
      <c r="R858" s="53">
        <f t="shared" si="29"/>
        <v>0.27368312757201646</v>
      </c>
      <c r="S858" s="22">
        <f t="shared" si="30"/>
        <v>3.0864197530864197E-4</v>
      </c>
    </row>
    <row r="859" spans="1:19" ht="16">
      <c r="A859" s="52" t="s">
        <v>269</v>
      </c>
      <c r="B859" s="53" t="s">
        <v>556</v>
      </c>
      <c r="C859" s="53"/>
      <c r="D859" s="53">
        <v>0</v>
      </c>
      <c r="E859" s="4">
        <v>12</v>
      </c>
      <c r="F859" s="4">
        <v>5</v>
      </c>
      <c r="G859" s="4">
        <v>18</v>
      </c>
      <c r="H859" s="53">
        <v>6.4987000000000004</v>
      </c>
      <c r="I859" s="4">
        <v>4.0000000000000002E-4</v>
      </c>
      <c r="J859" s="53">
        <v>-36.641500000000001</v>
      </c>
      <c r="K859" s="4">
        <v>1.2999999999999999E-3</v>
      </c>
      <c r="L859" s="4">
        <v>2.5000000000000001E-2</v>
      </c>
      <c r="M859" s="4">
        <v>3.0000000000000001E-3</v>
      </c>
      <c r="N859" s="4">
        <v>-5.7999999999999996E-3</v>
      </c>
      <c r="O859" s="4">
        <v>2.0000000000000001E-4</v>
      </c>
      <c r="P859" s="4">
        <v>133.01</v>
      </c>
      <c r="Q859" s="4">
        <v>0.15</v>
      </c>
      <c r="R859" s="53">
        <f t="shared" si="29"/>
        <v>0.27368312757201646</v>
      </c>
      <c r="S859" s="22">
        <f t="shared" si="30"/>
        <v>3.0864197530864197E-4</v>
      </c>
    </row>
    <row r="860" spans="1:19" ht="16">
      <c r="A860" s="52" t="s">
        <v>270</v>
      </c>
      <c r="B860" s="53" t="s">
        <v>557</v>
      </c>
      <c r="C860" s="53"/>
      <c r="D860" s="53">
        <v>0</v>
      </c>
      <c r="E860" s="4">
        <v>12</v>
      </c>
      <c r="F860" s="4">
        <v>6</v>
      </c>
      <c r="G860" s="4">
        <v>18</v>
      </c>
      <c r="H860" s="53">
        <v>6.4987000000000004</v>
      </c>
      <c r="I860" s="4">
        <v>4.0000000000000002E-4</v>
      </c>
      <c r="J860" s="53">
        <v>-36.641500000000001</v>
      </c>
      <c r="K860" s="4">
        <v>1.2999999999999999E-3</v>
      </c>
      <c r="L860" s="4">
        <v>2.5000000000000001E-2</v>
      </c>
      <c r="M860" s="4">
        <v>3.0000000000000001E-3</v>
      </c>
      <c r="N860" s="4">
        <v>-5.7999999999999996E-3</v>
      </c>
      <c r="O860" s="4">
        <v>2.0000000000000001E-4</v>
      </c>
      <c r="P860" s="4">
        <v>133.01</v>
      </c>
      <c r="Q860" s="4">
        <v>0.15</v>
      </c>
      <c r="R860" s="53">
        <f t="shared" si="29"/>
        <v>0.27368312757201646</v>
      </c>
      <c r="S860" s="22">
        <f t="shared" si="30"/>
        <v>3.0864197530864197E-4</v>
      </c>
    </row>
    <row r="861" spans="1:19" ht="16">
      <c r="A861" s="52" t="s">
        <v>271</v>
      </c>
      <c r="B861" s="53" t="s">
        <v>558</v>
      </c>
      <c r="C861" s="53"/>
      <c r="D861" s="53">
        <v>0</v>
      </c>
      <c r="E861" s="4">
        <v>12</v>
      </c>
      <c r="F861" s="4">
        <v>6</v>
      </c>
      <c r="G861" s="4">
        <v>18</v>
      </c>
      <c r="H861" s="53">
        <v>6.4987000000000004</v>
      </c>
      <c r="I861" s="4">
        <v>4.0000000000000002E-4</v>
      </c>
      <c r="J861" s="53">
        <v>-36.641500000000001</v>
      </c>
      <c r="K861" s="4">
        <v>1.2999999999999999E-3</v>
      </c>
      <c r="L861" s="4">
        <v>2.5000000000000001E-2</v>
      </c>
      <c r="M861" s="4">
        <v>3.0000000000000001E-3</v>
      </c>
      <c r="N861" s="4">
        <v>-5.7999999999999996E-3</v>
      </c>
      <c r="O861" s="4">
        <v>2.0000000000000001E-4</v>
      </c>
      <c r="P861" s="4">
        <v>133.01</v>
      </c>
      <c r="Q861" s="4">
        <v>0.15</v>
      </c>
      <c r="R861" s="53">
        <f t="shared" si="29"/>
        <v>0.27368312757201646</v>
      </c>
      <c r="S861" s="22">
        <f t="shared" si="30"/>
        <v>3.0864197530864197E-4</v>
      </c>
    </row>
    <row r="862" spans="1:19" ht="16">
      <c r="A862" s="52" t="s">
        <v>272</v>
      </c>
      <c r="B862" s="53" t="s">
        <v>559</v>
      </c>
      <c r="C862" s="53"/>
      <c r="D862" s="53">
        <v>0</v>
      </c>
      <c r="E862" s="4">
        <v>12</v>
      </c>
      <c r="F862" s="4">
        <v>6</v>
      </c>
      <c r="G862" s="4">
        <v>18</v>
      </c>
      <c r="H862" s="53">
        <v>6.4987000000000004</v>
      </c>
      <c r="I862" s="4">
        <v>4.0000000000000002E-4</v>
      </c>
      <c r="J862" s="53">
        <v>-36.641500000000001</v>
      </c>
      <c r="K862" s="4">
        <v>1.2999999999999999E-3</v>
      </c>
      <c r="L862" s="4">
        <v>2.5000000000000001E-2</v>
      </c>
      <c r="M862" s="4">
        <v>3.0000000000000001E-3</v>
      </c>
      <c r="N862" s="4">
        <v>-5.7999999999999996E-3</v>
      </c>
      <c r="O862" s="4">
        <v>2.0000000000000001E-4</v>
      </c>
      <c r="P862" s="4">
        <v>133.01</v>
      </c>
      <c r="Q862" s="4">
        <v>0.15</v>
      </c>
      <c r="R862" s="53">
        <f t="shared" si="29"/>
        <v>0.27368312757201646</v>
      </c>
      <c r="S862" s="22">
        <f t="shared" si="30"/>
        <v>3.0864197530864197E-4</v>
      </c>
    </row>
    <row r="863" spans="1:19" ht="16">
      <c r="A863" s="52" t="s">
        <v>274</v>
      </c>
      <c r="B863" s="53" t="s">
        <v>560</v>
      </c>
      <c r="C863" s="53"/>
      <c r="D863" s="53">
        <v>0</v>
      </c>
      <c r="E863" s="4">
        <v>12</v>
      </c>
      <c r="F863" s="4">
        <v>6</v>
      </c>
      <c r="G863" s="4">
        <v>18</v>
      </c>
      <c r="H863" s="53">
        <v>6.4987000000000004</v>
      </c>
      <c r="I863" s="4">
        <v>4.0000000000000002E-4</v>
      </c>
      <c r="J863" s="53">
        <v>-36.641500000000001</v>
      </c>
      <c r="K863" s="4">
        <v>1.2999999999999999E-3</v>
      </c>
      <c r="L863" s="4">
        <v>2.5000000000000001E-2</v>
      </c>
      <c r="M863" s="4">
        <v>3.0000000000000001E-3</v>
      </c>
      <c r="N863" s="4">
        <v>-5.7999999999999996E-3</v>
      </c>
      <c r="O863" s="4">
        <v>2.0000000000000001E-4</v>
      </c>
      <c r="P863" s="4">
        <v>133.01</v>
      </c>
      <c r="Q863" s="4">
        <v>0.15</v>
      </c>
      <c r="R863" s="53">
        <f t="shared" si="29"/>
        <v>0.27368312757201646</v>
      </c>
      <c r="S863" s="22">
        <f t="shared" si="30"/>
        <v>3.0864197530864197E-4</v>
      </c>
    </row>
    <row r="864" spans="1:19" ht="16">
      <c r="A864" s="52" t="s">
        <v>275</v>
      </c>
      <c r="B864" s="53" t="s">
        <v>561</v>
      </c>
      <c r="C864" s="53"/>
      <c r="D864" s="53">
        <v>0</v>
      </c>
      <c r="E864" s="4">
        <v>12</v>
      </c>
      <c r="F864" s="4">
        <v>6</v>
      </c>
      <c r="G864" s="4">
        <v>18</v>
      </c>
      <c r="H864" s="53">
        <v>6.4987000000000004</v>
      </c>
      <c r="I864" s="4">
        <v>4.0000000000000002E-4</v>
      </c>
      <c r="J864" s="53">
        <v>-36.641500000000001</v>
      </c>
      <c r="K864" s="4">
        <v>1.2999999999999999E-3</v>
      </c>
      <c r="L864" s="4">
        <v>2.5000000000000001E-2</v>
      </c>
      <c r="M864" s="4">
        <v>3.0000000000000001E-3</v>
      </c>
      <c r="N864" s="4">
        <v>-5.7999999999999996E-3</v>
      </c>
      <c r="O864" s="4">
        <v>2.0000000000000001E-4</v>
      </c>
      <c r="P864" s="4">
        <v>133.01</v>
      </c>
      <c r="Q864" s="4">
        <v>0.15</v>
      </c>
      <c r="R864" s="53">
        <f t="shared" si="29"/>
        <v>0.27368312757201646</v>
      </c>
      <c r="S864" s="22">
        <f t="shared" si="30"/>
        <v>3.0864197530864197E-4</v>
      </c>
    </row>
    <row r="865" spans="1:19" ht="16">
      <c r="A865" s="52" t="s">
        <v>276</v>
      </c>
      <c r="B865" s="53" t="s">
        <v>562</v>
      </c>
      <c r="C865" s="53"/>
      <c r="D865" s="53">
        <v>0</v>
      </c>
      <c r="E865" s="4">
        <v>12</v>
      </c>
      <c r="F865" s="4">
        <v>6</v>
      </c>
      <c r="G865" s="4">
        <v>18</v>
      </c>
      <c r="H865" s="53">
        <v>6.4987000000000004</v>
      </c>
      <c r="I865" s="4">
        <v>4.0000000000000002E-4</v>
      </c>
      <c r="J865" s="53">
        <v>-36.641500000000001</v>
      </c>
      <c r="K865" s="4">
        <v>1.2999999999999999E-3</v>
      </c>
      <c r="L865" s="4">
        <v>2.5000000000000001E-2</v>
      </c>
      <c r="M865" s="4">
        <v>3.0000000000000001E-3</v>
      </c>
      <c r="N865" s="4">
        <v>-5.7999999999999996E-3</v>
      </c>
      <c r="O865" s="4">
        <v>2.0000000000000001E-4</v>
      </c>
      <c r="P865" s="4">
        <v>133.01</v>
      </c>
      <c r="Q865" s="4">
        <v>0.15</v>
      </c>
      <c r="R865" s="53">
        <f t="shared" si="29"/>
        <v>0.27368312757201646</v>
      </c>
      <c r="S865" s="22">
        <f t="shared" si="30"/>
        <v>3.0864197530864197E-4</v>
      </c>
    </row>
    <row r="866" spans="1:19" ht="16">
      <c r="A866" s="52" t="s">
        <v>277</v>
      </c>
      <c r="B866" s="53" t="s">
        <v>563</v>
      </c>
      <c r="C866" s="53"/>
      <c r="D866" s="53">
        <v>0</v>
      </c>
      <c r="E866" s="4">
        <v>12</v>
      </c>
      <c r="F866" s="4">
        <v>6</v>
      </c>
      <c r="G866" s="4">
        <v>18</v>
      </c>
      <c r="H866" s="53">
        <v>6.4987000000000004</v>
      </c>
      <c r="I866" s="4">
        <v>4.0000000000000002E-4</v>
      </c>
      <c r="J866" s="53">
        <v>-36.641500000000001</v>
      </c>
      <c r="K866" s="4">
        <v>1.2999999999999999E-3</v>
      </c>
      <c r="L866" s="4">
        <v>2.5000000000000001E-2</v>
      </c>
      <c r="M866" s="4">
        <v>3.0000000000000001E-3</v>
      </c>
      <c r="N866" s="4">
        <v>-5.7999999999999996E-3</v>
      </c>
      <c r="O866" s="4">
        <v>2.0000000000000001E-4</v>
      </c>
      <c r="P866" s="4">
        <v>133.01</v>
      </c>
      <c r="Q866" s="4">
        <v>0.15</v>
      </c>
      <c r="R866" s="53">
        <f t="shared" si="29"/>
        <v>0.27368312757201646</v>
      </c>
      <c r="S866" s="22">
        <f t="shared" si="30"/>
        <v>3.0864197530864197E-4</v>
      </c>
    </row>
    <row r="867" spans="1:19" ht="16">
      <c r="A867" s="52" t="s">
        <v>278</v>
      </c>
      <c r="B867" s="53" t="s">
        <v>564</v>
      </c>
      <c r="C867" s="53"/>
      <c r="D867" s="53">
        <v>0</v>
      </c>
      <c r="E867" s="4">
        <v>12</v>
      </c>
      <c r="F867" s="4">
        <v>6</v>
      </c>
      <c r="G867" s="4">
        <v>18</v>
      </c>
      <c r="H867" s="53">
        <v>6.4987000000000004</v>
      </c>
      <c r="I867" s="4">
        <v>4.0000000000000002E-4</v>
      </c>
      <c r="J867" s="53">
        <v>-36.641500000000001</v>
      </c>
      <c r="K867" s="4">
        <v>1.2999999999999999E-3</v>
      </c>
      <c r="L867" s="4">
        <v>2.5000000000000001E-2</v>
      </c>
      <c r="M867" s="4">
        <v>3.0000000000000001E-3</v>
      </c>
      <c r="N867" s="4">
        <v>-5.7999999999999996E-3</v>
      </c>
      <c r="O867" s="4">
        <v>2.0000000000000001E-4</v>
      </c>
      <c r="P867" s="4">
        <v>133.01</v>
      </c>
      <c r="Q867" s="4">
        <v>0.15</v>
      </c>
      <c r="R867" s="53">
        <f t="shared" si="29"/>
        <v>0.27368312757201646</v>
      </c>
      <c r="S867" s="22">
        <f t="shared" si="30"/>
        <v>3.0864197530864197E-4</v>
      </c>
    </row>
    <row r="868" spans="1:19" ht="16">
      <c r="A868" s="52" t="s">
        <v>279</v>
      </c>
      <c r="B868" s="53" t="s">
        <v>565</v>
      </c>
      <c r="C868" s="53"/>
      <c r="D868" s="53">
        <v>0</v>
      </c>
      <c r="E868" s="4">
        <v>12</v>
      </c>
      <c r="F868" s="4">
        <v>6</v>
      </c>
      <c r="G868" s="4">
        <v>18</v>
      </c>
      <c r="H868" s="53">
        <v>6.4987000000000004</v>
      </c>
      <c r="I868" s="4">
        <v>4.0000000000000002E-4</v>
      </c>
      <c r="J868" s="53">
        <v>-36.641500000000001</v>
      </c>
      <c r="K868" s="4">
        <v>1.2999999999999999E-3</v>
      </c>
      <c r="L868" s="4">
        <v>2.5000000000000001E-2</v>
      </c>
      <c r="M868" s="4">
        <v>3.0000000000000001E-3</v>
      </c>
      <c r="N868" s="4">
        <v>-5.7999999999999996E-3</v>
      </c>
      <c r="O868" s="4">
        <v>2.0000000000000001E-4</v>
      </c>
      <c r="P868" s="4">
        <v>133.01</v>
      </c>
      <c r="Q868" s="4">
        <v>0.15</v>
      </c>
      <c r="R868" s="53">
        <f t="shared" si="29"/>
        <v>0.27368312757201646</v>
      </c>
      <c r="S868" s="22">
        <f t="shared" si="30"/>
        <v>3.0864197530864197E-4</v>
      </c>
    </row>
    <row r="869" spans="1:19" ht="16">
      <c r="A869" s="52" t="s">
        <v>280</v>
      </c>
      <c r="B869" s="53" t="s">
        <v>566</v>
      </c>
      <c r="C869" s="53"/>
      <c r="D869" s="53">
        <v>0</v>
      </c>
      <c r="E869" s="4">
        <v>12</v>
      </c>
      <c r="F869" s="4">
        <v>6</v>
      </c>
      <c r="G869" s="4">
        <v>18</v>
      </c>
      <c r="H869" s="53">
        <v>6.4987000000000004</v>
      </c>
      <c r="I869" s="4">
        <v>4.0000000000000002E-4</v>
      </c>
      <c r="J869" s="53">
        <v>-36.641500000000001</v>
      </c>
      <c r="K869" s="4">
        <v>1.2999999999999999E-3</v>
      </c>
      <c r="L869" s="4">
        <v>2.5000000000000001E-2</v>
      </c>
      <c r="M869" s="4">
        <v>3.0000000000000001E-3</v>
      </c>
      <c r="N869" s="4">
        <v>-5.7999999999999996E-3</v>
      </c>
      <c r="O869" s="4">
        <v>2.0000000000000001E-4</v>
      </c>
      <c r="P869" s="4">
        <v>133.01</v>
      </c>
      <c r="Q869" s="4">
        <v>0.15</v>
      </c>
      <c r="R869" s="53">
        <f t="shared" si="29"/>
        <v>0.27368312757201646</v>
      </c>
      <c r="S869" s="22">
        <f t="shared" si="30"/>
        <v>3.0864197530864197E-4</v>
      </c>
    </row>
    <row r="870" spans="1:19" ht="16">
      <c r="A870" s="52" t="s">
        <v>281</v>
      </c>
      <c r="B870" s="53" t="s">
        <v>567</v>
      </c>
      <c r="C870" s="53"/>
      <c r="D870" s="53">
        <v>0</v>
      </c>
      <c r="E870" s="4">
        <v>12</v>
      </c>
      <c r="F870" s="4">
        <v>6</v>
      </c>
      <c r="G870" s="4">
        <v>18</v>
      </c>
      <c r="H870" s="53">
        <v>6.4987000000000004</v>
      </c>
      <c r="I870" s="4">
        <v>4.0000000000000002E-4</v>
      </c>
      <c r="J870" s="53">
        <v>-36.641500000000001</v>
      </c>
      <c r="K870" s="4">
        <v>1.2999999999999999E-3</v>
      </c>
      <c r="L870" s="4">
        <v>2.5000000000000001E-2</v>
      </c>
      <c r="M870" s="4">
        <v>3.0000000000000001E-3</v>
      </c>
      <c r="N870" s="4">
        <v>-5.7999999999999996E-3</v>
      </c>
      <c r="O870" s="4">
        <v>2.0000000000000001E-4</v>
      </c>
      <c r="P870" s="4">
        <v>133.01</v>
      </c>
      <c r="Q870" s="4">
        <v>0.15</v>
      </c>
      <c r="R870" s="53">
        <f t="shared" si="29"/>
        <v>0.27368312757201646</v>
      </c>
      <c r="S870" s="22">
        <f t="shared" si="30"/>
        <v>3.0864197530864197E-4</v>
      </c>
    </row>
    <row r="871" spans="1:19" ht="16">
      <c r="A871" s="52" t="s">
        <v>282</v>
      </c>
      <c r="B871" s="53" t="s">
        <v>568</v>
      </c>
      <c r="C871" s="53"/>
      <c r="D871" s="53">
        <v>0</v>
      </c>
      <c r="E871" s="4">
        <v>12</v>
      </c>
      <c r="F871" s="4">
        <v>6</v>
      </c>
      <c r="G871" s="4">
        <v>18</v>
      </c>
      <c r="H871" s="53">
        <v>6.4987000000000004</v>
      </c>
      <c r="I871" s="4">
        <v>4.0000000000000002E-4</v>
      </c>
      <c r="J871" s="53">
        <v>-36.641500000000001</v>
      </c>
      <c r="K871" s="4">
        <v>1.2999999999999999E-3</v>
      </c>
      <c r="L871" s="4">
        <v>2.5000000000000001E-2</v>
      </c>
      <c r="M871" s="4">
        <v>3.0000000000000001E-3</v>
      </c>
      <c r="N871" s="4">
        <v>-5.7999999999999996E-3</v>
      </c>
      <c r="O871" s="4">
        <v>2.0000000000000001E-4</v>
      </c>
      <c r="P871" s="4">
        <v>133.01</v>
      </c>
      <c r="Q871" s="4">
        <v>0.15</v>
      </c>
      <c r="R871" s="53">
        <f t="shared" si="29"/>
        <v>0.27368312757201646</v>
      </c>
      <c r="S871" s="22">
        <f t="shared" si="30"/>
        <v>3.0864197530864197E-4</v>
      </c>
    </row>
    <row r="872" spans="1:19" ht="16">
      <c r="A872" s="52" t="s">
        <v>283</v>
      </c>
      <c r="B872" s="53" t="s">
        <v>569</v>
      </c>
      <c r="C872" s="53"/>
      <c r="D872" s="53">
        <v>0</v>
      </c>
      <c r="E872" s="4">
        <v>12</v>
      </c>
      <c r="F872" s="4">
        <v>6</v>
      </c>
      <c r="G872" s="4">
        <v>18</v>
      </c>
      <c r="H872" s="53">
        <v>6.4987000000000004</v>
      </c>
      <c r="I872" s="4">
        <v>4.0000000000000002E-4</v>
      </c>
      <c r="J872" s="53">
        <v>-36.641500000000001</v>
      </c>
      <c r="K872" s="4">
        <v>1.2999999999999999E-3</v>
      </c>
      <c r="L872" s="4">
        <v>2.5000000000000001E-2</v>
      </c>
      <c r="M872" s="4">
        <v>3.0000000000000001E-3</v>
      </c>
      <c r="N872" s="4">
        <v>-5.7999999999999996E-3</v>
      </c>
      <c r="O872" s="4">
        <v>2.0000000000000001E-4</v>
      </c>
      <c r="P872" s="4">
        <v>133.01</v>
      </c>
      <c r="Q872" s="4">
        <v>0.15</v>
      </c>
      <c r="R872" s="53">
        <f t="shared" si="29"/>
        <v>0.27368312757201646</v>
      </c>
      <c r="S872" s="22">
        <f t="shared" si="30"/>
        <v>3.0864197530864197E-4</v>
      </c>
    </row>
    <row r="873" spans="1:19" ht="16">
      <c r="A873" s="52" t="s">
        <v>284</v>
      </c>
      <c r="B873" s="53" t="s">
        <v>570</v>
      </c>
      <c r="C873" s="53"/>
      <c r="D873" s="53">
        <v>0</v>
      </c>
      <c r="E873" s="4">
        <v>12</v>
      </c>
      <c r="F873" s="4">
        <v>6</v>
      </c>
      <c r="G873" s="4">
        <v>18</v>
      </c>
      <c r="H873" s="53">
        <v>6.4987000000000004</v>
      </c>
      <c r="I873" s="4">
        <v>4.0000000000000002E-4</v>
      </c>
      <c r="J873" s="53">
        <v>-36.641500000000001</v>
      </c>
      <c r="K873" s="4">
        <v>1.2999999999999999E-3</v>
      </c>
      <c r="L873" s="4">
        <v>2.5000000000000001E-2</v>
      </c>
      <c r="M873" s="4">
        <v>3.0000000000000001E-3</v>
      </c>
      <c r="N873" s="4">
        <v>-5.7999999999999996E-3</v>
      </c>
      <c r="O873" s="4">
        <v>2.0000000000000001E-4</v>
      </c>
      <c r="P873" s="4">
        <v>133.01</v>
      </c>
      <c r="Q873" s="4">
        <v>0.15</v>
      </c>
      <c r="R873" s="53">
        <f t="shared" si="29"/>
        <v>0.27368312757201646</v>
      </c>
      <c r="S873" s="22">
        <f t="shared" si="30"/>
        <v>3.0864197530864197E-4</v>
      </c>
    </row>
    <row r="874" spans="1:19" ht="16">
      <c r="A874" s="52" t="s">
        <v>285</v>
      </c>
      <c r="B874" s="53" t="s">
        <v>571</v>
      </c>
      <c r="C874" s="53"/>
      <c r="D874" s="53">
        <v>0</v>
      </c>
      <c r="E874" s="4">
        <v>12</v>
      </c>
      <c r="F874" s="4">
        <v>6</v>
      </c>
      <c r="G874" s="4">
        <v>18</v>
      </c>
      <c r="H874" s="53">
        <v>6.4987000000000004</v>
      </c>
      <c r="I874" s="4">
        <v>4.0000000000000002E-4</v>
      </c>
      <c r="J874" s="53">
        <v>-36.641500000000001</v>
      </c>
      <c r="K874" s="4">
        <v>1.2999999999999999E-3</v>
      </c>
      <c r="L874" s="4">
        <v>2.5000000000000001E-2</v>
      </c>
      <c r="M874" s="4">
        <v>3.0000000000000001E-3</v>
      </c>
      <c r="N874" s="4">
        <v>-5.7999999999999996E-3</v>
      </c>
      <c r="O874" s="4">
        <v>2.0000000000000001E-4</v>
      </c>
      <c r="P874" s="4">
        <v>133.01</v>
      </c>
      <c r="Q874" s="4">
        <v>0.15</v>
      </c>
      <c r="R874" s="53">
        <f t="shared" si="29"/>
        <v>0.27368312757201646</v>
      </c>
      <c r="S874" s="22">
        <f t="shared" si="30"/>
        <v>3.0864197530864197E-4</v>
      </c>
    </row>
    <row r="875" spans="1:19" ht="16">
      <c r="A875" s="52" t="s">
        <v>286</v>
      </c>
      <c r="B875" s="53" t="s">
        <v>572</v>
      </c>
      <c r="C875" s="53"/>
      <c r="D875" s="53">
        <v>0</v>
      </c>
      <c r="E875" s="4">
        <v>12</v>
      </c>
      <c r="F875" s="4">
        <v>6</v>
      </c>
      <c r="G875" s="4">
        <v>18</v>
      </c>
      <c r="H875" s="53">
        <v>6.4987000000000004</v>
      </c>
      <c r="I875" s="4">
        <v>4.0000000000000002E-4</v>
      </c>
      <c r="J875" s="53">
        <v>-36.641500000000001</v>
      </c>
      <c r="K875" s="4">
        <v>1.2999999999999999E-3</v>
      </c>
      <c r="L875" s="4">
        <v>2.5000000000000001E-2</v>
      </c>
      <c r="M875" s="4">
        <v>3.0000000000000001E-3</v>
      </c>
      <c r="N875" s="4">
        <v>-5.7999999999999996E-3</v>
      </c>
      <c r="O875" s="4">
        <v>2.0000000000000001E-4</v>
      </c>
      <c r="P875" s="4">
        <v>133.01</v>
      </c>
      <c r="Q875" s="4">
        <v>0.15</v>
      </c>
      <c r="R875" s="53">
        <f t="shared" si="29"/>
        <v>0.27368312757201646</v>
      </c>
      <c r="S875" s="22">
        <f t="shared" si="30"/>
        <v>3.0864197530864197E-4</v>
      </c>
    </row>
    <row r="876" spans="1:19" ht="16">
      <c r="A876" s="52" t="s">
        <v>287</v>
      </c>
      <c r="B876" s="53" t="s">
        <v>573</v>
      </c>
      <c r="C876" s="53"/>
      <c r="D876" s="53">
        <v>0</v>
      </c>
      <c r="E876" s="4">
        <v>12</v>
      </c>
      <c r="F876" s="4">
        <v>6</v>
      </c>
      <c r="G876" s="4">
        <v>18</v>
      </c>
      <c r="H876" s="53">
        <v>6.4987000000000004</v>
      </c>
      <c r="I876" s="4">
        <v>4.0000000000000002E-4</v>
      </c>
      <c r="J876" s="53">
        <v>-36.641500000000001</v>
      </c>
      <c r="K876" s="4">
        <v>1.2999999999999999E-3</v>
      </c>
      <c r="L876" s="4">
        <v>2.5000000000000001E-2</v>
      </c>
      <c r="M876" s="4">
        <v>3.0000000000000001E-3</v>
      </c>
      <c r="N876" s="4">
        <v>-5.7999999999999996E-3</v>
      </c>
      <c r="O876" s="4">
        <v>2.0000000000000001E-4</v>
      </c>
      <c r="P876" s="4">
        <v>133.01</v>
      </c>
      <c r="Q876" s="4">
        <v>0.15</v>
      </c>
      <c r="R876" s="53">
        <f t="shared" si="29"/>
        <v>0.27368312757201646</v>
      </c>
      <c r="S876" s="22">
        <f t="shared" si="30"/>
        <v>3.0864197530864197E-4</v>
      </c>
    </row>
    <row r="877" spans="1:19" ht="16">
      <c r="A877" s="52" t="s">
        <v>288</v>
      </c>
      <c r="B877" s="53" t="s">
        <v>574</v>
      </c>
      <c r="C877" s="53"/>
      <c r="D877" s="53">
        <v>0</v>
      </c>
      <c r="E877" s="4">
        <v>12</v>
      </c>
      <c r="F877" s="4">
        <v>6</v>
      </c>
      <c r="G877" s="4">
        <v>18</v>
      </c>
      <c r="H877" s="53">
        <v>6.4987000000000004</v>
      </c>
      <c r="I877" s="4">
        <v>4.0000000000000002E-4</v>
      </c>
      <c r="J877" s="53">
        <v>-36.641500000000001</v>
      </c>
      <c r="K877" s="4">
        <v>1.2999999999999999E-3</v>
      </c>
      <c r="L877" s="4">
        <v>2.5000000000000001E-2</v>
      </c>
      <c r="M877" s="4">
        <v>3.0000000000000001E-3</v>
      </c>
      <c r="N877" s="4">
        <v>-5.7999999999999996E-3</v>
      </c>
      <c r="O877" s="4">
        <v>2.0000000000000001E-4</v>
      </c>
      <c r="P877" s="4">
        <v>133.01</v>
      </c>
      <c r="Q877" s="4">
        <v>0.15</v>
      </c>
      <c r="R877" s="53">
        <f t="shared" ref="R877:R940" si="31">P877*E877/G877^3</f>
        <v>0.27368312757201646</v>
      </c>
      <c r="S877" s="22">
        <f t="shared" ref="S877:S940" si="32">Q877*E877/G877^3</f>
        <v>3.0864197530864197E-4</v>
      </c>
    </row>
    <row r="878" spans="1:19" ht="16">
      <c r="A878" s="52" t="s">
        <v>289</v>
      </c>
      <c r="B878" s="53" t="s">
        <v>575</v>
      </c>
      <c r="C878" s="53"/>
      <c r="D878" s="53">
        <v>0</v>
      </c>
      <c r="E878" s="4">
        <v>12</v>
      </c>
      <c r="F878" s="4">
        <v>6</v>
      </c>
      <c r="G878" s="4">
        <v>18</v>
      </c>
      <c r="H878" s="53">
        <v>6.4987000000000004</v>
      </c>
      <c r="I878" s="4">
        <v>4.0000000000000002E-4</v>
      </c>
      <c r="J878" s="53">
        <v>-36.641500000000001</v>
      </c>
      <c r="K878" s="4">
        <v>1.2999999999999999E-3</v>
      </c>
      <c r="L878" s="4">
        <v>2.5000000000000001E-2</v>
      </c>
      <c r="M878" s="4">
        <v>3.0000000000000001E-3</v>
      </c>
      <c r="N878" s="4">
        <v>-5.7999999999999996E-3</v>
      </c>
      <c r="O878" s="4">
        <v>2.0000000000000001E-4</v>
      </c>
      <c r="P878" s="4">
        <v>133.01</v>
      </c>
      <c r="Q878" s="4">
        <v>0.15</v>
      </c>
      <c r="R878" s="53">
        <f t="shared" si="31"/>
        <v>0.27368312757201646</v>
      </c>
      <c r="S878" s="22">
        <f t="shared" si="32"/>
        <v>3.0864197530864197E-4</v>
      </c>
    </row>
    <row r="879" spans="1:19" ht="16">
      <c r="A879" s="52" t="s">
        <v>290</v>
      </c>
      <c r="B879" s="53" t="s">
        <v>576</v>
      </c>
      <c r="C879" s="53"/>
      <c r="D879" s="53">
        <v>0</v>
      </c>
      <c r="E879" s="4">
        <v>12</v>
      </c>
      <c r="F879" s="4">
        <v>6</v>
      </c>
      <c r="G879" s="4">
        <v>18</v>
      </c>
      <c r="H879" s="53">
        <v>6.4987000000000004</v>
      </c>
      <c r="I879" s="4">
        <v>4.0000000000000002E-4</v>
      </c>
      <c r="J879" s="53">
        <v>-36.641500000000001</v>
      </c>
      <c r="K879" s="4">
        <v>1.2999999999999999E-3</v>
      </c>
      <c r="L879" s="4">
        <v>2.5000000000000001E-2</v>
      </c>
      <c r="M879" s="4">
        <v>3.0000000000000001E-3</v>
      </c>
      <c r="N879" s="4">
        <v>-5.7999999999999996E-3</v>
      </c>
      <c r="O879" s="4">
        <v>2.0000000000000001E-4</v>
      </c>
      <c r="P879" s="4">
        <v>133.01</v>
      </c>
      <c r="Q879" s="4">
        <v>0.15</v>
      </c>
      <c r="R879" s="53">
        <f t="shared" si="31"/>
        <v>0.27368312757201646</v>
      </c>
      <c r="S879" s="22">
        <f t="shared" si="32"/>
        <v>3.0864197530864197E-4</v>
      </c>
    </row>
    <row r="880" spans="1:19" ht="16">
      <c r="A880" s="52" t="s">
        <v>291</v>
      </c>
      <c r="B880" s="53" t="s">
        <v>577</v>
      </c>
      <c r="C880" s="53"/>
      <c r="D880" s="53">
        <v>0</v>
      </c>
      <c r="E880" s="4">
        <v>12</v>
      </c>
      <c r="F880" s="4">
        <v>6</v>
      </c>
      <c r="G880" s="4">
        <v>18</v>
      </c>
      <c r="H880" s="53">
        <v>6.4987000000000004</v>
      </c>
      <c r="I880" s="4">
        <v>4.0000000000000002E-4</v>
      </c>
      <c r="J880" s="53">
        <v>-36.641500000000001</v>
      </c>
      <c r="K880" s="4">
        <v>1.2999999999999999E-3</v>
      </c>
      <c r="L880" s="4">
        <v>2.5000000000000001E-2</v>
      </c>
      <c r="M880" s="4">
        <v>3.0000000000000001E-3</v>
      </c>
      <c r="N880" s="4">
        <v>-5.7999999999999996E-3</v>
      </c>
      <c r="O880" s="4">
        <v>2.0000000000000001E-4</v>
      </c>
      <c r="P880" s="4">
        <v>133.01</v>
      </c>
      <c r="Q880" s="4">
        <v>0.15</v>
      </c>
      <c r="R880" s="53">
        <f t="shared" si="31"/>
        <v>0.27368312757201646</v>
      </c>
      <c r="S880" s="22">
        <f t="shared" si="32"/>
        <v>3.0864197530864197E-4</v>
      </c>
    </row>
    <row r="881" spans="1:19" ht="16">
      <c r="A881" s="52" t="s">
        <v>292</v>
      </c>
      <c r="B881" s="53" t="s">
        <v>578</v>
      </c>
      <c r="C881" s="53"/>
      <c r="D881" s="53">
        <v>0</v>
      </c>
      <c r="E881" s="4">
        <v>12</v>
      </c>
      <c r="F881" s="4">
        <v>6</v>
      </c>
      <c r="G881" s="4">
        <v>18</v>
      </c>
      <c r="H881" s="53">
        <v>6.4987000000000004</v>
      </c>
      <c r="I881" s="4">
        <v>4.0000000000000002E-4</v>
      </c>
      <c r="J881" s="53">
        <v>-36.641500000000001</v>
      </c>
      <c r="K881" s="4">
        <v>1.2999999999999999E-3</v>
      </c>
      <c r="L881" s="4">
        <v>2.5000000000000001E-2</v>
      </c>
      <c r="M881" s="4">
        <v>3.0000000000000001E-3</v>
      </c>
      <c r="N881" s="4">
        <v>-5.7999999999999996E-3</v>
      </c>
      <c r="O881" s="4">
        <v>2.0000000000000001E-4</v>
      </c>
      <c r="P881" s="4">
        <v>133.01</v>
      </c>
      <c r="Q881" s="4">
        <v>0.15</v>
      </c>
      <c r="R881" s="53">
        <f t="shared" si="31"/>
        <v>0.27368312757201646</v>
      </c>
      <c r="S881" s="22">
        <f t="shared" si="32"/>
        <v>3.0864197530864197E-4</v>
      </c>
    </row>
    <row r="882" spans="1:19" ht="16">
      <c r="A882" s="52" t="s">
        <v>293</v>
      </c>
      <c r="B882" s="53" t="s">
        <v>579</v>
      </c>
      <c r="C882" s="53"/>
      <c r="D882" s="53">
        <v>0</v>
      </c>
      <c r="E882" s="4">
        <v>12</v>
      </c>
      <c r="F882" s="4">
        <v>6</v>
      </c>
      <c r="G882" s="4">
        <v>18</v>
      </c>
      <c r="H882" s="53">
        <v>6.4987000000000004</v>
      </c>
      <c r="I882" s="4">
        <v>4.0000000000000002E-4</v>
      </c>
      <c r="J882" s="53">
        <v>-36.641500000000001</v>
      </c>
      <c r="K882" s="4">
        <v>1.2999999999999999E-3</v>
      </c>
      <c r="L882" s="4">
        <v>2.5000000000000001E-2</v>
      </c>
      <c r="M882" s="4">
        <v>3.0000000000000001E-3</v>
      </c>
      <c r="N882" s="4">
        <v>-5.7999999999999996E-3</v>
      </c>
      <c r="O882" s="4">
        <v>2.0000000000000001E-4</v>
      </c>
      <c r="P882" s="4">
        <v>133.01</v>
      </c>
      <c r="Q882" s="4">
        <v>0.15</v>
      </c>
      <c r="R882" s="53">
        <f t="shared" si="31"/>
        <v>0.27368312757201646</v>
      </c>
      <c r="S882" s="22">
        <f t="shared" si="32"/>
        <v>3.0864197530864197E-4</v>
      </c>
    </row>
    <row r="883" spans="1:19" ht="16">
      <c r="A883" s="52" t="s">
        <v>294</v>
      </c>
      <c r="B883" s="53" t="s">
        <v>580</v>
      </c>
      <c r="C883" s="53"/>
      <c r="D883" s="53">
        <v>0</v>
      </c>
      <c r="E883" s="4">
        <v>12</v>
      </c>
      <c r="F883" s="4">
        <v>6</v>
      </c>
      <c r="G883" s="4">
        <v>18</v>
      </c>
      <c r="H883" s="53">
        <v>6.4987000000000004</v>
      </c>
      <c r="I883" s="4">
        <v>4.0000000000000002E-4</v>
      </c>
      <c r="J883" s="53">
        <v>-36.641500000000001</v>
      </c>
      <c r="K883" s="4">
        <v>1.2999999999999999E-3</v>
      </c>
      <c r="L883" s="4">
        <v>2.5000000000000001E-2</v>
      </c>
      <c r="M883" s="4">
        <v>3.0000000000000001E-3</v>
      </c>
      <c r="N883" s="4">
        <v>-5.7999999999999996E-3</v>
      </c>
      <c r="O883" s="4">
        <v>2.0000000000000001E-4</v>
      </c>
      <c r="P883" s="4">
        <v>133.01</v>
      </c>
      <c r="Q883" s="4">
        <v>0.15</v>
      </c>
      <c r="R883" s="53">
        <f t="shared" si="31"/>
        <v>0.27368312757201646</v>
      </c>
      <c r="S883" s="22">
        <f t="shared" si="32"/>
        <v>3.0864197530864197E-4</v>
      </c>
    </row>
    <row r="884" spans="1:19" ht="16">
      <c r="A884" s="52" t="s">
        <v>295</v>
      </c>
      <c r="B884" s="53" t="s">
        <v>581</v>
      </c>
      <c r="C884" s="53"/>
      <c r="D884" s="53">
        <v>0</v>
      </c>
      <c r="E884" s="4">
        <v>12</v>
      </c>
      <c r="F884" s="4">
        <v>6</v>
      </c>
      <c r="G884" s="4">
        <v>18</v>
      </c>
      <c r="H884" s="53">
        <v>6.4987000000000004</v>
      </c>
      <c r="I884" s="4">
        <v>4.0000000000000002E-4</v>
      </c>
      <c r="J884" s="53">
        <v>-36.641500000000001</v>
      </c>
      <c r="K884" s="4">
        <v>1.2999999999999999E-3</v>
      </c>
      <c r="L884" s="4">
        <v>2.5000000000000001E-2</v>
      </c>
      <c r="M884" s="4">
        <v>3.0000000000000001E-3</v>
      </c>
      <c r="N884" s="4">
        <v>-5.7999999999999996E-3</v>
      </c>
      <c r="O884" s="4">
        <v>2.0000000000000001E-4</v>
      </c>
      <c r="P884" s="4">
        <v>133.01</v>
      </c>
      <c r="Q884" s="4">
        <v>0.15</v>
      </c>
      <c r="R884" s="53">
        <f t="shared" si="31"/>
        <v>0.27368312757201646</v>
      </c>
      <c r="S884" s="22">
        <f t="shared" si="32"/>
        <v>3.0864197530864197E-4</v>
      </c>
    </row>
    <row r="885" spans="1:19" ht="16">
      <c r="A885" s="52" t="s">
        <v>296</v>
      </c>
      <c r="B885" s="53" t="s">
        <v>582</v>
      </c>
      <c r="C885" s="53"/>
      <c r="D885" s="53">
        <v>0</v>
      </c>
      <c r="E885" s="4">
        <v>12</v>
      </c>
      <c r="F885" s="4">
        <v>6</v>
      </c>
      <c r="G885" s="4">
        <v>18</v>
      </c>
      <c r="H885" s="53">
        <v>6.4987000000000004</v>
      </c>
      <c r="I885" s="4">
        <v>4.0000000000000002E-4</v>
      </c>
      <c r="J885" s="53">
        <v>-36.641500000000001</v>
      </c>
      <c r="K885" s="4">
        <v>1.2999999999999999E-3</v>
      </c>
      <c r="L885" s="4">
        <v>2.5000000000000001E-2</v>
      </c>
      <c r="M885" s="4">
        <v>3.0000000000000001E-3</v>
      </c>
      <c r="N885" s="4">
        <v>-5.7999999999999996E-3</v>
      </c>
      <c r="O885" s="4">
        <v>2.0000000000000001E-4</v>
      </c>
      <c r="P885" s="4">
        <v>133.01</v>
      </c>
      <c r="Q885" s="4">
        <v>0.15</v>
      </c>
      <c r="R885" s="53">
        <f t="shared" si="31"/>
        <v>0.27368312757201646</v>
      </c>
      <c r="S885" s="22">
        <f t="shared" si="32"/>
        <v>3.0864197530864197E-4</v>
      </c>
    </row>
    <row r="886" spans="1:19" ht="16">
      <c r="A886" s="52" t="s">
        <v>297</v>
      </c>
      <c r="B886" s="53" t="s">
        <v>583</v>
      </c>
      <c r="C886" s="53"/>
      <c r="D886" s="53">
        <v>0</v>
      </c>
      <c r="E886" s="4">
        <v>12</v>
      </c>
      <c r="F886" s="4">
        <v>6</v>
      </c>
      <c r="G886" s="4">
        <v>18</v>
      </c>
      <c r="H886" s="53">
        <v>6.4987000000000004</v>
      </c>
      <c r="I886" s="4">
        <v>4.0000000000000002E-4</v>
      </c>
      <c r="J886" s="53">
        <v>-36.641500000000001</v>
      </c>
      <c r="K886" s="4">
        <v>1.2999999999999999E-3</v>
      </c>
      <c r="L886" s="4">
        <v>2.5000000000000001E-2</v>
      </c>
      <c r="M886" s="4">
        <v>3.0000000000000001E-3</v>
      </c>
      <c r="N886" s="4">
        <v>-5.7999999999999996E-3</v>
      </c>
      <c r="O886" s="4">
        <v>2.0000000000000001E-4</v>
      </c>
      <c r="P886" s="4">
        <v>133.01</v>
      </c>
      <c r="Q886" s="4">
        <v>0.15</v>
      </c>
      <c r="R886" s="53">
        <f t="shared" si="31"/>
        <v>0.27368312757201646</v>
      </c>
      <c r="S886" s="22">
        <f t="shared" si="32"/>
        <v>3.0864197530864197E-4</v>
      </c>
    </row>
    <row r="887" spans="1:19" ht="16">
      <c r="A887" s="52" t="s">
        <v>298</v>
      </c>
      <c r="B887" s="53" t="s">
        <v>584</v>
      </c>
      <c r="C887" s="53"/>
      <c r="D887" s="53">
        <v>0</v>
      </c>
      <c r="E887" s="4">
        <v>12</v>
      </c>
      <c r="F887" s="4">
        <v>6</v>
      </c>
      <c r="G887" s="4">
        <v>18</v>
      </c>
      <c r="H887" s="53">
        <v>6.4987000000000004</v>
      </c>
      <c r="I887" s="4">
        <v>4.0000000000000002E-4</v>
      </c>
      <c r="J887" s="53">
        <v>-36.641500000000001</v>
      </c>
      <c r="K887" s="4">
        <v>1.2999999999999999E-3</v>
      </c>
      <c r="L887" s="4">
        <v>2.5000000000000001E-2</v>
      </c>
      <c r="M887" s="4">
        <v>3.0000000000000001E-3</v>
      </c>
      <c r="N887" s="4">
        <v>-5.7999999999999996E-3</v>
      </c>
      <c r="O887" s="4">
        <v>2.0000000000000001E-4</v>
      </c>
      <c r="P887" s="4">
        <v>133.01</v>
      </c>
      <c r="Q887" s="4">
        <v>0.15</v>
      </c>
      <c r="R887" s="53">
        <f t="shared" si="31"/>
        <v>0.27368312757201646</v>
      </c>
      <c r="S887" s="22">
        <f t="shared" si="32"/>
        <v>3.0864197530864197E-4</v>
      </c>
    </row>
    <row r="888" spans="1:19" ht="16">
      <c r="A888" s="52" t="s">
        <v>299</v>
      </c>
      <c r="B888" s="53" t="s">
        <v>585</v>
      </c>
      <c r="C888" s="53"/>
      <c r="D888" s="53">
        <v>0</v>
      </c>
      <c r="E888" s="4">
        <v>12</v>
      </c>
      <c r="F888" s="4">
        <v>6</v>
      </c>
      <c r="G888" s="4">
        <v>18</v>
      </c>
      <c r="H888" s="53">
        <v>6.4987000000000004</v>
      </c>
      <c r="I888" s="4">
        <v>4.0000000000000002E-4</v>
      </c>
      <c r="J888" s="53">
        <v>-36.641500000000001</v>
      </c>
      <c r="K888" s="4">
        <v>1.2999999999999999E-3</v>
      </c>
      <c r="L888" s="4">
        <v>2.5000000000000001E-2</v>
      </c>
      <c r="M888" s="4">
        <v>3.0000000000000001E-3</v>
      </c>
      <c r="N888" s="4">
        <v>-5.7999999999999996E-3</v>
      </c>
      <c r="O888" s="4">
        <v>2.0000000000000001E-4</v>
      </c>
      <c r="P888" s="4">
        <v>133.01</v>
      </c>
      <c r="Q888" s="4">
        <v>0.15</v>
      </c>
      <c r="R888" s="53">
        <f t="shared" si="31"/>
        <v>0.27368312757201646</v>
      </c>
      <c r="S888" s="22">
        <f t="shared" si="32"/>
        <v>3.0864197530864197E-4</v>
      </c>
    </row>
    <row r="889" spans="1:19" ht="16">
      <c r="A889" s="52" t="s">
        <v>300</v>
      </c>
      <c r="B889" s="53" t="s">
        <v>586</v>
      </c>
      <c r="C889" s="53"/>
      <c r="D889" s="53">
        <v>0</v>
      </c>
      <c r="E889" s="4">
        <v>12</v>
      </c>
      <c r="F889" s="4">
        <v>6</v>
      </c>
      <c r="G889" s="4">
        <v>18</v>
      </c>
      <c r="H889" s="53">
        <v>6.4987000000000004</v>
      </c>
      <c r="I889" s="4">
        <v>4.0000000000000002E-4</v>
      </c>
      <c r="J889" s="53">
        <v>-36.641500000000001</v>
      </c>
      <c r="K889" s="4">
        <v>1.2999999999999999E-3</v>
      </c>
      <c r="L889" s="4">
        <v>2.5000000000000001E-2</v>
      </c>
      <c r="M889" s="4">
        <v>3.0000000000000001E-3</v>
      </c>
      <c r="N889" s="4">
        <v>-5.7999999999999996E-3</v>
      </c>
      <c r="O889" s="4">
        <v>2.0000000000000001E-4</v>
      </c>
      <c r="P889" s="4">
        <v>133.01</v>
      </c>
      <c r="Q889" s="4">
        <v>0.15</v>
      </c>
      <c r="R889" s="53">
        <f t="shared" si="31"/>
        <v>0.27368312757201646</v>
      </c>
      <c r="S889" s="22">
        <f t="shared" si="32"/>
        <v>3.0864197530864197E-4</v>
      </c>
    </row>
    <row r="890" spans="1:19" ht="16">
      <c r="A890" s="52" t="s">
        <v>301</v>
      </c>
      <c r="B890" s="53" t="s">
        <v>587</v>
      </c>
      <c r="C890" s="53"/>
      <c r="D890" s="53">
        <v>0</v>
      </c>
      <c r="E890" s="4">
        <v>12</v>
      </c>
      <c r="F890" s="4">
        <v>6</v>
      </c>
      <c r="G890" s="4">
        <v>18</v>
      </c>
      <c r="H890" s="53">
        <v>6.4987000000000004</v>
      </c>
      <c r="I890" s="4">
        <v>4.0000000000000002E-4</v>
      </c>
      <c r="J890" s="53">
        <v>-36.641500000000001</v>
      </c>
      <c r="K890" s="4">
        <v>1.2999999999999999E-3</v>
      </c>
      <c r="L890" s="4">
        <v>2.5000000000000001E-2</v>
      </c>
      <c r="M890" s="4">
        <v>3.0000000000000001E-3</v>
      </c>
      <c r="N890" s="4">
        <v>-5.7999999999999996E-3</v>
      </c>
      <c r="O890" s="4">
        <v>2.0000000000000001E-4</v>
      </c>
      <c r="P890" s="4">
        <v>133.01</v>
      </c>
      <c r="Q890" s="4">
        <v>0.15</v>
      </c>
      <c r="R890" s="53">
        <f t="shared" si="31"/>
        <v>0.27368312757201646</v>
      </c>
      <c r="S890" s="22">
        <f t="shared" si="32"/>
        <v>3.0864197530864197E-4</v>
      </c>
    </row>
    <row r="891" spans="1:19" ht="16">
      <c r="A891" s="52" t="s">
        <v>302</v>
      </c>
      <c r="B891" s="53" t="s">
        <v>588</v>
      </c>
      <c r="C891" s="53"/>
      <c r="D891" s="53">
        <v>0</v>
      </c>
      <c r="E891" s="4">
        <v>12</v>
      </c>
      <c r="F891" s="4">
        <v>6</v>
      </c>
      <c r="G891" s="4">
        <v>18</v>
      </c>
      <c r="H891" s="53">
        <v>6.4987000000000004</v>
      </c>
      <c r="I891" s="4">
        <v>4.0000000000000002E-4</v>
      </c>
      <c r="J891" s="53">
        <v>-36.641500000000001</v>
      </c>
      <c r="K891" s="4">
        <v>1.2999999999999999E-3</v>
      </c>
      <c r="L891" s="4">
        <v>2.5000000000000001E-2</v>
      </c>
      <c r="M891" s="4">
        <v>3.0000000000000001E-3</v>
      </c>
      <c r="N891" s="4">
        <v>-5.7999999999999996E-3</v>
      </c>
      <c r="O891" s="4">
        <v>2.0000000000000001E-4</v>
      </c>
      <c r="P891" s="4">
        <v>133.01</v>
      </c>
      <c r="Q891" s="4">
        <v>0.15</v>
      </c>
      <c r="R891" s="53">
        <f t="shared" si="31"/>
        <v>0.27368312757201646</v>
      </c>
      <c r="S891" s="22">
        <f t="shared" si="32"/>
        <v>3.0864197530864197E-4</v>
      </c>
    </row>
    <row r="892" spans="1:19" ht="16">
      <c r="A892" s="52" t="s">
        <v>303</v>
      </c>
      <c r="B892" s="53" t="s">
        <v>589</v>
      </c>
      <c r="C892" s="53"/>
      <c r="D892" s="53">
        <v>0</v>
      </c>
      <c r="E892" s="4">
        <v>12</v>
      </c>
      <c r="F892" s="4">
        <v>6</v>
      </c>
      <c r="G892" s="4">
        <v>18</v>
      </c>
      <c r="H892" s="53">
        <v>6.4987000000000004</v>
      </c>
      <c r="I892" s="4">
        <v>4.0000000000000002E-4</v>
      </c>
      <c r="J892" s="53">
        <v>-36.641500000000001</v>
      </c>
      <c r="K892" s="4">
        <v>1.2999999999999999E-3</v>
      </c>
      <c r="L892" s="4">
        <v>2.5000000000000001E-2</v>
      </c>
      <c r="M892" s="4">
        <v>3.0000000000000001E-3</v>
      </c>
      <c r="N892" s="4">
        <v>-5.7999999999999996E-3</v>
      </c>
      <c r="O892" s="4">
        <v>2.0000000000000001E-4</v>
      </c>
      <c r="P892" s="4">
        <v>133.01</v>
      </c>
      <c r="Q892" s="4">
        <v>0.15</v>
      </c>
      <c r="R892" s="53">
        <f t="shared" si="31"/>
        <v>0.27368312757201646</v>
      </c>
      <c r="S892" s="22">
        <f t="shared" si="32"/>
        <v>3.0864197530864197E-4</v>
      </c>
    </row>
    <row r="893" spans="1:19" ht="16">
      <c r="A893" s="52" t="s">
        <v>304</v>
      </c>
      <c r="B893" s="53" t="s">
        <v>590</v>
      </c>
      <c r="C893" s="53"/>
      <c r="D893" s="53">
        <v>0</v>
      </c>
      <c r="E893" s="4">
        <v>12</v>
      </c>
      <c r="F893" s="4">
        <v>6</v>
      </c>
      <c r="G893" s="4">
        <v>18</v>
      </c>
      <c r="H893" s="53">
        <v>6.4987000000000004</v>
      </c>
      <c r="I893" s="4">
        <v>4.0000000000000002E-4</v>
      </c>
      <c r="J893" s="53">
        <v>-36.641500000000001</v>
      </c>
      <c r="K893" s="4">
        <v>1.2999999999999999E-3</v>
      </c>
      <c r="L893" s="4">
        <v>2.5000000000000001E-2</v>
      </c>
      <c r="M893" s="4">
        <v>3.0000000000000001E-3</v>
      </c>
      <c r="N893" s="4">
        <v>-5.7999999999999996E-3</v>
      </c>
      <c r="O893" s="4">
        <v>2.0000000000000001E-4</v>
      </c>
      <c r="P893" s="4">
        <v>133.01</v>
      </c>
      <c r="Q893" s="4">
        <v>0.15</v>
      </c>
      <c r="R893" s="53">
        <f t="shared" si="31"/>
        <v>0.27368312757201646</v>
      </c>
      <c r="S893" s="22">
        <f t="shared" si="32"/>
        <v>3.0864197530864197E-4</v>
      </c>
    </row>
    <row r="894" spans="1:19" ht="16">
      <c r="A894" s="52" t="s">
        <v>305</v>
      </c>
      <c r="B894" s="53" t="s">
        <v>591</v>
      </c>
      <c r="C894" s="53"/>
      <c r="D894" s="53">
        <v>0</v>
      </c>
      <c r="E894" s="4">
        <v>12</v>
      </c>
      <c r="F894" s="4">
        <v>6</v>
      </c>
      <c r="G894" s="4">
        <v>18</v>
      </c>
      <c r="H894" s="53">
        <v>6.4987000000000004</v>
      </c>
      <c r="I894" s="4">
        <v>4.0000000000000002E-4</v>
      </c>
      <c r="J894" s="53">
        <v>-36.641500000000001</v>
      </c>
      <c r="K894" s="4">
        <v>1.2999999999999999E-3</v>
      </c>
      <c r="L894" s="4">
        <v>2.5000000000000001E-2</v>
      </c>
      <c r="M894" s="4">
        <v>3.0000000000000001E-3</v>
      </c>
      <c r="N894" s="4">
        <v>-5.7999999999999996E-3</v>
      </c>
      <c r="O894" s="4">
        <v>2.0000000000000001E-4</v>
      </c>
      <c r="P894" s="4">
        <v>133.01</v>
      </c>
      <c r="Q894" s="4">
        <v>0.15</v>
      </c>
      <c r="R894" s="53">
        <f t="shared" si="31"/>
        <v>0.27368312757201646</v>
      </c>
      <c r="S894" s="22">
        <f t="shared" si="32"/>
        <v>3.0864197530864197E-4</v>
      </c>
    </row>
    <row r="895" spans="1:19" ht="16">
      <c r="A895" s="52" t="s">
        <v>306</v>
      </c>
      <c r="B895" s="53" t="s">
        <v>592</v>
      </c>
      <c r="C895" s="53"/>
      <c r="D895" s="53">
        <v>0</v>
      </c>
      <c r="E895" s="4">
        <v>12</v>
      </c>
      <c r="F895" s="4">
        <v>6</v>
      </c>
      <c r="G895" s="4">
        <v>18</v>
      </c>
      <c r="H895" s="53">
        <v>6.4987000000000004</v>
      </c>
      <c r="I895" s="4">
        <v>4.0000000000000002E-4</v>
      </c>
      <c r="J895" s="53">
        <v>-36.641500000000001</v>
      </c>
      <c r="K895" s="4">
        <v>1.2999999999999999E-3</v>
      </c>
      <c r="L895" s="4">
        <v>2.5000000000000001E-2</v>
      </c>
      <c r="M895" s="4">
        <v>3.0000000000000001E-3</v>
      </c>
      <c r="N895" s="4">
        <v>-5.7999999999999996E-3</v>
      </c>
      <c r="O895" s="4">
        <v>2.0000000000000001E-4</v>
      </c>
      <c r="P895" s="4">
        <v>133.01</v>
      </c>
      <c r="Q895" s="4">
        <v>0.15</v>
      </c>
      <c r="R895" s="53">
        <f t="shared" si="31"/>
        <v>0.27368312757201646</v>
      </c>
      <c r="S895" s="22">
        <f t="shared" si="32"/>
        <v>3.0864197530864197E-4</v>
      </c>
    </row>
    <row r="896" spans="1:19" ht="16">
      <c r="A896" s="52" t="s">
        <v>307</v>
      </c>
      <c r="B896" s="53" t="s">
        <v>593</v>
      </c>
      <c r="C896" s="53"/>
      <c r="D896" s="53">
        <v>0</v>
      </c>
      <c r="E896" s="4">
        <v>12</v>
      </c>
      <c r="F896" s="4">
        <v>6</v>
      </c>
      <c r="G896" s="4">
        <v>18</v>
      </c>
      <c r="H896" s="53">
        <v>6.4987000000000004</v>
      </c>
      <c r="I896" s="4">
        <v>4.0000000000000002E-4</v>
      </c>
      <c r="J896" s="53">
        <v>-36.641500000000001</v>
      </c>
      <c r="K896" s="4">
        <v>1.2999999999999999E-3</v>
      </c>
      <c r="L896" s="4">
        <v>2.5000000000000001E-2</v>
      </c>
      <c r="M896" s="4">
        <v>3.0000000000000001E-3</v>
      </c>
      <c r="N896" s="4">
        <v>-5.7999999999999996E-3</v>
      </c>
      <c r="O896" s="4">
        <v>2.0000000000000001E-4</v>
      </c>
      <c r="P896" s="4">
        <v>133.01</v>
      </c>
      <c r="Q896" s="4">
        <v>0.15</v>
      </c>
      <c r="R896" s="53">
        <f t="shared" si="31"/>
        <v>0.27368312757201646</v>
      </c>
      <c r="S896" s="22">
        <f t="shared" si="32"/>
        <v>3.0864197530864197E-4</v>
      </c>
    </row>
    <row r="897" spans="1:19" ht="16">
      <c r="A897" s="52" t="s">
        <v>308</v>
      </c>
      <c r="B897" s="53" t="s">
        <v>594</v>
      </c>
      <c r="C897" s="53"/>
      <c r="D897" s="53">
        <v>0</v>
      </c>
      <c r="E897" s="4">
        <v>12</v>
      </c>
      <c r="F897" s="4">
        <v>6</v>
      </c>
      <c r="G897" s="4">
        <v>18</v>
      </c>
      <c r="H897" s="53">
        <v>6.4987000000000004</v>
      </c>
      <c r="I897" s="4">
        <v>4.0000000000000002E-4</v>
      </c>
      <c r="J897" s="53">
        <v>-36.641500000000001</v>
      </c>
      <c r="K897" s="4">
        <v>1.2999999999999999E-3</v>
      </c>
      <c r="L897" s="4">
        <v>2.5000000000000001E-2</v>
      </c>
      <c r="M897" s="4">
        <v>3.0000000000000001E-3</v>
      </c>
      <c r="N897" s="4">
        <v>-5.7999999999999996E-3</v>
      </c>
      <c r="O897" s="4">
        <v>2.0000000000000001E-4</v>
      </c>
      <c r="P897" s="4">
        <v>133.01</v>
      </c>
      <c r="Q897" s="4">
        <v>0.15</v>
      </c>
      <c r="R897" s="53">
        <f t="shared" si="31"/>
        <v>0.27368312757201646</v>
      </c>
      <c r="S897" s="22">
        <f t="shared" si="32"/>
        <v>3.0864197530864197E-4</v>
      </c>
    </row>
    <row r="898" spans="1:19" ht="16">
      <c r="A898" s="52" t="s">
        <v>309</v>
      </c>
      <c r="B898" s="53" t="s">
        <v>595</v>
      </c>
      <c r="C898" s="53"/>
      <c r="D898" s="53">
        <v>0</v>
      </c>
      <c r="E898" s="4">
        <v>12</v>
      </c>
      <c r="F898" s="4">
        <v>6</v>
      </c>
      <c r="G898" s="4">
        <v>18</v>
      </c>
      <c r="H898" s="53">
        <v>6.4987000000000004</v>
      </c>
      <c r="I898" s="4">
        <v>4.0000000000000002E-4</v>
      </c>
      <c r="J898" s="53">
        <v>-36.641500000000001</v>
      </c>
      <c r="K898" s="4">
        <v>1.2999999999999999E-3</v>
      </c>
      <c r="L898" s="4">
        <v>2.5000000000000001E-2</v>
      </c>
      <c r="M898" s="4">
        <v>3.0000000000000001E-3</v>
      </c>
      <c r="N898" s="4">
        <v>-5.7999999999999996E-3</v>
      </c>
      <c r="O898" s="4">
        <v>2.0000000000000001E-4</v>
      </c>
      <c r="P898" s="4">
        <v>133.01</v>
      </c>
      <c r="Q898" s="4">
        <v>0.15</v>
      </c>
      <c r="R898" s="53">
        <f t="shared" si="31"/>
        <v>0.27368312757201646</v>
      </c>
      <c r="S898" s="22">
        <f t="shared" si="32"/>
        <v>3.0864197530864197E-4</v>
      </c>
    </row>
    <row r="899" spans="1:19" ht="16">
      <c r="A899" s="52" t="s">
        <v>310</v>
      </c>
      <c r="B899" s="53" t="s">
        <v>596</v>
      </c>
      <c r="C899" s="53"/>
      <c r="D899" s="53">
        <v>0</v>
      </c>
      <c r="E899" s="4">
        <v>12</v>
      </c>
      <c r="F899" s="4">
        <v>6</v>
      </c>
      <c r="G899" s="4">
        <v>18</v>
      </c>
      <c r="H899" s="53">
        <v>6.4987000000000004</v>
      </c>
      <c r="I899" s="4">
        <v>4.0000000000000002E-4</v>
      </c>
      <c r="J899" s="53">
        <v>-36.641500000000001</v>
      </c>
      <c r="K899" s="4">
        <v>1.2999999999999999E-3</v>
      </c>
      <c r="L899" s="4">
        <v>2.5000000000000001E-2</v>
      </c>
      <c r="M899" s="4">
        <v>3.0000000000000001E-3</v>
      </c>
      <c r="N899" s="4">
        <v>-5.7999999999999996E-3</v>
      </c>
      <c r="O899" s="4">
        <v>2.0000000000000001E-4</v>
      </c>
      <c r="P899" s="4">
        <v>133.01</v>
      </c>
      <c r="Q899" s="4">
        <v>0.15</v>
      </c>
      <c r="R899" s="53">
        <f t="shared" si="31"/>
        <v>0.27368312757201646</v>
      </c>
      <c r="S899" s="22">
        <f t="shared" si="32"/>
        <v>3.0864197530864197E-4</v>
      </c>
    </row>
    <row r="900" spans="1:19" ht="16">
      <c r="A900" s="52" t="s">
        <v>311</v>
      </c>
      <c r="B900" s="53" t="s">
        <v>597</v>
      </c>
      <c r="C900" s="53"/>
      <c r="D900" s="53">
        <v>0</v>
      </c>
      <c r="E900" s="4">
        <v>12</v>
      </c>
      <c r="F900" s="4">
        <v>6</v>
      </c>
      <c r="G900" s="4">
        <v>18</v>
      </c>
      <c r="H900" s="53">
        <v>6.4987000000000004</v>
      </c>
      <c r="I900" s="4">
        <v>4.0000000000000002E-4</v>
      </c>
      <c r="J900" s="53">
        <v>-36.641500000000001</v>
      </c>
      <c r="K900" s="4">
        <v>1.2999999999999999E-3</v>
      </c>
      <c r="L900" s="4">
        <v>2.5000000000000001E-2</v>
      </c>
      <c r="M900" s="4">
        <v>3.0000000000000001E-3</v>
      </c>
      <c r="N900" s="4">
        <v>-5.7999999999999996E-3</v>
      </c>
      <c r="O900" s="4">
        <v>2.0000000000000001E-4</v>
      </c>
      <c r="P900" s="4">
        <v>133.01</v>
      </c>
      <c r="Q900" s="4">
        <v>0.15</v>
      </c>
      <c r="R900" s="53">
        <f t="shared" si="31"/>
        <v>0.27368312757201646</v>
      </c>
      <c r="S900" s="22">
        <f t="shared" si="32"/>
        <v>3.0864197530864197E-4</v>
      </c>
    </row>
    <row r="901" spans="1:19" ht="16">
      <c r="A901" s="52" t="s">
        <v>312</v>
      </c>
      <c r="B901" s="53" t="s">
        <v>598</v>
      </c>
      <c r="C901" s="53"/>
      <c r="D901" s="53">
        <v>0</v>
      </c>
      <c r="E901" s="4">
        <v>12</v>
      </c>
      <c r="F901" s="4">
        <v>6</v>
      </c>
      <c r="G901" s="4">
        <v>18</v>
      </c>
      <c r="H901" s="53">
        <v>6.4987000000000004</v>
      </c>
      <c r="I901" s="4">
        <v>4.0000000000000002E-4</v>
      </c>
      <c r="J901" s="53">
        <v>-36.641500000000001</v>
      </c>
      <c r="K901" s="4">
        <v>1.2999999999999999E-3</v>
      </c>
      <c r="L901" s="4">
        <v>2.5000000000000001E-2</v>
      </c>
      <c r="M901" s="4">
        <v>3.0000000000000001E-3</v>
      </c>
      <c r="N901" s="4">
        <v>-5.7999999999999996E-3</v>
      </c>
      <c r="O901" s="4">
        <v>2.0000000000000001E-4</v>
      </c>
      <c r="P901" s="4">
        <v>133.01</v>
      </c>
      <c r="Q901" s="4">
        <v>0.15</v>
      </c>
      <c r="R901" s="53">
        <f t="shared" si="31"/>
        <v>0.27368312757201646</v>
      </c>
      <c r="S901" s="22">
        <f t="shared" si="32"/>
        <v>3.0864197530864197E-4</v>
      </c>
    </row>
    <row r="902" spans="1:19" ht="16">
      <c r="A902" s="52" t="s">
        <v>313</v>
      </c>
      <c r="B902" s="53" t="s">
        <v>599</v>
      </c>
      <c r="C902" s="53"/>
      <c r="D902" s="53">
        <v>0</v>
      </c>
      <c r="E902" s="4">
        <v>12</v>
      </c>
      <c r="F902" s="4">
        <v>6</v>
      </c>
      <c r="G902" s="4">
        <v>18</v>
      </c>
      <c r="H902" s="53">
        <v>6.4987000000000004</v>
      </c>
      <c r="I902" s="4">
        <v>4.0000000000000002E-4</v>
      </c>
      <c r="J902" s="53">
        <v>-36.641500000000001</v>
      </c>
      <c r="K902" s="4">
        <v>1.2999999999999999E-3</v>
      </c>
      <c r="L902" s="4">
        <v>2.5000000000000001E-2</v>
      </c>
      <c r="M902" s="4">
        <v>3.0000000000000001E-3</v>
      </c>
      <c r="N902" s="4">
        <v>-5.7999999999999996E-3</v>
      </c>
      <c r="O902" s="4">
        <v>2.0000000000000001E-4</v>
      </c>
      <c r="P902" s="4">
        <v>133.01</v>
      </c>
      <c r="Q902" s="4">
        <v>0.15</v>
      </c>
      <c r="R902" s="53">
        <f t="shared" si="31"/>
        <v>0.27368312757201646</v>
      </c>
      <c r="S902" s="22">
        <f t="shared" si="32"/>
        <v>3.0864197530864197E-4</v>
      </c>
    </row>
    <row r="903" spans="1:19" ht="16">
      <c r="A903" s="52" t="s">
        <v>314</v>
      </c>
      <c r="B903" s="53" t="s">
        <v>600</v>
      </c>
      <c r="C903" s="53"/>
      <c r="D903" s="53">
        <v>0</v>
      </c>
      <c r="E903" s="4">
        <v>12</v>
      </c>
      <c r="F903" s="4">
        <v>6</v>
      </c>
      <c r="G903" s="4">
        <v>18</v>
      </c>
      <c r="H903" s="53">
        <v>6.4987000000000004</v>
      </c>
      <c r="I903" s="4">
        <v>4.0000000000000002E-4</v>
      </c>
      <c r="J903" s="53">
        <v>-36.641500000000001</v>
      </c>
      <c r="K903" s="4">
        <v>1.2999999999999999E-3</v>
      </c>
      <c r="L903" s="4">
        <v>2.5000000000000001E-2</v>
      </c>
      <c r="M903" s="4">
        <v>3.0000000000000001E-3</v>
      </c>
      <c r="N903" s="4">
        <v>-5.7999999999999996E-3</v>
      </c>
      <c r="O903" s="4">
        <v>2.0000000000000001E-4</v>
      </c>
      <c r="P903" s="4">
        <v>133.01</v>
      </c>
      <c r="Q903" s="4">
        <v>0.15</v>
      </c>
      <c r="R903" s="53">
        <f t="shared" si="31"/>
        <v>0.27368312757201646</v>
      </c>
      <c r="S903" s="22">
        <f t="shared" si="32"/>
        <v>3.0864197530864197E-4</v>
      </c>
    </row>
    <row r="904" spans="1:19" ht="16">
      <c r="A904" s="52" t="s">
        <v>315</v>
      </c>
      <c r="B904" s="53" t="s">
        <v>601</v>
      </c>
      <c r="C904" s="53"/>
      <c r="D904" s="53">
        <v>0</v>
      </c>
      <c r="E904" s="4">
        <v>12</v>
      </c>
      <c r="F904" s="4">
        <v>6</v>
      </c>
      <c r="G904" s="4">
        <v>18</v>
      </c>
      <c r="H904" s="53">
        <v>6.4987000000000004</v>
      </c>
      <c r="I904" s="4">
        <v>4.0000000000000002E-4</v>
      </c>
      <c r="J904" s="53">
        <v>-36.641500000000001</v>
      </c>
      <c r="K904" s="4">
        <v>1.2999999999999999E-3</v>
      </c>
      <c r="L904" s="4">
        <v>2.5000000000000001E-2</v>
      </c>
      <c r="M904" s="4">
        <v>3.0000000000000001E-3</v>
      </c>
      <c r="N904" s="4">
        <v>-5.7999999999999996E-3</v>
      </c>
      <c r="O904" s="4">
        <v>2.0000000000000001E-4</v>
      </c>
      <c r="P904" s="4">
        <v>133.01</v>
      </c>
      <c r="Q904" s="4">
        <v>0.15</v>
      </c>
      <c r="R904" s="53">
        <f t="shared" si="31"/>
        <v>0.27368312757201646</v>
      </c>
      <c r="S904" s="22">
        <f t="shared" si="32"/>
        <v>3.0864197530864197E-4</v>
      </c>
    </row>
    <row r="905" spans="1:19" ht="16">
      <c r="A905" s="52" t="s">
        <v>316</v>
      </c>
      <c r="B905" s="53" t="s">
        <v>602</v>
      </c>
      <c r="C905" s="53"/>
      <c r="D905" s="53">
        <v>0</v>
      </c>
      <c r="E905" s="4">
        <v>12</v>
      </c>
      <c r="F905" s="4">
        <v>6</v>
      </c>
      <c r="G905" s="4">
        <v>18</v>
      </c>
      <c r="H905" s="53">
        <v>6.4987000000000004</v>
      </c>
      <c r="I905" s="4">
        <v>4.0000000000000002E-4</v>
      </c>
      <c r="J905" s="53">
        <v>-36.641500000000001</v>
      </c>
      <c r="K905" s="4">
        <v>1.2999999999999999E-3</v>
      </c>
      <c r="L905" s="4">
        <v>2.5000000000000001E-2</v>
      </c>
      <c r="M905" s="4">
        <v>3.0000000000000001E-3</v>
      </c>
      <c r="N905" s="4">
        <v>-5.7999999999999996E-3</v>
      </c>
      <c r="O905" s="4">
        <v>2.0000000000000001E-4</v>
      </c>
      <c r="P905" s="4">
        <v>133.01</v>
      </c>
      <c r="Q905" s="4">
        <v>0.15</v>
      </c>
      <c r="R905" s="53">
        <f t="shared" si="31"/>
        <v>0.27368312757201646</v>
      </c>
      <c r="S905" s="22">
        <f t="shared" si="32"/>
        <v>3.0864197530864197E-4</v>
      </c>
    </row>
    <row r="906" spans="1:19" ht="16">
      <c r="A906" s="52" t="s">
        <v>317</v>
      </c>
      <c r="B906" s="53" t="s">
        <v>603</v>
      </c>
      <c r="C906" s="53"/>
      <c r="D906" s="53">
        <v>0</v>
      </c>
      <c r="E906" s="4">
        <v>12</v>
      </c>
      <c r="F906" s="4">
        <v>6</v>
      </c>
      <c r="G906" s="4">
        <v>18</v>
      </c>
      <c r="H906" s="53">
        <v>6.4987000000000004</v>
      </c>
      <c r="I906" s="4">
        <v>4.0000000000000002E-4</v>
      </c>
      <c r="J906" s="53">
        <v>-36.641500000000001</v>
      </c>
      <c r="K906" s="4">
        <v>1.2999999999999999E-3</v>
      </c>
      <c r="L906" s="4">
        <v>2.5000000000000001E-2</v>
      </c>
      <c r="M906" s="4">
        <v>3.0000000000000001E-3</v>
      </c>
      <c r="N906" s="4">
        <v>-5.7999999999999996E-3</v>
      </c>
      <c r="O906" s="4">
        <v>2.0000000000000001E-4</v>
      </c>
      <c r="P906" s="4">
        <v>133.01</v>
      </c>
      <c r="Q906" s="4">
        <v>0.15</v>
      </c>
      <c r="R906" s="53">
        <f t="shared" si="31"/>
        <v>0.27368312757201646</v>
      </c>
      <c r="S906" s="22">
        <f t="shared" si="32"/>
        <v>3.0864197530864197E-4</v>
      </c>
    </row>
    <row r="907" spans="1:19" ht="16">
      <c r="A907" s="52" t="s">
        <v>318</v>
      </c>
      <c r="B907" s="53" t="s">
        <v>604</v>
      </c>
      <c r="C907" s="53"/>
      <c r="D907" s="53">
        <v>0</v>
      </c>
      <c r="E907" s="4">
        <v>12</v>
      </c>
      <c r="F907" s="4">
        <v>6</v>
      </c>
      <c r="G907" s="4">
        <v>18</v>
      </c>
      <c r="H907" s="53">
        <v>6.4987000000000004</v>
      </c>
      <c r="I907" s="4">
        <v>4.0000000000000002E-4</v>
      </c>
      <c r="J907" s="53">
        <v>-36.641500000000001</v>
      </c>
      <c r="K907" s="4">
        <v>1.2999999999999999E-3</v>
      </c>
      <c r="L907" s="4">
        <v>2.5000000000000001E-2</v>
      </c>
      <c r="M907" s="4">
        <v>3.0000000000000001E-3</v>
      </c>
      <c r="N907" s="4">
        <v>-5.7999999999999996E-3</v>
      </c>
      <c r="O907" s="4">
        <v>2.0000000000000001E-4</v>
      </c>
      <c r="P907" s="4">
        <v>133.01</v>
      </c>
      <c r="Q907" s="4">
        <v>0.15</v>
      </c>
      <c r="R907" s="53">
        <f t="shared" si="31"/>
        <v>0.27368312757201646</v>
      </c>
      <c r="S907" s="22">
        <f t="shared" si="32"/>
        <v>3.0864197530864197E-4</v>
      </c>
    </row>
    <row r="908" spans="1:19" ht="16">
      <c r="A908" s="52" t="s">
        <v>319</v>
      </c>
      <c r="B908" s="53" t="s">
        <v>605</v>
      </c>
      <c r="C908" s="53"/>
      <c r="D908" s="53">
        <v>0</v>
      </c>
      <c r="E908" s="4">
        <v>12</v>
      </c>
      <c r="F908" s="4">
        <v>6</v>
      </c>
      <c r="G908" s="4">
        <v>18</v>
      </c>
      <c r="H908" s="53">
        <v>6.4987000000000004</v>
      </c>
      <c r="I908" s="4">
        <v>4.0000000000000002E-4</v>
      </c>
      <c r="J908" s="53">
        <v>-36.641500000000001</v>
      </c>
      <c r="K908" s="4">
        <v>1.2999999999999999E-3</v>
      </c>
      <c r="L908" s="4">
        <v>2.5000000000000001E-2</v>
      </c>
      <c r="M908" s="4">
        <v>3.0000000000000001E-3</v>
      </c>
      <c r="N908" s="4">
        <v>-5.7999999999999996E-3</v>
      </c>
      <c r="O908" s="4">
        <v>2.0000000000000001E-4</v>
      </c>
      <c r="P908" s="4">
        <v>133.01</v>
      </c>
      <c r="Q908" s="4">
        <v>0.15</v>
      </c>
      <c r="R908" s="53">
        <f t="shared" si="31"/>
        <v>0.27368312757201646</v>
      </c>
      <c r="S908" s="22">
        <f t="shared" si="32"/>
        <v>3.0864197530864197E-4</v>
      </c>
    </row>
    <row r="909" spans="1:19" ht="16">
      <c r="A909" s="52" t="s">
        <v>320</v>
      </c>
      <c r="B909" s="53" t="s">
        <v>606</v>
      </c>
      <c r="C909" s="53"/>
      <c r="D909" s="53">
        <v>0</v>
      </c>
      <c r="E909" s="4">
        <v>12</v>
      </c>
      <c r="F909" s="4">
        <v>6</v>
      </c>
      <c r="G909" s="4">
        <v>18</v>
      </c>
      <c r="H909" s="53">
        <v>6.4987000000000004</v>
      </c>
      <c r="I909" s="4">
        <v>4.0000000000000002E-4</v>
      </c>
      <c r="J909" s="53">
        <v>-36.641500000000001</v>
      </c>
      <c r="K909" s="4">
        <v>1.2999999999999999E-3</v>
      </c>
      <c r="L909" s="4">
        <v>2.5000000000000001E-2</v>
      </c>
      <c r="M909" s="4">
        <v>3.0000000000000001E-3</v>
      </c>
      <c r="N909" s="4">
        <v>-5.7999999999999996E-3</v>
      </c>
      <c r="O909" s="4">
        <v>2.0000000000000001E-4</v>
      </c>
      <c r="P909" s="4">
        <v>133.01</v>
      </c>
      <c r="Q909" s="4">
        <v>0.15</v>
      </c>
      <c r="R909" s="53">
        <f t="shared" si="31"/>
        <v>0.27368312757201646</v>
      </c>
      <c r="S909" s="22">
        <f t="shared" si="32"/>
        <v>3.0864197530864197E-4</v>
      </c>
    </row>
    <row r="910" spans="1:19" ht="16">
      <c r="A910" s="52" t="s">
        <v>321</v>
      </c>
      <c r="B910" s="53" t="s">
        <v>607</v>
      </c>
      <c r="C910" s="53"/>
      <c r="D910" s="53">
        <v>0</v>
      </c>
      <c r="E910" s="4">
        <v>12</v>
      </c>
      <c r="F910" s="4">
        <v>6</v>
      </c>
      <c r="G910" s="4">
        <v>18</v>
      </c>
      <c r="H910" s="53">
        <v>6.4987000000000004</v>
      </c>
      <c r="I910" s="4">
        <v>4.0000000000000002E-4</v>
      </c>
      <c r="J910" s="53">
        <v>-36.641500000000001</v>
      </c>
      <c r="K910" s="4">
        <v>1.2999999999999999E-3</v>
      </c>
      <c r="L910" s="4">
        <v>2.5000000000000001E-2</v>
      </c>
      <c r="M910" s="4">
        <v>3.0000000000000001E-3</v>
      </c>
      <c r="N910" s="4">
        <v>-5.7999999999999996E-3</v>
      </c>
      <c r="O910" s="4">
        <v>2.0000000000000001E-4</v>
      </c>
      <c r="P910" s="4">
        <v>133.01</v>
      </c>
      <c r="Q910" s="4">
        <v>0.15</v>
      </c>
      <c r="R910" s="53">
        <f t="shared" si="31"/>
        <v>0.27368312757201646</v>
      </c>
      <c r="S910" s="22">
        <f t="shared" si="32"/>
        <v>3.0864197530864197E-4</v>
      </c>
    </row>
    <row r="911" spans="1:19" ht="16">
      <c r="A911" s="52" t="s">
        <v>322</v>
      </c>
      <c r="B911" s="53" t="s">
        <v>608</v>
      </c>
      <c r="C911" s="53"/>
      <c r="D911" s="53">
        <v>0</v>
      </c>
      <c r="E911" s="4">
        <v>12</v>
      </c>
      <c r="F911" s="4">
        <v>6</v>
      </c>
      <c r="G911" s="4">
        <v>18</v>
      </c>
      <c r="H911" s="53">
        <v>6.4987000000000004</v>
      </c>
      <c r="I911" s="4">
        <v>4.0000000000000002E-4</v>
      </c>
      <c r="J911" s="53">
        <v>-36.641500000000001</v>
      </c>
      <c r="K911" s="4">
        <v>1.2999999999999999E-3</v>
      </c>
      <c r="L911" s="4">
        <v>2.5000000000000001E-2</v>
      </c>
      <c r="M911" s="4">
        <v>3.0000000000000001E-3</v>
      </c>
      <c r="N911" s="4">
        <v>-5.7999999999999996E-3</v>
      </c>
      <c r="O911" s="4">
        <v>2.0000000000000001E-4</v>
      </c>
      <c r="P911" s="4">
        <v>133.01</v>
      </c>
      <c r="Q911" s="4">
        <v>0.15</v>
      </c>
      <c r="R911" s="53">
        <f t="shared" si="31"/>
        <v>0.27368312757201646</v>
      </c>
      <c r="S911" s="22">
        <f t="shared" si="32"/>
        <v>3.0864197530864197E-4</v>
      </c>
    </row>
    <row r="912" spans="1:19" ht="16">
      <c r="A912" s="52" t="s">
        <v>323</v>
      </c>
      <c r="B912" s="53" t="s">
        <v>609</v>
      </c>
      <c r="C912" s="53"/>
      <c r="D912" s="53">
        <v>0</v>
      </c>
      <c r="E912" s="4">
        <v>12</v>
      </c>
      <c r="F912" s="4">
        <v>6</v>
      </c>
      <c r="G912" s="4">
        <v>18</v>
      </c>
      <c r="H912" s="53">
        <v>6.4987000000000004</v>
      </c>
      <c r="I912" s="4">
        <v>4.0000000000000002E-4</v>
      </c>
      <c r="J912" s="53">
        <v>-36.641500000000001</v>
      </c>
      <c r="K912" s="4">
        <v>1.2999999999999999E-3</v>
      </c>
      <c r="L912" s="4">
        <v>2.5000000000000001E-2</v>
      </c>
      <c r="M912" s="4">
        <v>3.0000000000000001E-3</v>
      </c>
      <c r="N912" s="4">
        <v>-5.7999999999999996E-3</v>
      </c>
      <c r="O912" s="4">
        <v>2.0000000000000001E-4</v>
      </c>
      <c r="P912" s="4">
        <v>133.01</v>
      </c>
      <c r="Q912" s="4">
        <v>0.15</v>
      </c>
      <c r="R912" s="53">
        <f t="shared" si="31"/>
        <v>0.27368312757201646</v>
      </c>
      <c r="S912" s="22">
        <f t="shared" si="32"/>
        <v>3.0864197530864197E-4</v>
      </c>
    </row>
    <row r="913" spans="1:19" ht="16">
      <c r="A913" s="52" t="s">
        <v>324</v>
      </c>
      <c r="B913" s="53" t="s">
        <v>610</v>
      </c>
      <c r="C913" s="53"/>
      <c r="D913" s="53">
        <v>0</v>
      </c>
      <c r="E913" s="4">
        <v>12</v>
      </c>
      <c r="F913" s="4">
        <v>6</v>
      </c>
      <c r="G913" s="4">
        <v>18</v>
      </c>
      <c r="H913" s="53">
        <v>6.4987000000000004</v>
      </c>
      <c r="I913" s="4">
        <v>4.0000000000000002E-4</v>
      </c>
      <c r="J913" s="53">
        <v>-36.641500000000001</v>
      </c>
      <c r="K913" s="4">
        <v>1.2999999999999999E-3</v>
      </c>
      <c r="L913" s="4">
        <v>2.5000000000000001E-2</v>
      </c>
      <c r="M913" s="4">
        <v>3.0000000000000001E-3</v>
      </c>
      <c r="N913" s="4">
        <v>-5.7999999999999996E-3</v>
      </c>
      <c r="O913" s="4">
        <v>2.0000000000000001E-4</v>
      </c>
      <c r="P913" s="4">
        <v>133.01</v>
      </c>
      <c r="Q913" s="4">
        <v>0.15</v>
      </c>
      <c r="R913" s="53">
        <f t="shared" si="31"/>
        <v>0.27368312757201646</v>
      </c>
      <c r="S913" s="22">
        <f t="shared" si="32"/>
        <v>3.0864197530864197E-4</v>
      </c>
    </row>
    <row r="914" spans="1:19" ht="16">
      <c r="A914" s="52" t="s">
        <v>325</v>
      </c>
      <c r="B914" s="53" t="s">
        <v>611</v>
      </c>
      <c r="C914" s="53"/>
      <c r="D914" s="53">
        <v>0</v>
      </c>
      <c r="E914" s="4">
        <v>12</v>
      </c>
      <c r="F914" s="4">
        <v>6</v>
      </c>
      <c r="G914" s="4">
        <v>18</v>
      </c>
      <c r="H914" s="53">
        <v>6.4987000000000004</v>
      </c>
      <c r="I914" s="4">
        <v>4.0000000000000002E-4</v>
      </c>
      <c r="J914" s="53">
        <v>-36.641500000000001</v>
      </c>
      <c r="K914" s="4">
        <v>1.2999999999999999E-3</v>
      </c>
      <c r="L914" s="4">
        <v>2.5000000000000001E-2</v>
      </c>
      <c r="M914" s="4">
        <v>3.0000000000000001E-3</v>
      </c>
      <c r="N914" s="4">
        <v>-5.7999999999999996E-3</v>
      </c>
      <c r="O914" s="4">
        <v>2.0000000000000001E-4</v>
      </c>
      <c r="P914" s="4">
        <v>133.01</v>
      </c>
      <c r="Q914" s="4">
        <v>0.15</v>
      </c>
      <c r="R914" s="53">
        <f t="shared" si="31"/>
        <v>0.27368312757201646</v>
      </c>
      <c r="S914" s="22">
        <f t="shared" si="32"/>
        <v>3.0864197530864197E-4</v>
      </c>
    </row>
    <row r="915" spans="1:19" ht="16">
      <c r="A915" s="52" t="s">
        <v>326</v>
      </c>
      <c r="B915" s="53" t="s">
        <v>612</v>
      </c>
      <c r="C915" s="53"/>
      <c r="D915" s="53">
        <v>0</v>
      </c>
      <c r="E915" s="4">
        <v>12</v>
      </c>
      <c r="F915" s="4">
        <v>6</v>
      </c>
      <c r="G915" s="4">
        <v>18</v>
      </c>
      <c r="H915" s="53">
        <v>6.4987000000000004</v>
      </c>
      <c r="I915" s="4">
        <v>4.0000000000000002E-4</v>
      </c>
      <c r="J915" s="53">
        <v>-36.641500000000001</v>
      </c>
      <c r="K915" s="4">
        <v>1.2999999999999999E-3</v>
      </c>
      <c r="L915" s="4">
        <v>2.5000000000000001E-2</v>
      </c>
      <c r="M915" s="4">
        <v>3.0000000000000001E-3</v>
      </c>
      <c r="N915" s="4">
        <v>-5.7999999999999996E-3</v>
      </c>
      <c r="O915" s="4">
        <v>2.0000000000000001E-4</v>
      </c>
      <c r="P915" s="4">
        <v>133.01</v>
      </c>
      <c r="Q915" s="4">
        <v>0.15</v>
      </c>
      <c r="R915" s="53">
        <f t="shared" si="31"/>
        <v>0.27368312757201646</v>
      </c>
      <c r="S915" s="22">
        <f t="shared" si="32"/>
        <v>3.0864197530864197E-4</v>
      </c>
    </row>
    <row r="916" spans="1:19" ht="16">
      <c r="A916" s="52" t="s">
        <v>327</v>
      </c>
      <c r="B916" s="53" t="s">
        <v>613</v>
      </c>
      <c r="C916" s="53"/>
      <c r="D916" s="53">
        <v>0</v>
      </c>
      <c r="E916" s="4">
        <v>12</v>
      </c>
      <c r="F916" s="4">
        <v>6</v>
      </c>
      <c r="G916" s="4">
        <v>18</v>
      </c>
      <c r="H916" s="53">
        <v>6.4987000000000004</v>
      </c>
      <c r="I916" s="4">
        <v>4.0000000000000002E-4</v>
      </c>
      <c r="J916" s="53">
        <v>-36.641500000000001</v>
      </c>
      <c r="K916" s="4">
        <v>1.2999999999999999E-3</v>
      </c>
      <c r="L916" s="4">
        <v>2.5000000000000001E-2</v>
      </c>
      <c r="M916" s="4">
        <v>3.0000000000000001E-3</v>
      </c>
      <c r="N916" s="4">
        <v>-5.7999999999999996E-3</v>
      </c>
      <c r="O916" s="4">
        <v>2.0000000000000001E-4</v>
      </c>
      <c r="P916" s="4">
        <v>133.01</v>
      </c>
      <c r="Q916" s="4">
        <v>0.15</v>
      </c>
      <c r="R916" s="53">
        <f t="shared" si="31"/>
        <v>0.27368312757201646</v>
      </c>
      <c r="S916" s="22">
        <f t="shared" si="32"/>
        <v>3.0864197530864197E-4</v>
      </c>
    </row>
    <row r="917" spans="1:19" ht="16">
      <c r="A917" s="52" t="s">
        <v>328</v>
      </c>
      <c r="B917" s="53" t="s">
        <v>614</v>
      </c>
      <c r="C917" s="53"/>
      <c r="D917" s="53">
        <v>0</v>
      </c>
      <c r="E917" s="4">
        <v>12</v>
      </c>
      <c r="F917" s="4">
        <v>6</v>
      </c>
      <c r="G917" s="4">
        <v>18</v>
      </c>
      <c r="H917" s="53">
        <v>6.4987000000000004</v>
      </c>
      <c r="I917" s="4">
        <v>4.0000000000000002E-4</v>
      </c>
      <c r="J917" s="53">
        <v>-36.641500000000001</v>
      </c>
      <c r="K917" s="4">
        <v>1.2999999999999999E-3</v>
      </c>
      <c r="L917" s="4">
        <v>2.5000000000000001E-2</v>
      </c>
      <c r="M917" s="4">
        <v>3.0000000000000001E-3</v>
      </c>
      <c r="N917" s="4">
        <v>-5.7999999999999996E-3</v>
      </c>
      <c r="O917" s="4">
        <v>2.0000000000000001E-4</v>
      </c>
      <c r="P917" s="4">
        <v>133.01</v>
      </c>
      <c r="Q917" s="4">
        <v>0.15</v>
      </c>
      <c r="R917" s="53">
        <f t="shared" si="31"/>
        <v>0.27368312757201646</v>
      </c>
      <c r="S917" s="22">
        <f t="shared" si="32"/>
        <v>3.0864197530864197E-4</v>
      </c>
    </row>
    <row r="918" spans="1:19" ht="16">
      <c r="A918" s="52" t="s">
        <v>329</v>
      </c>
      <c r="B918" s="53" t="s">
        <v>615</v>
      </c>
      <c r="C918" s="53"/>
      <c r="D918" s="53">
        <v>0</v>
      </c>
      <c r="E918" s="4">
        <v>12</v>
      </c>
      <c r="F918" s="4">
        <v>6</v>
      </c>
      <c r="G918" s="4">
        <v>18</v>
      </c>
      <c r="H918" s="53">
        <v>6.4987000000000004</v>
      </c>
      <c r="I918" s="4">
        <v>4.0000000000000002E-4</v>
      </c>
      <c r="J918" s="53">
        <v>-36.641500000000001</v>
      </c>
      <c r="K918" s="4">
        <v>1.2999999999999999E-3</v>
      </c>
      <c r="L918" s="4">
        <v>2.5000000000000001E-2</v>
      </c>
      <c r="M918" s="4">
        <v>3.0000000000000001E-3</v>
      </c>
      <c r="N918" s="4">
        <v>-5.7999999999999996E-3</v>
      </c>
      <c r="O918" s="4">
        <v>2.0000000000000001E-4</v>
      </c>
      <c r="P918" s="4">
        <v>133.01</v>
      </c>
      <c r="Q918" s="4">
        <v>0.15</v>
      </c>
      <c r="R918" s="53">
        <f t="shared" si="31"/>
        <v>0.27368312757201646</v>
      </c>
      <c r="S918" s="22">
        <f t="shared" si="32"/>
        <v>3.0864197530864197E-4</v>
      </c>
    </row>
    <row r="919" spans="1:19" ht="16">
      <c r="A919" s="52" t="s">
        <v>330</v>
      </c>
      <c r="B919" s="53" t="s">
        <v>616</v>
      </c>
      <c r="C919" s="53"/>
      <c r="D919" s="53">
        <v>0</v>
      </c>
      <c r="E919" s="4">
        <v>12</v>
      </c>
      <c r="F919" s="4">
        <v>6</v>
      </c>
      <c r="G919" s="4">
        <v>18</v>
      </c>
      <c r="H919" s="53">
        <v>6.4987000000000004</v>
      </c>
      <c r="I919" s="4">
        <v>4.0000000000000002E-4</v>
      </c>
      <c r="J919" s="53">
        <v>-36.641500000000001</v>
      </c>
      <c r="K919" s="4">
        <v>1.2999999999999999E-3</v>
      </c>
      <c r="L919" s="4">
        <v>2.5000000000000001E-2</v>
      </c>
      <c r="M919" s="4">
        <v>3.0000000000000001E-3</v>
      </c>
      <c r="N919" s="4">
        <v>-5.7999999999999996E-3</v>
      </c>
      <c r="O919" s="4">
        <v>2.0000000000000001E-4</v>
      </c>
      <c r="P919" s="4">
        <v>133.01</v>
      </c>
      <c r="Q919" s="4">
        <v>0.15</v>
      </c>
      <c r="R919" s="53">
        <f t="shared" si="31"/>
        <v>0.27368312757201646</v>
      </c>
      <c r="S919" s="22">
        <f t="shared" si="32"/>
        <v>3.0864197530864197E-4</v>
      </c>
    </row>
    <row r="920" spans="1:19" ht="16">
      <c r="A920" s="52" t="s">
        <v>331</v>
      </c>
      <c r="B920" s="53" t="s">
        <v>617</v>
      </c>
      <c r="C920" s="53"/>
      <c r="D920" s="53">
        <v>0</v>
      </c>
      <c r="E920" s="4">
        <v>12</v>
      </c>
      <c r="F920" s="4">
        <v>7</v>
      </c>
      <c r="G920" s="4">
        <v>18</v>
      </c>
      <c r="H920" s="53">
        <v>6.4987000000000004</v>
      </c>
      <c r="I920" s="4">
        <v>4.0000000000000002E-4</v>
      </c>
      <c r="J920" s="53">
        <v>-36.641500000000001</v>
      </c>
      <c r="K920" s="4">
        <v>1.2999999999999999E-3</v>
      </c>
      <c r="L920" s="4">
        <v>2.5000000000000001E-2</v>
      </c>
      <c r="M920" s="4">
        <v>3.0000000000000001E-3</v>
      </c>
      <c r="N920" s="4">
        <v>-5.7999999999999996E-3</v>
      </c>
      <c r="O920" s="4">
        <v>2.0000000000000001E-4</v>
      </c>
      <c r="P920" s="4">
        <v>133.01</v>
      </c>
      <c r="Q920" s="4">
        <v>0.15</v>
      </c>
      <c r="R920" s="53">
        <f t="shared" si="31"/>
        <v>0.27368312757201646</v>
      </c>
      <c r="S920" s="22">
        <f t="shared" si="32"/>
        <v>3.0864197530864197E-4</v>
      </c>
    </row>
    <row r="921" spans="1:19" ht="16">
      <c r="A921" s="52" t="s">
        <v>332</v>
      </c>
      <c r="B921" s="53" t="s">
        <v>618</v>
      </c>
      <c r="C921" s="53"/>
      <c r="D921" s="53">
        <v>0</v>
      </c>
      <c r="E921" s="4">
        <v>12</v>
      </c>
      <c r="F921" s="4">
        <v>7</v>
      </c>
      <c r="G921" s="4">
        <v>18</v>
      </c>
      <c r="H921" s="53">
        <v>6.4987000000000004</v>
      </c>
      <c r="I921" s="4">
        <v>4.0000000000000002E-4</v>
      </c>
      <c r="J921" s="53">
        <v>-36.641500000000001</v>
      </c>
      <c r="K921" s="4">
        <v>1.2999999999999999E-3</v>
      </c>
      <c r="L921" s="4">
        <v>2.5000000000000001E-2</v>
      </c>
      <c r="M921" s="4">
        <v>3.0000000000000001E-3</v>
      </c>
      <c r="N921" s="4">
        <v>-5.7999999999999996E-3</v>
      </c>
      <c r="O921" s="4">
        <v>2.0000000000000001E-4</v>
      </c>
      <c r="P921" s="4">
        <v>133.01</v>
      </c>
      <c r="Q921" s="4">
        <v>0.15</v>
      </c>
      <c r="R921" s="53">
        <f t="shared" si="31"/>
        <v>0.27368312757201646</v>
      </c>
      <c r="S921" s="22">
        <f t="shared" si="32"/>
        <v>3.0864197530864197E-4</v>
      </c>
    </row>
    <row r="922" spans="1:19" ht="16">
      <c r="A922" s="52" t="s">
        <v>333</v>
      </c>
      <c r="B922" s="53" t="s">
        <v>619</v>
      </c>
      <c r="C922" s="53"/>
      <c r="D922" s="53">
        <v>0</v>
      </c>
      <c r="E922" s="4">
        <v>12</v>
      </c>
      <c r="F922" s="4">
        <v>7</v>
      </c>
      <c r="G922" s="4">
        <v>18</v>
      </c>
      <c r="H922" s="53">
        <v>6.4987000000000004</v>
      </c>
      <c r="I922" s="4">
        <v>4.0000000000000002E-4</v>
      </c>
      <c r="J922" s="53">
        <v>-36.641500000000001</v>
      </c>
      <c r="K922" s="4">
        <v>1.2999999999999999E-3</v>
      </c>
      <c r="L922" s="4">
        <v>2.5000000000000001E-2</v>
      </c>
      <c r="M922" s="4">
        <v>3.0000000000000001E-3</v>
      </c>
      <c r="N922" s="4">
        <v>-5.7999999999999996E-3</v>
      </c>
      <c r="O922" s="4">
        <v>2.0000000000000001E-4</v>
      </c>
      <c r="P922" s="4">
        <v>133.01</v>
      </c>
      <c r="Q922" s="4">
        <v>0.15</v>
      </c>
      <c r="R922" s="53">
        <f t="shared" si="31"/>
        <v>0.27368312757201646</v>
      </c>
      <c r="S922" s="22">
        <f t="shared" si="32"/>
        <v>3.0864197530864197E-4</v>
      </c>
    </row>
    <row r="923" spans="1:19" ht="16">
      <c r="A923" s="52" t="s">
        <v>334</v>
      </c>
      <c r="B923" s="53" t="s">
        <v>620</v>
      </c>
      <c r="C923" s="53"/>
      <c r="D923" s="53">
        <v>0</v>
      </c>
      <c r="E923" s="4">
        <v>12</v>
      </c>
      <c r="F923" s="4">
        <v>7</v>
      </c>
      <c r="G923" s="4">
        <v>18</v>
      </c>
      <c r="H923" s="53">
        <v>6.4987000000000004</v>
      </c>
      <c r="I923" s="4">
        <v>4.0000000000000002E-4</v>
      </c>
      <c r="J923" s="53">
        <v>-36.641500000000001</v>
      </c>
      <c r="K923" s="4">
        <v>1.2999999999999999E-3</v>
      </c>
      <c r="L923" s="4">
        <v>2.5000000000000001E-2</v>
      </c>
      <c r="M923" s="4">
        <v>3.0000000000000001E-3</v>
      </c>
      <c r="N923" s="4">
        <v>-5.7999999999999996E-3</v>
      </c>
      <c r="O923" s="4">
        <v>2.0000000000000001E-4</v>
      </c>
      <c r="P923" s="4">
        <v>133.01</v>
      </c>
      <c r="Q923" s="4">
        <v>0.15</v>
      </c>
      <c r="R923" s="53">
        <f t="shared" si="31"/>
        <v>0.27368312757201646</v>
      </c>
      <c r="S923" s="22">
        <f t="shared" si="32"/>
        <v>3.0864197530864197E-4</v>
      </c>
    </row>
    <row r="924" spans="1:19" ht="16">
      <c r="A924" s="52" t="s">
        <v>335</v>
      </c>
      <c r="B924" s="53" t="s">
        <v>621</v>
      </c>
      <c r="C924" s="53"/>
      <c r="D924" s="53">
        <v>0</v>
      </c>
      <c r="E924" s="4">
        <v>12</v>
      </c>
      <c r="F924" s="4">
        <v>7</v>
      </c>
      <c r="G924" s="4">
        <v>18</v>
      </c>
      <c r="H924" s="53">
        <v>6.4987000000000004</v>
      </c>
      <c r="I924" s="4">
        <v>4.0000000000000002E-4</v>
      </c>
      <c r="J924" s="53">
        <v>-36.641500000000001</v>
      </c>
      <c r="K924" s="4">
        <v>1.2999999999999999E-3</v>
      </c>
      <c r="L924" s="4">
        <v>2.5000000000000001E-2</v>
      </c>
      <c r="M924" s="4">
        <v>3.0000000000000001E-3</v>
      </c>
      <c r="N924" s="4">
        <v>-5.7999999999999996E-3</v>
      </c>
      <c r="O924" s="4">
        <v>2.0000000000000001E-4</v>
      </c>
      <c r="P924" s="4">
        <v>133.01</v>
      </c>
      <c r="Q924" s="4">
        <v>0.15</v>
      </c>
      <c r="R924" s="53">
        <f t="shared" si="31"/>
        <v>0.27368312757201646</v>
      </c>
      <c r="S924" s="22">
        <f t="shared" si="32"/>
        <v>3.0864197530864197E-4</v>
      </c>
    </row>
    <row r="925" spans="1:19" ht="16">
      <c r="A925" s="52" t="s">
        <v>336</v>
      </c>
      <c r="B925" s="53" t="s">
        <v>622</v>
      </c>
      <c r="C925" s="53"/>
      <c r="D925" s="53">
        <v>0</v>
      </c>
      <c r="E925" s="4">
        <v>12</v>
      </c>
      <c r="F925" s="4">
        <v>7</v>
      </c>
      <c r="G925" s="4">
        <v>18</v>
      </c>
      <c r="H925" s="53">
        <v>6.4987000000000004</v>
      </c>
      <c r="I925" s="4">
        <v>4.0000000000000002E-4</v>
      </c>
      <c r="J925" s="53">
        <v>-36.641500000000001</v>
      </c>
      <c r="K925" s="4">
        <v>1.2999999999999999E-3</v>
      </c>
      <c r="L925" s="4">
        <v>2.5000000000000001E-2</v>
      </c>
      <c r="M925" s="4">
        <v>3.0000000000000001E-3</v>
      </c>
      <c r="N925" s="4">
        <v>-5.7999999999999996E-3</v>
      </c>
      <c r="O925" s="4">
        <v>2.0000000000000001E-4</v>
      </c>
      <c r="P925" s="4">
        <v>133.01</v>
      </c>
      <c r="Q925" s="4">
        <v>0.15</v>
      </c>
      <c r="R925" s="53">
        <f t="shared" si="31"/>
        <v>0.27368312757201646</v>
      </c>
      <c r="S925" s="22">
        <f t="shared" si="32"/>
        <v>3.0864197530864197E-4</v>
      </c>
    </row>
    <row r="926" spans="1:19" ht="16">
      <c r="A926" s="52" t="s">
        <v>337</v>
      </c>
      <c r="B926" s="53" t="s">
        <v>623</v>
      </c>
      <c r="C926" s="53"/>
      <c r="D926" s="53">
        <v>0</v>
      </c>
      <c r="E926" s="4">
        <v>12</v>
      </c>
      <c r="F926" s="4">
        <v>7</v>
      </c>
      <c r="G926" s="4">
        <v>18</v>
      </c>
      <c r="H926" s="53">
        <v>6.4987000000000004</v>
      </c>
      <c r="I926" s="4">
        <v>4.0000000000000002E-4</v>
      </c>
      <c r="J926" s="53">
        <v>-36.641500000000001</v>
      </c>
      <c r="K926" s="4">
        <v>1.2999999999999999E-3</v>
      </c>
      <c r="L926" s="4">
        <v>2.5000000000000001E-2</v>
      </c>
      <c r="M926" s="4">
        <v>3.0000000000000001E-3</v>
      </c>
      <c r="N926" s="4">
        <v>-5.7999999999999996E-3</v>
      </c>
      <c r="O926" s="4">
        <v>2.0000000000000001E-4</v>
      </c>
      <c r="P926" s="4">
        <v>133.01</v>
      </c>
      <c r="Q926" s="4">
        <v>0.15</v>
      </c>
      <c r="R926" s="53">
        <f t="shared" si="31"/>
        <v>0.27368312757201646</v>
      </c>
      <c r="S926" s="22">
        <f t="shared" si="32"/>
        <v>3.0864197530864197E-4</v>
      </c>
    </row>
    <row r="927" spans="1:19" ht="16">
      <c r="A927" s="52" t="s">
        <v>338</v>
      </c>
      <c r="B927" s="53" t="s">
        <v>624</v>
      </c>
      <c r="C927" s="53"/>
      <c r="D927" s="53">
        <v>0</v>
      </c>
      <c r="E927" s="4">
        <v>12</v>
      </c>
      <c r="F927" s="4">
        <v>7</v>
      </c>
      <c r="G927" s="4">
        <v>18</v>
      </c>
      <c r="H927" s="53">
        <v>6.4987000000000004</v>
      </c>
      <c r="I927" s="4">
        <v>4.0000000000000002E-4</v>
      </c>
      <c r="J927" s="53">
        <v>-36.641500000000001</v>
      </c>
      <c r="K927" s="4">
        <v>1.2999999999999999E-3</v>
      </c>
      <c r="L927" s="4">
        <v>2.5000000000000001E-2</v>
      </c>
      <c r="M927" s="4">
        <v>3.0000000000000001E-3</v>
      </c>
      <c r="N927" s="4">
        <v>-5.7999999999999996E-3</v>
      </c>
      <c r="O927" s="4">
        <v>2.0000000000000001E-4</v>
      </c>
      <c r="P927" s="4">
        <v>133.01</v>
      </c>
      <c r="Q927" s="4">
        <v>0.15</v>
      </c>
      <c r="R927" s="53">
        <f t="shared" si="31"/>
        <v>0.27368312757201646</v>
      </c>
      <c r="S927" s="22">
        <f t="shared" si="32"/>
        <v>3.0864197530864197E-4</v>
      </c>
    </row>
    <row r="928" spans="1:19" ht="16">
      <c r="A928" s="52" t="s">
        <v>339</v>
      </c>
      <c r="B928" s="53" t="s">
        <v>625</v>
      </c>
      <c r="C928" s="53"/>
      <c r="D928" s="53">
        <v>0</v>
      </c>
      <c r="E928" s="4">
        <v>12</v>
      </c>
      <c r="F928" s="4">
        <v>7</v>
      </c>
      <c r="G928" s="4">
        <v>18</v>
      </c>
      <c r="H928" s="53">
        <v>6.4987000000000004</v>
      </c>
      <c r="I928" s="4">
        <v>4.0000000000000002E-4</v>
      </c>
      <c r="J928" s="53">
        <v>-36.641500000000001</v>
      </c>
      <c r="K928" s="4">
        <v>1.2999999999999999E-3</v>
      </c>
      <c r="L928" s="4">
        <v>2.5000000000000001E-2</v>
      </c>
      <c r="M928" s="4">
        <v>3.0000000000000001E-3</v>
      </c>
      <c r="N928" s="4">
        <v>-5.7999999999999996E-3</v>
      </c>
      <c r="O928" s="4">
        <v>2.0000000000000001E-4</v>
      </c>
      <c r="P928" s="4">
        <v>133.01</v>
      </c>
      <c r="Q928" s="4">
        <v>0.15</v>
      </c>
      <c r="R928" s="53">
        <f t="shared" si="31"/>
        <v>0.27368312757201646</v>
      </c>
      <c r="S928" s="22">
        <f t="shared" si="32"/>
        <v>3.0864197530864197E-4</v>
      </c>
    </row>
    <row r="929" spans="1:19" ht="16">
      <c r="A929" s="52" t="s">
        <v>340</v>
      </c>
      <c r="B929" s="53" t="s">
        <v>626</v>
      </c>
      <c r="C929" s="53"/>
      <c r="D929" s="53">
        <v>0</v>
      </c>
      <c r="E929" s="4">
        <v>12</v>
      </c>
      <c r="F929" s="4">
        <v>7</v>
      </c>
      <c r="G929" s="4">
        <v>18</v>
      </c>
      <c r="H929" s="53">
        <v>6.4987000000000004</v>
      </c>
      <c r="I929" s="4">
        <v>4.0000000000000002E-4</v>
      </c>
      <c r="J929" s="53">
        <v>-36.641500000000001</v>
      </c>
      <c r="K929" s="4">
        <v>1.2999999999999999E-3</v>
      </c>
      <c r="L929" s="4">
        <v>2.5000000000000001E-2</v>
      </c>
      <c r="M929" s="4">
        <v>3.0000000000000001E-3</v>
      </c>
      <c r="N929" s="4">
        <v>-5.7999999999999996E-3</v>
      </c>
      <c r="O929" s="4">
        <v>2.0000000000000001E-4</v>
      </c>
      <c r="P929" s="4">
        <v>133.01</v>
      </c>
      <c r="Q929" s="4">
        <v>0.15</v>
      </c>
      <c r="R929" s="53">
        <f t="shared" si="31"/>
        <v>0.27368312757201646</v>
      </c>
      <c r="S929" s="22">
        <f t="shared" si="32"/>
        <v>3.0864197530864197E-4</v>
      </c>
    </row>
    <row r="930" spans="1:19" ht="16">
      <c r="A930" s="52" t="s">
        <v>341</v>
      </c>
      <c r="B930" s="53" t="s">
        <v>627</v>
      </c>
      <c r="C930" s="53"/>
      <c r="D930" s="53">
        <v>0</v>
      </c>
      <c r="E930" s="4">
        <v>12</v>
      </c>
      <c r="F930" s="4">
        <v>7</v>
      </c>
      <c r="G930" s="4">
        <v>18</v>
      </c>
      <c r="H930" s="53">
        <v>6.4987000000000004</v>
      </c>
      <c r="I930" s="4">
        <v>4.0000000000000002E-4</v>
      </c>
      <c r="J930" s="53">
        <v>-36.641500000000001</v>
      </c>
      <c r="K930" s="4">
        <v>1.2999999999999999E-3</v>
      </c>
      <c r="L930" s="4">
        <v>2.5000000000000001E-2</v>
      </c>
      <c r="M930" s="4">
        <v>3.0000000000000001E-3</v>
      </c>
      <c r="N930" s="4">
        <v>-5.7999999999999996E-3</v>
      </c>
      <c r="O930" s="4">
        <v>2.0000000000000001E-4</v>
      </c>
      <c r="P930" s="4">
        <v>133.01</v>
      </c>
      <c r="Q930" s="4">
        <v>0.15</v>
      </c>
      <c r="R930" s="53">
        <f t="shared" si="31"/>
        <v>0.27368312757201646</v>
      </c>
      <c r="S930" s="22">
        <f t="shared" si="32"/>
        <v>3.0864197530864197E-4</v>
      </c>
    </row>
    <row r="931" spans="1:19" ht="16">
      <c r="A931" s="52" t="s">
        <v>342</v>
      </c>
      <c r="B931" s="53" t="s">
        <v>628</v>
      </c>
      <c r="C931" s="53"/>
      <c r="D931" s="53">
        <v>0</v>
      </c>
      <c r="E931" s="4">
        <v>12</v>
      </c>
      <c r="F931" s="4">
        <v>7</v>
      </c>
      <c r="G931" s="4">
        <v>18</v>
      </c>
      <c r="H931" s="53">
        <v>6.4987000000000004</v>
      </c>
      <c r="I931" s="4">
        <v>4.0000000000000002E-4</v>
      </c>
      <c r="J931" s="53">
        <v>-36.641500000000001</v>
      </c>
      <c r="K931" s="4">
        <v>1.2999999999999999E-3</v>
      </c>
      <c r="L931" s="4">
        <v>2.5000000000000001E-2</v>
      </c>
      <c r="M931" s="4">
        <v>3.0000000000000001E-3</v>
      </c>
      <c r="N931" s="4">
        <v>-5.7999999999999996E-3</v>
      </c>
      <c r="O931" s="4">
        <v>2.0000000000000001E-4</v>
      </c>
      <c r="P931" s="4">
        <v>133.01</v>
      </c>
      <c r="Q931" s="4">
        <v>0.15</v>
      </c>
      <c r="R931" s="53">
        <f t="shared" si="31"/>
        <v>0.27368312757201646</v>
      </c>
      <c r="S931" s="22">
        <f t="shared" si="32"/>
        <v>3.0864197530864197E-4</v>
      </c>
    </row>
    <row r="932" spans="1:19" ht="16">
      <c r="A932" s="52" t="s">
        <v>343</v>
      </c>
      <c r="B932" s="53" t="s">
        <v>629</v>
      </c>
      <c r="C932" s="53"/>
      <c r="D932" s="53">
        <v>0</v>
      </c>
      <c r="E932" s="4">
        <v>12</v>
      </c>
      <c r="F932" s="4">
        <v>7</v>
      </c>
      <c r="G932" s="4">
        <v>18</v>
      </c>
      <c r="H932" s="53">
        <v>6.4987000000000004</v>
      </c>
      <c r="I932" s="4">
        <v>4.0000000000000002E-4</v>
      </c>
      <c r="J932" s="53">
        <v>-36.641500000000001</v>
      </c>
      <c r="K932" s="4">
        <v>1.2999999999999999E-3</v>
      </c>
      <c r="L932" s="4">
        <v>2.5000000000000001E-2</v>
      </c>
      <c r="M932" s="4">
        <v>3.0000000000000001E-3</v>
      </c>
      <c r="N932" s="4">
        <v>-5.7999999999999996E-3</v>
      </c>
      <c r="O932" s="4">
        <v>2.0000000000000001E-4</v>
      </c>
      <c r="P932" s="4">
        <v>133.01</v>
      </c>
      <c r="Q932" s="4">
        <v>0.15</v>
      </c>
      <c r="R932" s="53">
        <f t="shared" si="31"/>
        <v>0.27368312757201646</v>
      </c>
      <c r="S932" s="22">
        <f t="shared" si="32"/>
        <v>3.0864197530864197E-4</v>
      </c>
    </row>
    <row r="933" spans="1:19" ht="16">
      <c r="A933" s="52" t="s">
        <v>344</v>
      </c>
      <c r="B933" s="53" t="s">
        <v>630</v>
      </c>
      <c r="C933" s="53"/>
      <c r="D933" s="53">
        <v>0</v>
      </c>
      <c r="E933" s="4">
        <v>12</v>
      </c>
      <c r="F933" s="4">
        <v>7</v>
      </c>
      <c r="G933" s="4">
        <v>18</v>
      </c>
      <c r="H933" s="53">
        <v>6.4987000000000004</v>
      </c>
      <c r="I933" s="4">
        <v>4.0000000000000002E-4</v>
      </c>
      <c r="J933" s="53">
        <v>-36.641500000000001</v>
      </c>
      <c r="K933" s="4">
        <v>1.2999999999999999E-3</v>
      </c>
      <c r="L933" s="4">
        <v>2.5000000000000001E-2</v>
      </c>
      <c r="M933" s="4">
        <v>3.0000000000000001E-3</v>
      </c>
      <c r="N933" s="4">
        <v>-5.7999999999999996E-3</v>
      </c>
      <c r="O933" s="4">
        <v>2.0000000000000001E-4</v>
      </c>
      <c r="P933" s="4">
        <v>133.01</v>
      </c>
      <c r="Q933" s="4">
        <v>0.15</v>
      </c>
      <c r="R933" s="53">
        <f t="shared" si="31"/>
        <v>0.27368312757201646</v>
      </c>
      <c r="S933" s="22">
        <f t="shared" si="32"/>
        <v>3.0864197530864197E-4</v>
      </c>
    </row>
    <row r="934" spans="1:19" ht="16">
      <c r="A934" s="52" t="s">
        <v>345</v>
      </c>
      <c r="B934" s="53" t="s">
        <v>631</v>
      </c>
      <c r="C934" s="53"/>
      <c r="D934" s="53">
        <v>0</v>
      </c>
      <c r="E934" s="4">
        <v>12</v>
      </c>
      <c r="F934" s="4">
        <v>7</v>
      </c>
      <c r="G934" s="4">
        <v>18</v>
      </c>
      <c r="H934" s="53">
        <v>6.4987000000000004</v>
      </c>
      <c r="I934" s="4">
        <v>4.0000000000000002E-4</v>
      </c>
      <c r="J934" s="53">
        <v>-36.641500000000001</v>
      </c>
      <c r="K934" s="4">
        <v>1.2999999999999999E-3</v>
      </c>
      <c r="L934" s="4">
        <v>2.5000000000000001E-2</v>
      </c>
      <c r="M934" s="4">
        <v>3.0000000000000001E-3</v>
      </c>
      <c r="N934" s="4">
        <v>-5.7999999999999996E-3</v>
      </c>
      <c r="O934" s="4">
        <v>2.0000000000000001E-4</v>
      </c>
      <c r="P934" s="4">
        <v>133.01</v>
      </c>
      <c r="Q934" s="4">
        <v>0.15</v>
      </c>
      <c r="R934" s="53">
        <f t="shared" si="31"/>
        <v>0.27368312757201646</v>
      </c>
      <c r="S934" s="22">
        <f t="shared" si="32"/>
        <v>3.0864197530864197E-4</v>
      </c>
    </row>
    <row r="935" spans="1:19" ht="16">
      <c r="A935" s="52" t="s">
        <v>346</v>
      </c>
      <c r="B935" s="53" t="s">
        <v>632</v>
      </c>
      <c r="C935" s="53"/>
      <c r="D935" s="53">
        <v>0</v>
      </c>
      <c r="E935" s="4">
        <v>12</v>
      </c>
      <c r="F935" s="4">
        <v>7</v>
      </c>
      <c r="G935" s="4">
        <v>18</v>
      </c>
      <c r="H935" s="53">
        <v>6.4987000000000004</v>
      </c>
      <c r="I935" s="4">
        <v>4.0000000000000002E-4</v>
      </c>
      <c r="J935" s="53">
        <v>-36.641500000000001</v>
      </c>
      <c r="K935" s="4">
        <v>1.2999999999999999E-3</v>
      </c>
      <c r="L935" s="4">
        <v>2.5000000000000001E-2</v>
      </c>
      <c r="M935" s="4">
        <v>3.0000000000000001E-3</v>
      </c>
      <c r="N935" s="4">
        <v>-5.7999999999999996E-3</v>
      </c>
      <c r="O935" s="4">
        <v>2.0000000000000001E-4</v>
      </c>
      <c r="P935" s="4">
        <v>133.01</v>
      </c>
      <c r="Q935" s="4">
        <v>0.15</v>
      </c>
      <c r="R935" s="53">
        <f t="shared" si="31"/>
        <v>0.27368312757201646</v>
      </c>
      <c r="S935" s="22">
        <f t="shared" si="32"/>
        <v>3.0864197530864197E-4</v>
      </c>
    </row>
    <row r="936" spans="1:19" ht="16">
      <c r="A936" s="52" t="s">
        <v>347</v>
      </c>
      <c r="B936" s="53" t="s">
        <v>633</v>
      </c>
      <c r="C936" s="53"/>
      <c r="D936" s="53">
        <v>0</v>
      </c>
      <c r="E936" s="4">
        <v>12</v>
      </c>
      <c r="F936" s="4">
        <v>7</v>
      </c>
      <c r="G936" s="4">
        <v>18</v>
      </c>
      <c r="H936" s="53">
        <v>6.4987000000000004</v>
      </c>
      <c r="I936" s="4">
        <v>4.0000000000000002E-4</v>
      </c>
      <c r="J936" s="53">
        <v>-36.641500000000001</v>
      </c>
      <c r="K936" s="4">
        <v>1.2999999999999999E-3</v>
      </c>
      <c r="L936" s="4">
        <v>2.5000000000000001E-2</v>
      </c>
      <c r="M936" s="4">
        <v>3.0000000000000001E-3</v>
      </c>
      <c r="N936" s="4">
        <v>-5.7999999999999996E-3</v>
      </c>
      <c r="O936" s="4">
        <v>2.0000000000000001E-4</v>
      </c>
      <c r="P936" s="4">
        <v>133.01</v>
      </c>
      <c r="Q936" s="4">
        <v>0.15</v>
      </c>
      <c r="R936" s="53">
        <f t="shared" si="31"/>
        <v>0.27368312757201646</v>
      </c>
      <c r="S936" s="22">
        <f t="shared" si="32"/>
        <v>3.0864197530864197E-4</v>
      </c>
    </row>
    <row r="937" spans="1:19" ht="16">
      <c r="A937" s="52" t="s">
        <v>348</v>
      </c>
      <c r="B937" s="53" t="s">
        <v>634</v>
      </c>
      <c r="C937" s="53"/>
      <c r="D937" s="53">
        <v>0</v>
      </c>
      <c r="E937" s="4">
        <v>12</v>
      </c>
      <c r="F937" s="4">
        <v>7</v>
      </c>
      <c r="G937" s="4">
        <v>18</v>
      </c>
      <c r="H937" s="53">
        <v>6.4987000000000004</v>
      </c>
      <c r="I937" s="4">
        <v>4.0000000000000002E-4</v>
      </c>
      <c r="J937" s="53">
        <v>-36.641500000000001</v>
      </c>
      <c r="K937" s="4">
        <v>1.2999999999999999E-3</v>
      </c>
      <c r="L937" s="4">
        <v>2.5000000000000001E-2</v>
      </c>
      <c r="M937" s="4">
        <v>3.0000000000000001E-3</v>
      </c>
      <c r="N937" s="4">
        <v>-5.7999999999999996E-3</v>
      </c>
      <c r="O937" s="4">
        <v>2.0000000000000001E-4</v>
      </c>
      <c r="P937" s="4">
        <v>133.01</v>
      </c>
      <c r="Q937" s="4">
        <v>0.15</v>
      </c>
      <c r="R937" s="53">
        <f t="shared" si="31"/>
        <v>0.27368312757201646</v>
      </c>
      <c r="S937" s="22">
        <f t="shared" si="32"/>
        <v>3.0864197530864197E-4</v>
      </c>
    </row>
    <row r="938" spans="1:19" ht="16">
      <c r="A938" s="52" t="s">
        <v>349</v>
      </c>
      <c r="B938" s="53" t="s">
        <v>635</v>
      </c>
      <c r="C938" s="53"/>
      <c r="D938" s="53">
        <v>0</v>
      </c>
      <c r="E938" s="4">
        <v>12</v>
      </c>
      <c r="F938" s="4">
        <v>7</v>
      </c>
      <c r="G938" s="4">
        <v>18</v>
      </c>
      <c r="H938" s="53">
        <v>6.4987000000000004</v>
      </c>
      <c r="I938" s="4">
        <v>4.0000000000000002E-4</v>
      </c>
      <c r="J938" s="53">
        <v>-36.641500000000001</v>
      </c>
      <c r="K938" s="4">
        <v>1.2999999999999999E-3</v>
      </c>
      <c r="L938" s="4">
        <v>2.5000000000000001E-2</v>
      </c>
      <c r="M938" s="4">
        <v>3.0000000000000001E-3</v>
      </c>
      <c r="N938" s="4">
        <v>-5.7999999999999996E-3</v>
      </c>
      <c r="O938" s="4">
        <v>2.0000000000000001E-4</v>
      </c>
      <c r="P938" s="4">
        <v>133.01</v>
      </c>
      <c r="Q938" s="4">
        <v>0.15</v>
      </c>
      <c r="R938" s="53">
        <f t="shared" si="31"/>
        <v>0.27368312757201646</v>
      </c>
      <c r="S938" s="22">
        <f t="shared" si="32"/>
        <v>3.0864197530864197E-4</v>
      </c>
    </row>
    <row r="939" spans="1:19" ht="16">
      <c r="A939" s="52" t="s">
        <v>350</v>
      </c>
      <c r="B939" s="53" t="s">
        <v>636</v>
      </c>
      <c r="C939" s="53"/>
      <c r="D939" s="53">
        <v>0</v>
      </c>
      <c r="E939" s="4">
        <v>12</v>
      </c>
      <c r="F939" s="4">
        <v>7</v>
      </c>
      <c r="G939" s="4">
        <v>18</v>
      </c>
      <c r="H939" s="53">
        <v>6.4987000000000004</v>
      </c>
      <c r="I939" s="4">
        <v>4.0000000000000002E-4</v>
      </c>
      <c r="J939" s="53">
        <v>-36.641500000000001</v>
      </c>
      <c r="K939" s="4">
        <v>1.2999999999999999E-3</v>
      </c>
      <c r="L939" s="4">
        <v>2.5000000000000001E-2</v>
      </c>
      <c r="M939" s="4">
        <v>3.0000000000000001E-3</v>
      </c>
      <c r="N939" s="4">
        <v>-5.7999999999999996E-3</v>
      </c>
      <c r="O939" s="4">
        <v>2.0000000000000001E-4</v>
      </c>
      <c r="P939" s="4">
        <v>133.01</v>
      </c>
      <c r="Q939" s="4">
        <v>0.15</v>
      </c>
      <c r="R939" s="53">
        <f t="shared" si="31"/>
        <v>0.27368312757201646</v>
      </c>
      <c r="S939" s="22">
        <f t="shared" si="32"/>
        <v>3.0864197530864197E-4</v>
      </c>
    </row>
    <row r="940" spans="1:19" ht="16">
      <c r="A940" s="52" t="s">
        <v>351</v>
      </c>
      <c r="B940" s="53" t="s">
        <v>637</v>
      </c>
      <c r="C940" s="53"/>
      <c r="D940" s="53">
        <v>0</v>
      </c>
      <c r="E940" s="4">
        <v>12</v>
      </c>
      <c r="F940" s="4">
        <v>7</v>
      </c>
      <c r="G940" s="4">
        <v>18</v>
      </c>
      <c r="H940" s="53">
        <v>6.4987000000000004</v>
      </c>
      <c r="I940" s="4">
        <v>4.0000000000000002E-4</v>
      </c>
      <c r="J940" s="53">
        <v>-36.641500000000001</v>
      </c>
      <c r="K940" s="4">
        <v>1.2999999999999999E-3</v>
      </c>
      <c r="L940" s="4">
        <v>2.5000000000000001E-2</v>
      </c>
      <c r="M940" s="4">
        <v>3.0000000000000001E-3</v>
      </c>
      <c r="N940" s="4">
        <v>-5.7999999999999996E-3</v>
      </c>
      <c r="O940" s="4">
        <v>2.0000000000000001E-4</v>
      </c>
      <c r="P940" s="4">
        <v>133.01</v>
      </c>
      <c r="Q940" s="4">
        <v>0.15</v>
      </c>
      <c r="R940" s="53">
        <f t="shared" si="31"/>
        <v>0.27368312757201646</v>
      </c>
      <c r="S940" s="22">
        <f t="shared" si="32"/>
        <v>3.0864197530864197E-4</v>
      </c>
    </row>
    <row r="941" spans="1:19" ht="16">
      <c r="A941" s="52" t="s">
        <v>352</v>
      </c>
      <c r="B941" s="53" t="s">
        <v>638</v>
      </c>
      <c r="C941" s="53"/>
      <c r="D941" s="53">
        <v>0</v>
      </c>
      <c r="E941" s="4">
        <v>12</v>
      </c>
      <c r="F941" s="4">
        <v>7</v>
      </c>
      <c r="G941" s="4">
        <v>18</v>
      </c>
      <c r="H941" s="53">
        <v>6.4987000000000004</v>
      </c>
      <c r="I941" s="4">
        <v>4.0000000000000002E-4</v>
      </c>
      <c r="J941" s="53">
        <v>-36.641500000000001</v>
      </c>
      <c r="K941" s="4">
        <v>1.2999999999999999E-3</v>
      </c>
      <c r="L941" s="4">
        <v>2.5000000000000001E-2</v>
      </c>
      <c r="M941" s="4">
        <v>3.0000000000000001E-3</v>
      </c>
      <c r="N941" s="4">
        <v>-5.7999999999999996E-3</v>
      </c>
      <c r="O941" s="4">
        <v>2.0000000000000001E-4</v>
      </c>
      <c r="P941" s="4">
        <v>133.01</v>
      </c>
      <c r="Q941" s="4">
        <v>0.15</v>
      </c>
      <c r="R941" s="53">
        <f t="shared" ref="R941:R1004" si="33">P941*E941/G941^3</f>
        <v>0.27368312757201646</v>
      </c>
      <c r="S941" s="22">
        <f t="shared" ref="S941:S1004" si="34">Q941*E941/G941^3</f>
        <v>3.0864197530864197E-4</v>
      </c>
    </row>
    <row r="942" spans="1:19" ht="16">
      <c r="A942" s="52" t="s">
        <v>353</v>
      </c>
      <c r="B942" s="53" t="s">
        <v>639</v>
      </c>
      <c r="C942" s="53"/>
      <c r="D942" s="53">
        <v>0</v>
      </c>
      <c r="E942" s="4">
        <v>12</v>
      </c>
      <c r="F942" s="4">
        <v>7</v>
      </c>
      <c r="G942" s="4">
        <v>18</v>
      </c>
      <c r="H942" s="53">
        <v>6.4987000000000004</v>
      </c>
      <c r="I942" s="4">
        <v>4.0000000000000002E-4</v>
      </c>
      <c r="J942" s="53">
        <v>-36.641500000000001</v>
      </c>
      <c r="K942" s="4">
        <v>1.2999999999999999E-3</v>
      </c>
      <c r="L942" s="4">
        <v>2.5000000000000001E-2</v>
      </c>
      <c r="M942" s="4">
        <v>3.0000000000000001E-3</v>
      </c>
      <c r="N942" s="4">
        <v>-5.7999999999999996E-3</v>
      </c>
      <c r="O942" s="4">
        <v>2.0000000000000001E-4</v>
      </c>
      <c r="P942" s="4">
        <v>133.01</v>
      </c>
      <c r="Q942" s="4">
        <v>0.15</v>
      </c>
      <c r="R942" s="53">
        <f t="shared" si="33"/>
        <v>0.27368312757201646</v>
      </c>
      <c r="S942" s="22">
        <f t="shared" si="34"/>
        <v>3.0864197530864197E-4</v>
      </c>
    </row>
    <row r="943" spans="1:19" ht="16">
      <c r="A943" s="52" t="s">
        <v>354</v>
      </c>
      <c r="B943" s="53" t="s">
        <v>640</v>
      </c>
      <c r="C943" s="53"/>
      <c r="D943" s="53">
        <v>0</v>
      </c>
      <c r="E943" s="4">
        <v>12</v>
      </c>
      <c r="F943" s="4">
        <v>7</v>
      </c>
      <c r="G943" s="4">
        <v>18</v>
      </c>
      <c r="H943" s="53">
        <v>6.4987000000000004</v>
      </c>
      <c r="I943" s="4">
        <v>4.0000000000000002E-4</v>
      </c>
      <c r="J943" s="53">
        <v>-36.641500000000001</v>
      </c>
      <c r="K943" s="4">
        <v>1.2999999999999999E-3</v>
      </c>
      <c r="L943" s="4">
        <v>2.5000000000000001E-2</v>
      </c>
      <c r="M943" s="4">
        <v>3.0000000000000001E-3</v>
      </c>
      <c r="N943" s="4">
        <v>-5.7999999999999996E-3</v>
      </c>
      <c r="O943" s="4">
        <v>2.0000000000000001E-4</v>
      </c>
      <c r="P943" s="4">
        <v>133.01</v>
      </c>
      <c r="Q943" s="4">
        <v>0.15</v>
      </c>
      <c r="R943" s="53">
        <f t="shared" si="33"/>
        <v>0.27368312757201646</v>
      </c>
      <c r="S943" s="22">
        <f t="shared" si="34"/>
        <v>3.0864197530864197E-4</v>
      </c>
    </row>
    <row r="944" spans="1:19" ht="16">
      <c r="A944" s="52" t="s">
        <v>355</v>
      </c>
      <c r="B944" s="53" t="s">
        <v>641</v>
      </c>
      <c r="C944" s="53"/>
      <c r="D944" s="53">
        <v>0</v>
      </c>
      <c r="E944" s="4">
        <v>12</v>
      </c>
      <c r="F944" s="4">
        <v>7</v>
      </c>
      <c r="G944" s="4">
        <v>18</v>
      </c>
      <c r="H944" s="53">
        <v>6.4987000000000004</v>
      </c>
      <c r="I944" s="4">
        <v>4.0000000000000002E-4</v>
      </c>
      <c r="J944" s="53">
        <v>-36.641500000000001</v>
      </c>
      <c r="K944" s="4">
        <v>1.2999999999999999E-3</v>
      </c>
      <c r="L944" s="4">
        <v>2.5000000000000001E-2</v>
      </c>
      <c r="M944" s="4">
        <v>3.0000000000000001E-3</v>
      </c>
      <c r="N944" s="4">
        <v>-5.7999999999999996E-3</v>
      </c>
      <c r="O944" s="4">
        <v>2.0000000000000001E-4</v>
      </c>
      <c r="P944" s="4">
        <v>133.01</v>
      </c>
      <c r="Q944" s="4">
        <v>0.15</v>
      </c>
      <c r="R944" s="53">
        <f t="shared" si="33"/>
        <v>0.27368312757201646</v>
      </c>
      <c r="S944" s="22">
        <f t="shared" si="34"/>
        <v>3.0864197530864197E-4</v>
      </c>
    </row>
    <row r="945" spans="1:19" ht="16">
      <c r="A945" s="52" t="s">
        <v>356</v>
      </c>
      <c r="B945" s="53" t="s">
        <v>642</v>
      </c>
      <c r="C945" s="53"/>
      <c r="D945" s="53">
        <v>0</v>
      </c>
      <c r="E945" s="4">
        <v>12</v>
      </c>
      <c r="F945" s="4">
        <v>7</v>
      </c>
      <c r="G945" s="4">
        <v>18</v>
      </c>
      <c r="H945" s="53">
        <v>6.4987000000000004</v>
      </c>
      <c r="I945" s="4">
        <v>4.0000000000000002E-4</v>
      </c>
      <c r="J945" s="53">
        <v>-36.641500000000001</v>
      </c>
      <c r="K945" s="4">
        <v>1.2999999999999999E-3</v>
      </c>
      <c r="L945" s="4">
        <v>2.5000000000000001E-2</v>
      </c>
      <c r="M945" s="4">
        <v>3.0000000000000001E-3</v>
      </c>
      <c r="N945" s="4">
        <v>-5.7999999999999996E-3</v>
      </c>
      <c r="O945" s="4">
        <v>2.0000000000000001E-4</v>
      </c>
      <c r="P945" s="4">
        <v>133.01</v>
      </c>
      <c r="Q945" s="4">
        <v>0.15</v>
      </c>
      <c r="R945" s="53">
        <f t="shared" si="33"/>
        <v>0.27368312757201646</v>
      </c>
      <c r="S945" s="22">
        <f t="shared" si="34"/>
        <v>3.0864197530864197E-4</v>
      </c>
    </row>
    <row r="946" spans="1:19" ht="16">
      <c r="A946" s="52" t="s">
        <v>357</v>
      </c>
      <c r="B946" s="53" t="s">
        <v>643</v>
      </c>
      <c r="C946" s="53"/>
      <c r="D946" s="53">
        <v>0</v>
      </c>
      <c r="E946" s="4">
        <v>12</v>
      </c>
      <c r="F946" s="4">
        <v>7</v>
      </c>
      <c r="G946" s="4">
        <v>18</v>
      </c>
      <c r="H946" s="53">
        <v>6.4987000000000004</v>
      </c>
      <c r="I946" s="4">
        <v>4.0000000000000002E-4</v>
      </c>
      <c r="J946" s="53">
        <v>-36.641500000000001</v>
      </c>
      <c r="K946" s="4">
        <v>1.2999999999999999E-3</v>
      </c>
      <c r="L946" s="4">
        <v>2.5000000000000001E-2</v>
      </c>
      <c r="M946" s="4">
        <v>3.0000000000000001E-3</v>
      </c>
      <c r="N946" s="4">
        <v>-5.7999999999999996E-3</v>
      </c>
      <c r="O946" s="4">
        <v>2.0000000000000001E-4</v>
      </c>
      <c r="P946" s="4">
        <v>133.01</v>
      </c>
      <c r="Q946" s="4">
        <v>0.15</v>
      </c>
      <c r="R946" s="53">
        <f t="shared" si="33"/>
        <v>0.27368312757201646</v>
      </c>
      <c r="S946" s="22">
        <f t="shared" si="34"/>
        <v>3.0864197530864197E-4</v>
      </c>
    </row>
    <row r="947" spans="1:19" ht="16">
      <c r="A947" s="52" t="s">
        <v>358</v>
      </c>
      <c r="B947" s="53" t="s">
        <v>644</v>
      </c>
      <c r="C947" s="53"/>
      <c r="D947" s="53">
        <v>0</v>
      </c>
      <c r="E947" s="4">
        <v>12</v>
      </c>
      <c r="F947" s="4">
        <v>7</v>
      </c>
      <c r="G947" s="4">
        <v>18</v>
      </c>
      <c r="H947" s="53">
        <v>6.4987000000000004</v>
      </c>
      <c r="I947" s="4">
        <v>4.0000000000000002E-4</v>
      </c>
      <c r="J947" s="53">
        <v>-36.641500000000001</v>
      </c>
      <c r="K947" s="4">
        <v>1.2999999999999999E-3</v>
      </c>
      <c r="L947" s="4">
        <v>2.5000000000000001E-2</v>
      </c>
      <c r="M947" s="4">
        <v>3.0000000000000001E-3</v>
      </c>
      <c r="N947" s="4">
        <v>-5.7999999999999996E-3</v>
      </c>
      <c r="O947" s="4">
        <v>2.0000000000000001E-4</v>
      </c>
      <c r="P947" s="4">
        <v>133.01</v>
      </c>
      <c r="Q947" s="4">
        <v>0.15</v>
      </c>
      <c r="R947" s="53">
        <f t="shared" si="33"/>
        <v>0.27368312757201646</v>
      </c>
      <c r="S947" s="22">
        <f t="shared" si="34"/>
        <v>3.0864197530864197E-4</v>
      </c>
    </row>
    <row r="948" spans="1:19" ht="16">
      <c r="A948" s="52" t="s">
        <v>359</v>
      </c>
      <c r="B948" s="53" t="s">
        <v>645</v>
      </c>
      <c r="C948" s="53"/>
      <c r="D948" s="53">
        <v>0</v>
      </c>
      <c r="E948" s="4">
        <v>12</v>
      </c>
      <c r="F948" s="4">
        <v>7</v>
      </c>
      <c r="G948" s="4">
        <v>18</v>
      </c>
      <c r="H948" s="53">
        <v>6.4987000000000004</v>
      </c>
      <c r="I948" s="4">
        <v>4.0000000000000002E-4</v>
      </c>
      <c r="J948" s="53">
        <v>-36.641500000000001</v>
      </c>
      <c r="K948" s="4">
        <v>1.2999999999999999E-3</v>
      </c>
      <c r="L948" s="4">
        <v>2.5000000000000001E-2</v>
      </c>
      <c r="M948" s="4">
        <v>3.0000000000000001E-3</v>
      </c>
      <c r="N948" s="4">
        <v>-5.7999999999999996E-3</v>
      </c>
      <c r="O948" s="4">
        <v>2.0000000000000001E-4</v>
      </c>
      <c r="P948" s="4">
        <v>133.01</v>
      </c>
      <c r="Q948" s="4">
        <v>0.15</v>
      </c>
      <c r="R948" s="53">
        <f t="shared" si="33"/>
        <v>0.27368312757201646</v>
      </c>
      <c r="S948" s="22">
        <f t="shared" si="34"/>
        <v>3.0864197530864197E-4</v>
      </c>
    </row>
    <row r="949" spans="1:19" ht="16">
      <c r="A949" s="52" t="s">
        <v>360</v>
      </c>
      <c r="B949" s="53" t="s">
        <v>646</v>
      </c>
      <c r="C949" s="53"/>
      <c r="D949" s="53">
        <v>0</v>
      </c>
      <c r="E949" s="4">
        <v>12</v>
      </c>
      <c r="F949" s="4">
        <v>7</v>
      </c>
      <c r="G949" s="4">
        <v>18</v>
      </c>
      <c r="H949" s="53">
        <v>6.4987000000000004</v>
      </c>
      <c r="I949" s="4">
        <v>4.0000000000000002E-4</v>
      </c>
      <c r="J949" s="53">
        <v>-36.641500000000001</v>
      </c>
      <c r="K949" s="4">
        <v>1.2999999999999999E-3</v>
      </c>
      <c r="L949" s="4">
        <v>2.5000000000000001E-2</v>
      </c>
      <c r="M949" s="4">
        <v>3.0000000000000001E-3</v>
      </c>
      <c r="N949" s="4">
        <v>-5.7999999999999996E-3</v>
      </c>
      <c r="O949" s="4">
        <v>2.0000000000000001E-4</v>
      </c>
      <c r="P949" s="4">
        <v>133.01</v>
      </c>
      <c r="Q949" s="4">
        <v>0.15</v>
      </c>
      <c r="R949" s="53">
        <f t="shared" si="33"/>
        <v>0.27368312757201646</v>
      </c>
      <c r="S949" s="22">
        <f t="shared" si="34"/>
        <v>3.0864197530864197E-4</v>
      </c>
    </row>
    <row r="950" spans="1:19" ht="16">
      <c r="A950" s="52" t="s">
        <v>361</v>
      </c>
      <c r="B950" s="53" t="s">
        <v>647</v>
      </c>
      <c r="C950" s="53"/>
      <c r="D950" s="53">
        <v>0</v>
      </c>
      <c r="E950" s="4">
        <v>12</v>
      </c>
      <c r="F950" s="4">
        <v>7</v>
      </c>
      <c r="G950" s="4">
        <v>18</v>
      </c>
      <c r="H950" s="53">
        <v>6.4987000000000004</v>
      </c>
      <c r="I950" s="4">
        <v>4.0000000000000002E-4</v>
      </c>
      <c r="J950" s="53">
        <v>-36.641500000000001</v>
      </c>
      <c r="K950" s="4">
        <v>1.2999999999999999E-3</v>
      </c>
      <c r="L950" s="4">
        <v>2.5000000000000001E-2</v>
      </c>
      <c r="M950" s="4">
        <v>3.0000000000000001E-3</v>
      </c>
      <c r="N950" s="4">
        <v>-5.7999999999999996E-3</v>
      </c>
      <c r="O950" s="4">
        <v>2.0000000000000001E-4</v>
      </c>
      <c r="P950" s="4">
        <v>133.01</v>
      </c>
      <c r="Q950" s="4">
        <v>0.15</v>
      </c>
      <c r="R950" s="53">
        <f t="shared" si="33"/>
        <v>0.27368312757201646</v>
      </c>
      <c r="S950" s="22">
        <f t="shared" si="34"/>
        <v>3.0864197530864197E-4</v>
      </c>
    </row>
    <row r="951" spans="1:19" ht="16">
      <c r="A951" s="52" t="s">
        <v>362</v>
      </c>
      <c r="B951" s="53" t="s">
        <v>648</v>
      </c>
      <c r="C951" s="53"/>
      <c r="D951" s="53">
        <v>0</v>
      </c>
      <c r="E951" s="4">
        <v>12</v>
      </c>
      <c r="F951" s="4">
        <v>7</v>
      </c>
      <c r="G951" s="4">
        <v>18</v>
      </c>
      <c r="H951" s="53">
        <v>6.4987000000000004</v>
      </c>
      <c r="I951" s="4">
        <v>4.0000000000000002E-4</v>
      </c>
      <c r="J951" s="53">
        <v>-36.641500000000001</v>
      </c>
      <c r="K951" s="4">
        <v>1.2999999999999999E-3</v>
      </c>
      <c r="L951" s="4">
        <v>2.5000000000000001E-2</v>
      </c>
      <c r="M951" s="4">
        <v>3.0000000000000001E-3</v>
      </c>
      <c r="N951" s="4">
        <v>-5.7999999999999996E-3</v>
      </c>
      <c r="O951" s="4">
        <v>2.0000000000000001E-4</v>
      </c>
      <c r="P951" s="4">
        <v>133.01</v>
      </c>
      <c r="Q951" s="4">
        <v>0.15</v>
      </c>
      <c r="R951" s="53">
        <f t="shared" si="33"/>
        <v>0.27368312757201646</v>
      </c>
      <c r="S951" s="22">
        <f t="shared" si="34"/>
        <v>3.0864197530864197E-4</v>
      </c>
    </row>
    <row r="952" spans="1:19" ht="16">
      <c r="A952" s="52" t="s">
        <v>363</v>
      </c>
      <c r="B952" s="53" t="s">
        <v>649</v>
      </c>
      <c r="C952" s="53"/>
      <c r="D952" s="53">
        <v>0</v>
      </c>
      <c r="E952" s="4">
        <v>12</v>
      </c>
      <c r="F952" s="4">
        <v>7</v>
      </c>
      <c r="G952" s="4">
        <v>18</v>
      </c>
      <c r="H952" s="53">
        <v>6.4987000000000004</v>
      </c>
      <c r="I952" s="4">
        <v>4.0000000000000002E-4</v>
      </c>
      <c r="J952" s="53">
        <v>-36.641500000000001</v>
      </c>
      <c r="K952" s="4">
        <v>1.2999999999999999E-3</v>
      </c>
      <c r="L952" s="4">
        <v>2.5000000000000001E-2</v>
      </c>
      <c r="M952" s="4">
        <v>3.0000000000000001E-3</v>
      </c>
      <c r="N952" s="4">
        <v>-5.7999999999999996E-3</v>
      </c>
      <c r="O952" s="4">
        <v>2.0000000000000001E-4</v>
      </c>
      <c r="P952" s="4">
        <v>133.01</v>
      </c>
      <c r="Q952" s="4">
        <v>0.15</v>
      </c>
      <c r="R952" s="53">
        <f t="shared" si="33"/>
        <v>0.27368312757201646</v>
      </c>
      <c r="S952" s="22">
        <f t="shared" si="34"/>
        <v>3.0864197530864197E-4</v>
      </c>
    </row>
    <row r="953" spans="1:19" ht="16">
      <c r="A953" s="52" t="s">
        <v>364</v>
      </c>
      <c r="B953" s="53" t="s">
        <v>650</v>
      </c>
      <c r="C953" s="53"/>
      <c r="D953" s="53">
        <v>0</v>
      </c>
      <c r="E953" s="4">
        <v>12</v>
      </c>
      <c r="F953" s="4">
        <v>7</v>
      </c>
      <c r="G953" s="4">
        <v>18</v>
      </c>
      <c r="H953" s="53">
        <v>6.4987000000000004</v>
      </c>
      <c r="I953" s="4">
        <v>4.0000000000000002E-4</v>
      </c>
      <c r="J953" s="53">
        <v>-36.641500000000001</v>
      </c>
      <c r="K953" s="4">
        <v>1.2999999999999999E-3</v>
      </c>
      <c r="L953" s="4">
        <v>2.5000000000000001E-2</v>
      </c>
      <c r="M953" s="4">
        <v>3.0000000000000001E-3</v>
      </c>
      <c r="N953" s="4">
        <v>-5.7999999999999996E-3</v>
      </c>
      <c r="O953" s="4">
        <v>2.0000000000000001E-4</v>
      </c>
      <c r="P953" s="4">
        <v>133.01</v>
      </c>
      <c r="Q953" s="4">
        <v>0.15</v>
      </c>
      <c r="R953" s="53">
        <f t="shared" si="33"/>
        <v>0.27368312757201646</v>
      </c>
      <c r="S953" s="22">
        <f t="shared" si="34"/>
        <v>3.0864197530864197E-4</v>
      </c>
    </row>
    <row r="954" spans="1:19" ht="16">
      <c r="A954" s="52" t="s">
        <v>365</v>
      </c>
      <c r="B954" s="53" t="s">
        <v>651</v>
      </c>
      <c r="C954" s="53"/>
      <c r="D954" s="53">
        <v>0</v>
      </c>
      <c r="E954" s="4">
        <v>12</v>
      </c>
      <c r="F954" s="4">
        <v>7</v>
      </c>
      <c r="G954" s="4">
        <v>18</v>
      </c>
      <c r="H954" s="53">
        <v>6.4987000000000004</v>
      </c>
      <c r="I954" s="4">
        <v>4.0000000000000002E-4</v>
      </c>
      <c r="J954" s="53">
        <v>-36.641500000000001</v>
      </c>
      <c r="K954" s="4">
        <v>1.2999999999999999E-3</v>
      </c>
      <c r="L954" s="4">
        <v>2.5000000000000001E-2</v>
      </c>
      <c r="M954" s="4">
        <v>3.0000000000000001E-3</v>
      </c>
      <c r="N954" s="4">
        <v>-5.7999999999999996E-3</v>
      </c>
      <c r="O954" s="4">
        <v>2.0000000000000001E-4</v>
      </c>
      <c r="P954" s="4">
        <v>133.01</v>
      </c>
      <c r="Q954" s="4">
        <v>0.15</v>
      </c>
      <c r="R954" s="53">
        <f t="shared" si="33"/>
        <v>0.27368312757201646</v>
      </c>
      <c r="S954" s="22">
        <f t="shared" si="34"/>
        <v>3.0864197530864197E-4</v>
      </c>
    </row>
    <row r="955" spans="1:19" ht="16">
      <c r="A955" s="52" t="s">
        <v>366</v>
      </c>
      <c r="B955" s="53" t="s">
        <v>652</v>
      </c>
      <c r="C955" s="53"/>
      <c r="D955" s="53">
        <v>0</v>
      </c>
      <c r="E955" s="4">
        <v>12</v>
      </c>
      <c r="F955" s="4">
        <v>7</v>
      </c>
      <c r="G955" s="4">
        <v>18</v>
      </c>
      <c r="H955" s="53">
        <v>6.4987000000000004</v>
      </c>
      <c r="I955" s="4">
        <v>4.0000000000000002E-4</v>
      </c>
      <c r="J955" s="53">
        <v>-36.641500000000001</v>
      </c>
      <c r="K955" s="4">
        <v>1.2999999999999999E-3</v>
      </c>
      <c r="L955" s="4">
        <v>2.5000000000000001E-2</v>
      </c>
      <c r="M955" s="4">
        <v>3.0000000000000001E-3</v>
      </c>
      <c r="N955" s="4">
        <v>-5.7999999999999996E-3</v>
      </c>
      <c r="O955" s="4">
        <v>2.0000000000000001E-4</v>
      </c>
      <c r="P955" s="4">
        <v>133.01</v>
      </c>
      <c r="Q955" s="4">
        <v>0.15</v>
      </c>
      <c r="R955" s="53">
        <f t="shared" si="33"/>
        <v>0.27368312757201646</v>
      </c>
      <c r="S955" s="22">
        <f t="shared" si="34"/>
        <v>3.0864197530864197E-4</v>
      </c>
    </row>
    <row r="956" spans="1:19" ht="16">
      <c r="A956" s="52" t="s">
        <v>367</v>
      </c>
      <c r="B956" s="53" t="s">
        <v>653</v>
      </c>
      <c r="C956" s="53"/>
      <c r="D956" s="53">
        <v>0</v>
      </c>
      <c r="E956" s="4">
        <v>12</v>
      </c>
      <c r="F956" s="4">
        <v>7</v>
      </c>
      <c r="G956" s="4">
        <v>18</v>
      </c>
      <c r="H956" s="53">
        <v>6.4987000000000004</v>
      </c>
      <c r="I956" s="4">
        <v>4.0000000000000002E-4</v>
      </c>
      <c r="J956" s="53">
        <v>-36.641500000000001</v>
      </c>
      <c r="K956" s="4">
        <v>1.2999999999999999E-3</v>
      </c>
      <c r="L956" s="4">
        <v>2.5000000000000001E-2</v>
      </c>
      <c r="M956" s="4">
        <v>3.0000000000000001E-3</v>
      </c>
      <c r="N956" s="4">
        <v>-5.7999999999999996E-3</v>
      </c>
      <c r="O956" s="4">
        <v>2.0000000000000001E-4</v>
      </c>
      <c r="P956" s="4">
        <v>133.01</v>
      </c>
      <c r="Q956" s="4">
        <v>0.15</v>
      </c>
      <c r="R956" s="53">
        <f t="shared" si="33"/>
        <v>0.27368312757201646</v>
      </c>
      <c r="S956" s="22">
        <f t="shared" si="34"/>
        <v>3.0864197530864197E-4</v>
      </c>
    </row>
    <row r="957" spans="1:19" ht="16">
      <c r="A957" s="52" t="s">
        <v>368</v>
      </c>
      <c r="B957" s="53" t="s">
        <v>654</v>
      </c>
      <c r="C957" s="53"/>
      <c r="D957" s="53">
        <v>0</v>
      </c>
      <c r="E957" s="4">
        <v>12</v>
      </c>
      <c r="F957" s="4">
        <v>7</v>
      </c>
      <c r="G957" s="4">
        <v>18</v>
      </c>
      <c r="H957" s="53">
        <v>6.4987000000000004</v>
      </c>
      <c r="I957" s="4">
        <v>4.0000000000000002E-4</v>
      </c>
      <c r="J957" s="53">
        <v>-36.641500000000001</v>
      </c>
      <c r="K957" s="4">
        <v>1.2999999999999999E-3</v>
      </c>
      <c r="L957" s="4">
        <v>2.5000000000000001E-2</v>
      </c>
      <c r="M957" s="4">
        <v>3.0000000000000001E-3</v>
      </c>
      <c r="N957" s="4">
        <v>-5.7999999999999996E-3</v>
      </c>
      <c r="O957" s="4">
        <v>2.0000000000000001E-4</v>
      </c>
      <c r="P957" s="4">
        <v>133.01</v>
      </c>
      <c r="Q957" s="4">
        <v>0.15</v>
      </c>
      <c r="R957" s="53">
        <f t="shared" si="33"/>
        <v>0.27368312757201646</v>
      </c>
      <c r="S957" s="22">
        <f t="shared" si="34"/>
        <v>3.0864197530864197E-4</v>
      </c>
    </row>
    <row r="958" spans="1:19" ht="16">
      <c r="A958" s="52" t="s">
        <v>369</v>
      </c>
      <c r="B958" s="53" t="s">
        <v>655</v>
      </c>
      <c r="C958" s="53"/>
      <c r="D958" s="53">
        <v>0</v>
      </c>
      <c r="E958" s="4">
        <v>12</v>
      </c>
      <c r="F958" s="4">
        <v>7</v>
      </c>
      <c r="G958" s="4">
        <v>18</v>
      </c>
      <c r="H958" s="53">
        <v>6.4987000000000004</v>
      </c>
      <c r="I958" s="4">
        <v>4.0000000000000002E-4</v>
      </c>
      <c r="J958" s="53">
        <v>-36.641500000000001</v>
      </c>
      <c r="K958" s="4">
        <v>1.2999999999999999E-3</v>
      </c>
      <c r="L958" s="4">
        <v>2.5000000000000001E-2</v>
      </c>
      <c r="M958" s="4">
        <v>3.0000000000000001E-3</v>
      </c>
      <c r="N958" s="4">
        <v>-5.7999999999999996E-3</v>
      </c>
      <c r="O958" s="4">
        <v>2.0000000000000001E-4</v>
      </c>
      <c r="P958" s="4">
        <v>133.01</v>
      </c>
      <c r="Q958" s="4">
        <v>0.15</v>
      </c>
      <c r="R958" s="53">
        <f t="shared" si="33"/>
        <v>0.27368312757201646</v>
      </c>
      <c r="S958" s="22">
        <f t="shared" si="34"/>
        <v>3.0864197530864197E-4</v>
      </c>
    </row>
    <row r="959" spans="1:19" ht="16">
      <c r="A959" s="52" t="s">
        <v>370</v>
      </c>
      <c r="B959" s="53" t="s">
        <v>656</v>
      </c>
      <c r="C959" s="53"/>
      <c r="D959" s="53">
        <v>0</v>
      </c>
      <c r="E959" s="4">
        <v>12</v>
      </c>
      <c r="F959" s="4">
        <v>7</v>
      </c>
      <c r="G959" s="4">
        <v>18</v>
      </c>
      <c r="H959" s="53">
        <v>6.4987000000000004</v>
      </c>
      <c r="I959" s="4">
        <v>4.0000000000000002E-4</v>
      </c>
      <c r="J959" s="53">
        <v>-36.641500000000001</v>
      </c>
      <c r="K959" s="4">
        <v>1.2999999999999999E-3</v>
      </c>
      <c r="L959" s="4">
        <v>2.5000000000000001E-2</v>
      </c>
      <c r="M959" s="4">
        <v>3.0000000000000001E-3</v>
      </c>
      <c r="N959" s="4">
        <v>-5.7999999999999996E-3</v>
      </c>
      <c r="O959" s="4">
        <v>2.0000000000000001E-4</v>
      </c>
      <c r="P959" s="4">
        <v>133.01</v>
      </c>
      <c r="Q959" s="4">
        <v>0.15</v>
      </c>
      <c r="R959" s="53">
        <f t="shared" si="33"/>
        <v>0.27368312757201646</v>
      </c>
      <c r="S959" s="22">
        <f t="shared" si="34"/>
        <v>3.0864197530864197E-4</v>
      </c>
    </row>
    <row r="960" spans="1:19" ht="16">
      <c r="A960" s="52" t="s">
        <v>371</v>
      </c>
      <c r="B960" s="53" t="s">
        <v>657</v>
      </c>
      <c r="C960" s="53"/>
      <c r="D960" s="53">
        <v>0</v>
      </c>
      <c r="E960" s="4">
        <v>12</v>
      </c>
      <c r="F960" s="4">
        <v>7</v>
      </c>
      <c r="G960" s="4">
        <v>18</v>
      </c>
      <c r="H960" s="53">
        <v>6.4987000000000004</v>
      </c>
      <c r="I960" s="4">
        <v>4.0000000000000002E-4</v>
      </c>
      <c r="J960" s="53">
        <v>-36.641500000000001</v>
      </c>
      <c r="K960" s="4">
        <v>1.2999999999999999E-3</v>
      </c>
      <c r="L960" s="4">
        <v>2.5000000000000001E-2</v>
      </c>
      <c r="M960" s="4">
        <v>3.0000000000000001E-3</v>
      </c>
      <c r="N960" s="4">
        <v>-5.7999999999999996E-3</v>
      </c>
      <c r="O960" s="4">
        <v>2.0000000000000001E-4</v>
      </c>
      <c r="P960" s="4">
        <v>133.01</v>
      </c>
      <c r="Q960" s="4">
        <v>0.15</v>
      </c>
      <c r="R960" s="53">
        <f t="shared" si="33"/>
        <v>0.27368312757201646</v>
      </c>
      <c r="S960" s="22">
        <f t="shared" si="34"/>
        <v>3.0864197530864197E-4</v>
      </c>
    </row>
    <row r="961" spans="1:19" ht="16">
      <c r="A961" s="52" t="s">
        <v>372</v>
      </c>
      <c r="B961" s="53" t="s">
        <v>658</v>
      </c>
      <c r="C961" s="53"/>
      <c r="D961" s="53">
        <v>0</v>
      </c>
      <c r="E961" s="4">
        <v>12</v>
      </c>
      <c r="F961" s="4">
        <v>7</v>
      </c>
      <c r="G961" s="4">
        <v>18</v>
      </c>
      <c r="H961" s="53">
        <v>6.4987000000000004</v>
      </c>
      <c r="I961" s="4">
        <v>4.0000000000000002E-4</v>
      </c>
      <c r="J961" s="53">
        <v>-36.641500000000001</v>
      </c>
      <c r="K961" s="4">
        <v>1.2999999999999999E-3</v>
      </c>
      <c r="L961" s="4">
        <v>2.5000000000000001E-2</v>
      </c>
      <c r="M961" s="4">
        <v>3.0000000000000001E-3</v>
      </c>
      <c r="N961" s="4">
        <v>-5.7999999999999996E-3</v>
      </c>
      <c r="O961" s="4">
        <v>2.0000000000000001E-4</v>
      </c>
      <c r="P961" s="4">
        <v>133.01</v>
      </c>
      <c r="Q961" s="4">
        <v>0.15</v>
      </c>
      <c r="R961" s="53">
        <f t="shared" si="33"/>
        <v>0.27368312757201646</v>
      </c>
      <c r="S961" s="22">
        <f t="shared" si="34"/>
        <v>3.0864197530864197E-4</v>
      </c>
    </row>
    <row r="962" spans="1:19" ht="16">
      <c r="A962" s="52" t="s">
        <v>373</v>
      </c>
      <c r="B962" s="53" t="s">
        <v>659</v>
      </c>
      <c r="C962" s="53"/>
      <c r="D962" s="53">
        <v>0</v>
      </c>
      <c r="E962" s="4">
        <v>12</v>
      </c>
      <c r="F962" s="4">
        <v>7</v>
      </c>
      <c r="G962" s="4">
        <v>18</v>
      </c>
      <c r="H962" s="53">
        <v>6.4987000000000004</v>
      </c>
      <c r="I962" s="4">
        <v>4.0000000000000002E-4</v>
      </c>
      <c r="J962" s="53">
        <v>-36.641500000000001</v>
      </c>
      <c r="K962" s="4">
        <v>1.2999999999999999E-3</v>
      </c>
      <c r="L962" s="4">
        <v>2.5000000000000001E-2</v>
      </c>
      <c r="M962" s="4">
        <v>3.0000000000000001E-3</v>
      </c>
      <c r="N962" s="4">
        <v>-5.7999999999999996E-3</v>
      </c>
      <c r="O962" s="4">
        <v>2.0000000000000001E-4</v>
      </c>
      <c r="P962" s="4">
        <v>133.01</v>
      </c>
      <c r="Q962" s="4">
        <v>0.15</v>
      </c>
      <c r="R962" s="53">
        <f t="shared" si="33"/>
        <v>0.27368312757201646</v>
      </c>
      <c r="S962" s="22">
        <f t="shared" si="34"/>
        <v>3.0864197530864197E-4</v>
      </c>
    </row>
    <row r="963" spans="1:19" ht="16">
      <c r="A963" s="52" t="s">
        <v>374</v>
      </c>
      <c r="B963" s="53" t="s">
        <v>660</v>
      </c>
      <c r="C963" s="53"/>
      <c r="D963" s="53">
        <v>0</v>
      </c>
      <c r="E963" s="4">
        <v>12</v>
      </c>
      <c r="F963" s="4">
        <v>7</v>
      </c>
      <c r="G963" s="4">
        <v>18</v>
      </c>
      <c r="H963" s="53">
        <v>6.4987000000000004</v>
      </c>
      <c r="I963" s="4">
        <v>4.0000000000000002E-4</v>
      </c>
      <c r="J963" s="53">
        <v>-36.641500000000001</v>
      </c>
      <c r="K963" s="4">
        <v>1.2999999999999999E-3</v>
      </c>
      <c r="L963" s="4">
        <v>2.5000000000000001E-2</v>
      </c>
      <c r="M963" s="4">
        <v>3.0000000000000001E-3</v>
      </c>
      <c r="N963" s="4">
        <v>-5.7999999999999996E-3</v>
      </c>
      <c r="O963" s="4">
        <v>2.0000000000000001E-4</v>
      </c>
      <c r="P963" s="4">
        <v>133.01</v>
      </c>
      <c r="Q963" s="4">
        <v>0.15</v>
      </c>
      <c r="R963" s="53">
        <f t="shared" si="33"/>
        <v>0.27368312757201646</v>
      </c>
      <c r="S963" s="22">
        <f t="shared" si="34"/>
        <v>3.0864197530864197E-4</v>
      </c>
    </row>
    <row r="964" spans="1:19" ht="16">
      <c r="A964" s="52" t="s">
        <v>375</v>
      </c>
      <c r="B964" s="53" t="s">
        <v>661</v>
      </c>
      <c r="C964" s="53"/>
      <c r="D964" s="53">
        <v>0</v>
      </c>
      <c r="E964" s="4">
        <v>12</v>
      </c>
      <c r="F964" s="4">
        <v>7</v>
      </c>
      <c r="G964" s="4">
        <v>18</v>
      </c>
      <c r="H964" s="53">
        <v>6.4987000000000004</v>
      </c>
      <c r="I964" s="4">
        <v>4.0000000000000002E-4</v>
      </c>
      <c r="J964" s="53">
        <v>-36.641500000000001</v>
      </c>
      <c r="K964" s="4">
        <v>1.2999999999999999E-3</v>
      </c>
      <c r="L964" s="4">
        <v>2.5000000000000001E-2</v>
      </c>
      <c r="M964" s="4">
        <v>3.0000000000000001E-3</v>
      </c>
      <c r="N964" s="4">
        <v>-5.7999999999999996E-3</v>
      </c>
      <c r="O964" s="4">
        <v>2.0000000000000001E-4</v>
      </c>
      <c r="P964" s="4">
        <v>133.01</v>
      </c>
      <c r="Q964" s="4">
        <v>0.15</v>
      </c>
      <c r="R964" s="53">
        <f t="shared" si="33"/>
        <v>0.27368312757201646</v>
      </c>
      <c r="S964" s="22">
        <f t="shared" si="34"/>
        <v>3.0864197530864197E-4</v>
      </c>
    </row>
    <row r="965" spans="1:19" ht="16">
      <c r="A965" s="52" t="s">
        <v>376</v>
      </c>
      <c r="B965" s="53" t="s">
        <v>662</v>
      </c>
      <c r="C965" s="53"/>
      <c r="D965" s="53">
        <v>0</v>
      </c>
      <c r="E965" s="4">
        <v>12</v>
      </c>
      <c r="F965" s="4">
        <v>7</v>
      </c>
      <c r="G965" s="4">
        <v>18</v>
      </c>
      <c r="H965" s="53">
        <v>6.4987000000000004</v>
      </c>
      <c r="I965" s="4">
        <v>4.0000000000000002E-4</v>
      </c>
      <c r="J965" s="53">
        <v>-36.641500000000001</v>
      </c>
      <c r="K965" s="4">
        <v>1.2999999999999999E-3</v>
      </c>
      <c r="L965" s="4">
        <v>2.5000000000000001E-2</v>
      </c>
      <c r="M965" s="4">
        <v>3.0000000000000001E-3</v>
      </c>
      <c r="N965" s="4">
        <v>-5.7999999999999996E-3</v>
      </c>
      <c r="O965" s="4">
        <v>2.0000000000000001E-4</v>
      </c>
      <c r="P965" s="4">
        <v>133.01</v>
      </c>
      <c r="Q965" s="4">
        <v>0.15</v>
      </c>
      <c r="R965" s="53">
        <f t="shared" si="33"/>
        <v>0.27368312757201646</v>
      </c>
      <c r="S965" s="22">
        <f t="shared" si="34"/>
        <v>3.0864197530864197E-4</v>
      </c>
    </row>
    <row r="966" spans="1:19" ht="16">
      <c r="A966" s="52" t="s">
        <v>377</v>
      </c>
      <c r="B966" s="53" t="s">
        <v>663</v>
      </c>
      <c r="C966" s="53"/>
      <c r="D966" s="53">
        <v>0</v>
      </c>
      <c r="E966" s="4">
        <v>12</v>
      </c>
      <c r="F966" s="4">
        <v>7</v>
      </c>
      <c r="G966" s="4">
        <v>18</v>
      </c>
      <c r="H966" s="53">
        <v>6.4987000000000004</v>
      </c>
      <c r="I966" s="4">
        <v>4.0000000000000002E-4</v>
      </c>
      <c r="J966" s="53">
        <v>-36.641500000000001</v>
      </c>
      <c r="K966" s="4">
        <v>1.2999999999999999E-3</v>
      </c>
      <c r="L966" s="4">
        <v>2.5000000000000001E-2</v>
      </c>
      <c r="M966" s="4">
        <v>3.0000000000000001E-3</v>
      </c>
      <c r="N966" s="4">
        <v>-5.7999999999999996E-3</v>
      </c>
      <c r="O966" s="4">
        <v>2.0000000000000001E-4</v>
      </c>
      <c r="P966" s="4">
        <v>133.01</v>
      </c>
      <c r="Q966" s="4">
        <v>0.15</v>
      </c>
      <c r="R966" s="53">
        <f t="shared" si="33"/>
        <v>0.27368312757201646</v>
      </c>
      <c r="S966" s="22">
        <f t="shared" si="34"/>
        <v>3.0864197530864197E-4</v>
      </c>
    </row>
    <row r="967" spans="1:19" ht="16">
      <c r="A967" s="52" t="s">
        <v>378</v>
      </c>
      <c r="B967" s="53" t="s">
        <v>664</v>
      </c>
      <c r="C967" s="53"/>
      <c r="D967" s="53">
        <v>0</v>
      </c>
      <c r="E967" s="4">
        <v>12</v>
      </c>
      <c r="F967" s="4">
        <v>7</v>
      </c>
      <c r="G967" s="4">
        <v>18</v>
      </c>
      <c r="H967" s="53">
        <v>6.4987000000000004</v>
      </c>
      <c r="I967" s="4">
        <v>4.0000000000000002E-4</v>
      </c>
      <c r="J967" s="53">
        <v>-36.641500000000001</v>
      </c>
      <c r="K967" s="4">
        <v>1.2999999999999999E-3</v>
      </c>
      <c r="L967" s="4">
        <v>2.5000000000000001E-2</v>
      </c>
      <c r="M967" s="4">
        <v>3.0000000000000001E-3</v>
      </c>
      <c r="N967" s="4">
        <v>-5.7999999999999996E-3</v>
      </c>
      <c r="O967" s="4">
        <v>2.0000000000000001E-4</v>
      </c>
      <c r="P967" s="4">
        <v>133.01</v>
      </c>
      <c r="Q967" s="4">
        <v>0.15</v>
      </c>
      <c r="R967" s="53">
        <f t="shared" si="33"/>
        <v>0.27368312757201646</v>
      </c>
      <c r="S967" s="22">
        <f t="shared" si="34"/>
        <v>3.0864197530864197E-4</v>
      </c>
    </row>
    <row r="968" spans="1:19" ht="16">
      <c r="A968" s="52" t="s">
        <v>379</v>
      </c>
      <c r="B968" s="53" t="s">
        <v>665</v>
      </c>
      <c r="C968" s="53"/>
      <c r="D968" s="53">
        <v>0</v>
      </c>
      <c r="E968" s="4">
        <v>12</v>
      </c>
      <c r="F968" s="4">
        <v>7</v>
      </c>
      <c r="G968" s="4">
        <v>18</v>
      </c>
      <c r="H968" s="53">
        <v>6.4987000000000004</v>
      </c>
      <c r="I968" s="4">
        <v>4.0000000000000002E-4</v>
      </c>
      <c r="J968" s="53">
        <v>-36.641500000000001</v>
      </c>
      <c r="K968" s="4">
        <v>1.2999999999999999E-3</v>
      </c>
      <c r="L968" s="4">
        <v>2.5000000000000001E-2</v>
      </c>
      <c r="M968" s="4">
        <v>3.0000000000000001E-3</v>
      </c>
      <c r="N968" s="4">
        <v>-5.7999999999999996E-3</v>
      </c>
      <c r="O968" s="4">
        <v>2.0000000000000001E-4</v>
      </c>
      <c r="P968" s="4">
        <v>133.01</v>
      </c>
      <c r="Q968" s="4">
        <v>0.15</v>
      </c>
      <c r="R968" s="53">
        <f t="shared" si="33"/>
        <v>0.27368312757201646</v>
      </c>
      <c r="S968" s="22">
        <f t="shared" si="34"/>
        <v>3.0864197530864197E-4</v>
      </c>
    </row>
    <row r="969" spans="1:19" ht="16">
      <c r="A969" s="52" t="s">
        <v>380</v>
      </c>
      <c r="B969" s="53" t="s">
        <v>666</v>
      </c>
      <c r="C969" s="53"/>
      <c r="D969" s="53">
        <v>0</v>
      </c>
      <c r="E969" s="4">
        <v>12</v>
      </c>
      <c r="F969" s="4">
        <v>7</v>
      </c>
      <c r="G969" s="4">
        <v>18</v>
      </c>
      <c r="H969" s="53">
        <v>6.4987000000000004</v>
      </c>
      <c r="I969" s="4">
        <v>4.0000000000000002E-4</v>
      </c>
      <c r="J969" s="53">
        <v>-36.641500000000001</v>
      </c>
      <c r="K969" s="4">
        <v>1.2999999999999999E-3</v>
      </c>
      <c r="L969" s="4">
        <v>2.5000000000000001E-2</v>
      </c>
      <c r="M969" s="4">
        <v>3.0000000000000001E-3</v>
      </c>
      <c r="N969" s="4">
        <v>-5.7999999999999996E-3</v>
      </c>
      <c r="O969" s="4">
        <v>2.0000000000000001E-4</v>
      </c>
      <c r="P969" s="4">
        <v>133.01</v>
      </c>
      <c r="Q969" s="4">
        <v>0.15</v>
      </c>
      <c r="R969" s="53">
        <f t="shared" si="33"/>
        <v>0.27368312757201646</v>
      </c>
      <c r="S969" s="22">
        <f t="shared" si="34"/>
        <v>3.0864197530864197E-4</v>
      </c>
    </row>
    <row r="970" spans="1:19" ht="16">
      <c r="A970" s="52" t="s">
        <v>381</v>
      </c>
      <c r="B970" s="53" t="s">
        <v>667</v>
      </c>
      <c r="C970" s="53"/>
      <c r="D970" s="53">
        <v>0</v>
      </c>
      <c r="E970" s="4">
        <v>12</v>
      </c>
      <c r="F970" s="4">
        <v>7</v>
      </c>
      <c r="G970" s="4">
        <v>18</v>
      </c>
      <c r="H970" s="53">
        <v>6.4987000000000004</v>
      </c>
      <c r="I970" s="4">
        <v>4.0000000000000002E-4</v>
      </c>
      <c r="J970" s="53">
        <v>-36.641500000000001</v>
      </c>
      <c r="K970" s="4">
        <v>1.2999999999999999E-3</v>
      </c>
      <c r="L970" s="4">
        <v>2.5000000000000001E-2</v>
      </c>
      <c r="M970" s="4">
        <v>3.0000000000000001E-3</v>
      </c>
      <c r="N970" s="4">
        <v>-5.7999999999999996E-3</v>
      </c>
      <c r="O970" s="4">
        <v>2.0000000000000001E-4</v>
      </c>
      <c r="P970" s="4">
        <v>133.01</v>
      </c>
      <c r="Q970" s="4">
        <v>0.15</v>
      </c>
      <c r="R970" s="53">
        <f t="shared" si="33"/>
        <v>0.27368312757201646</v>
      </c>
      <c r="S970" s="22">
        <f t="shared" si="34"/>
        <v>3.0864197530864197E-4</v>
      </c>
    </row>
    <row r="971" spans="1:19" ht="16">
      <c r="A971" s="52" t="s">
        <v>382</v>
      </c>
      <c r="B971" s="53" t="s">
        <v>668</v>
      </c>
      <c r="C971" s="53"/>
      <c r="D971" s="53">
        <v>0</v>
      </c>
      <c r="E971" s="4">
        <v>12</v>
      </c>
      <c r="F971" s="4">
        <v>8</v>
      </c>
      <c r="G971" s="4">
        <v>18</v>
      </c>
      <c r="H971" s="53">
        <v>6.4987000000000004</v>
      </c>
      <c r="I971" s="4">
        <v>4.0000000000000002E-4</v>
      </c>
      <c r="J971" s="53">
        <v>-36.641500000000001</v>
      </c>
      <c r="K971" s="4">
        <v>1.2999999999999999E-3</v>
      </c>
      <c r="L971" s="4">
        <v>2.5000000000000001E-2</v>
      </c>
      <c r="M971" s="4">
        <v>3.0000000000000001E-3</v>
      </c>
      <c r="N971" s="4">
        <v>-5.7999999999999996E-3</v>
      </c>
      <c r="O971" s="4">
        <v>2.0000000000000001E-4</v>
      </c>
      <c r="P971" s="4">
        <v>133.01</v>
      </c>
      <c r="Q971" s="4">
        <v>0.15</v>
      </c>
      <c r="R971" s="53">
        <f t="shared" si="33"/>
        <v>0.27368312757201646</v>
      </c>
      <c r="S971" s="22">
        <f t="shared" si="34"/>
        <v>3.0864197530864197E-4</v>
      </c>
    </row>
    <row r="972" spans="1:19" ht="16">
      <c r="A972" s="52" t="s">
        <v>383</v>
      </c>
      <c r="B972" s="53" t="s">
        <v>669</v>
      </c>
      <c r="C972" s="53"/>
      <c r="D972" s="53">
        <v>0</v>
      </c>
      <c r="E972" s="4">
        <v>12</v>
      </c>
      <c r="F972" s="4">
        <v>8</v>
      </c>
      <c r="G972" s="4">
        <v>18</v>
      </c>
      <c r="H972" s="53">
        <v>6.4987000000000004</v>
      </c>
      <c r="I972" s="4">
        <v>4.0000000000000002E-4</v>
      </c>
      <c r="J972" s="53">
        <v>-36.641500000000001</v>
      </c>
      <c r="K972" s="4">
        <v>1.2999999999999999E-3</v>
      </c>
      <c r="L972" s="4">
        <v>2.5000000000000001E-2</v>
      </c>
      <c r="M972" s="4">
        <v>3.0000000000000001E-3</v>
      </c>
      <c r="N972" s="4">
        <v>-5.7999999999999996E-3</v>
      </c>
      <c r="O972" s="4">
        <v>2.0000000000000001E-4</v>
      </c>
      <c r="P972" s="4">
        <v>133.01</v>
      </c>
      <c r="Q972" s="4">
        <v>0.15</v>
      </c>
      <c r="R972" s="53">
        <f t="shared" si="33"/>
        <v>0.27368312757201646</v>
      </c>
      <c r="S972" s="22">
        <f t="shared" si="34"/>
        <v>3.0864197530864197E-4</v>
      </c>
    </row>
    <row r="973" spans="1:19" ht="16">
      <c r="A973" s="52" t="s">
        <v>384</v>
      </c>
      <c r="B973" s="53" t="s">
        <v>670</v>
      </c>
      <c r="C973" s="53"/>
      <c r="D973" s="53">
        <v>0</v>
      </c>
      <c r="E973" s="4">
        <v>12</v>
      </c>
      <c r="F973" s="4">
        <v>8</v>
      </c>
      <c r="G973" s="4">
        <v>18</v>
      </c>
      <c r="H973" s="53">
        <v>6.4987000000000004</v>
      </c>
      <c r="I973" s="4">
        <v>4.0000000000000002E-4</v>
      </c>
      <c r="J973" s="53">
        <v>-36.641500000000001</v>
      </c>
      <c r="K973" s="4">
        <v>1.2999999999999999E-3</v>
      </c>
      <c r="L973" s="4">
        <v>2.5000000000000001E-2</v>
      </c>
      <c r="M973" s="4">
        <v>3.0000000000000001E-3</v>
      </c>
      <c r="N973" s="4">
        <v>-5.7999999999999996E-3</v>
      </c>
      <c r="O973" s="4">
        <v>2.0000000000000001E-4</v>
      </c>
      <c r="P973" s="4">
        <v>133.01</v>
      </c>
      <c r="Q973" s="4">
        <v>0.15</v>
      </c>
      <c r="R973" s="53">
        <f t="shared" si="33"/>
        <v>0.27368312757201646</v>
      </c>
      <c r="S973" s="22">
        <f t="shared" si="34"/>
        <v>3.0864197530864197E-4</v>
      </c>
    </row>
    <row r="974" spans="1:19" ht="16">
      <c r="A974" s="52" t="s">
        <v>385</v>
      </c>
      <c r="B974" s="53" t="s">
        <v>671</v>
      </c>
      <c r="C974" s="53"/>
      <c r="D974" s="53">
        <v>0</v>
      </c>
      <c r="E974" s="4">
        <v>12</v>
      </c>
      <c r="F974" s="4">
        <v>8</v>
      </c>
      <c r="G974" s="4">
        <v>18</v>
      </c>
      <c r="H974" s="53">
        <v>6.4987000000000004</v>
      </c>
      <c r="I974" s="4">
        <v>4.0000000000000002E-4</v>
      </c>
      <c r="J974" s="53">
        <v>-36.641500000000001</v>
      </c>
      <c r="K974" s="4">
        <v>1.2999999999999999E-3</v>
      </c>
      <c r="L974" s="4">
        <v>2.5000000000000001E-2</v>
      </c>
      <c r="M974" s="4">
        <v>3.0000000000000001E-3</v>
      </c>
      <c r="N974" s="4">
        <v>-5.7999999999999996E-3</v>
      </c>
      <c r="O974" s="4">
        <v>2.0000000000000001E-4</v>
      </c>
      <c r="P974" s="4">
        <v>133.01</v>
      </c>
      <c r="Q974" s="4">
        <v>0.15</v>
      </c>
      <c r="R974" s="53">
        <f t="shared" si="33"/>
        <v>0.27368312757201646</v>
      </c>
      <c r="S974" s="22">
        <f t="shared" si="34"/>
        <v>3.0864197530864197E-4</v>
      </c>
    </row>
    <row r="975" spans="1:19" ht="16">
      <c r="A975" s="52" t="s">
        <v>386</v>
      </c>
      <c r="B975" s="53" t="s">
        <v>672</v>
      </c>
      <c r="C975" s="53"/>
      <c r="D975" s="53">
        <v>0</v>
      </c>
      <c r="E975" s="4">
        <v>12</v>
      </c>
      <c r="F975" s="4">
        <v>8</v>
      </c>
      <c r="G975" s="4">
        <v>18</v>
      </c>
      <c r="H975" s="53">
        <v>6.4987000000000004</v>
      </c>
      <c r="I975" s="4">
        <v>4.0000000000000002E-4</v>
      </c>
      <c r="J975" s="53">
        <v>-36.641500000000001</v>
      </c>
      <c r="K975" s="4">
        <v>1.2999999999999999E-3</v>
      </c>
      <c r="L975" s="4">
        <v>2.5000000000000001E-2</v>
      </c>
      <c r="M975" s="4">
        <v>3.0000000000000001E-3</v>
      </c>
      <c r="N975" s="4">
        <v>-5.7999999999999996E-3</v>
      </c>
      <c r="O975" s="4">
        <v>2.0000000000000001E-4</v>
      </c>
      <c r="P975" s="4">
        <v>133.01</v>
      </c>
      <c r="Q975" s="4">
        <v>0.15</v>
      </c>
      <c r="R975" s="53">
        <f t="shared" si="33"/>
        <v>0.27368312757201646</v>
      </c>
      <c r="S975" s="22">
        <f t="shared" si="34"/>
        <v>3.0864197530864197E-4</v>
      </c>
    </row>
    <row r="976" spans="1:19" ht="16">
      <c r="A976" s="52" t="s">
        <v>387</v>
      </c>
      <c r="B976" s="53" t="s">
        <v>673</v>
      </c>
      <c r="C976" s="53"/>
      <c r="D976" s="53">
        <v>0</v>
      </c>
      <c r="E976" s="4">
        <v>12</v>
      </c>
      <c r="F976" s="4">
        <v>8</v>
      </c>
      <c r="G976" s="4">
        <v>18</v>
      </c>
      <c r="H976" s="53">
        <v>6.4987000000000004</v>
      </c>
      <c r="I976" s="4">
        <v>4.0000000000000002E-4</v>
      </c>
      <c r="J976" s="53">
        <v>-36.641500000000001</v>
      </c>
      <c r="K976" s="4">
        <v>1.2999999999999999E-3</v>
      </c>
      <c r="L976" s="4">
        <v>2.5000000000000001E-2</v>
      </c>
      <c r="M976" s="4">
        <v>3.0000000000000001E-3</v>
      </c>
      <c r="N976" s="4">
        <v>-5.7999999999999996E-3</v>
      </c>
      <c r="O976" s="4">
        <v>2.0000000000000001E-4</v>
      </c>
      <c r="P976" s="4">
        <v>133.01</v>
      </c>
      <c r="Q976" s="4">
        <v>0.15</v>
      </c>
      <c r="R976" s="53">
        <f t="shared" si="33"/>
        <v>0.27368312757201646</v>
      </c>
      <c r="S976" s="22">
        <f t="shared" si="34"/>
        <v>3.0864197530864197E-4</v>
      </c>
    </row>
    <row r="977" spans="1:19" ht="16">
      <c r="A977" s="52" t="s">
        <v>388</v>
      </c>
      <c r="B977" s="53" t="s">
        <v>674</v>
      </c>
      <c r="C977" s="53"/>
      <c r="D977" s="53">
        <v>0</v>
      </c>
      <c r="E977" s="4">
        <v>12</v>
      </c>
      <c r="F977" s="4">
        <v>8</v>
      </c>
      <c r="G977" s="4">
        <v>18</v>
      </c>
      <c r="H977" s="53">
        <v>6.4987000000000004</v>
      </c>
      <c r="I977" s="4">
        <v>4.0000000000000002E-4</v>
      </c>
      <c r="J977" s="53">
        <v>-36.641500000000001</v>
      </c>
      <c r="K977" s="4">
        <v>1.2999999999999999E-3</v>
      </c>
      <c r="L977" s="4">
        <v>2.5000000000000001E-2</v>
      </c>
      <c r="M977" s="4">
        <v>3.0000000000000001E-3</v>
      </c>
      <c r="N977" s="4">
        <v>-5.7999999999999996E-3</v>
      </c>
      <c r="O977" s="4">
        <v>2.0000000000000001E-4</v>
      </c>
      <c r="P977" s="4">
        <v>133.01</v>
      </c>
      <c r="Q977" s="4">
        <v>0.15</v>
      </c>
      <c r="R977" s="53">
        <f t="shared" si="33"/>
        <v>0.27368312757201646</v>
      </c>
      <c r="S977" s="22">
        <f t="shared" si="34"/>
        <v>3.0864197530864197E-4</v>
      </c>
    </row>
    <row r="978" spans="1:19" ht="16">
      <c r="A978" s="52" t="s">
        <v>389</v>
      </c>
      <c r="B978" s="53" t="s">
        <v>675</v>
      </c>
      <c r="C978" s="53"/>
      <c r="D978" s="53">
        <v>0</v>
      </c>
      <c r="E978" s="4">
        <v>12</v>
      </c>
      <c r="F978" s="4">
        <v>8</v>
      </c>
      <c r="G978" s="4">
        <v>18</v>
      </c>
      <c r="H978" s="53">
        <v>6.4987000000000004</v>
      </c>
      <c r="I978" s="4">
        <v>4.0000000000000002E-4</v>
      </c>
      <c r="J978" s="53">
        <v>-36.641500000000001</v>
      </c>
      <c r="K978" s="4">
        <v>1.2999999999999999E-3</v>
      </c>
      <c r="L978" s="4">
        <v>2.5000000000000001E-2</v>
      </c>
      <c r="M978" s="4">
        <v>3.0000000000000001E-3</v>
      </c>
      <c r="N978" s="4">
        <v>-5.7999999999999996E-3</v>
      </c>
      <c r="O978" s="4">
        <v>2.0000000000000001E-4</v>
      </c>
      <c r="P978" s="4">
        <v>133.01</v>
      </c>
      <c r="Q978" s="4">
        <v>0.15</v>
      </c>
      <c r="R978" s="53">
        <f t="shared" si="33"/>
        <v>0.27368312757201646</v>
      </c>
      <c r="S978" s="22">
        <f t="shared" si="34"/>
        <v>3.0864197530864197E-4</v>
      </c>
    </row>
    <row r="979" spans="1:19" ht="16">
      <c r="A979" s="52" t="s">
        <v>390</v>
      </c>
      <c r="B979" s="53" t="s">
        <v>676</v>
      </c>
      <c r="C979" s="53"/>
      <c r="D979" s="53">
        <v>0</v>
      </c>
      <c r="E979" s="4">
        <v>12</v>
      </c>
      <c r="F979" s="4">
        <v>8</v>
      </c>
      <c r="G979" s="4">
        <v>18</v>
      </c>
      <c r="H979" s="53">
        <v>6.4987000000000004</v>
      </c>
      <c r="I979" s="4">
        <v>4.0000000000000002E-4</v>
      </c>
      <c r="J979" s="53">
        <v>-36.641500000000001</v>
      </c>
      <c r="K979" s="4">
        <v>1.2999999999999999E-3</v>
      </c>
      <c r="L979" s="4">
        <v>2.5000000000000001E-2</v>
      </c>
      <c r="M979" s="4">
        <v>3.0000000000000001E-3</v>
      </c>
      <c r="N979" s="4">
        <v>-5.7999999999999996E-3</v>
      </c>
      <c r="O979" s="4">
        <v>2.0000000000000001E-4</v>
      </c>
      <c r="P979" s="4">
        <v>133.01</v>
      </c>
      <c r="Q979" s="4">
        <v>0.15</v>
      </c>
      <c r="R979" s="53">
        <f t="shared" si="33"/>
        <v>0.27368312757201646</v>
      </c>
      <c r="S979" s="22">
        <f t="shared" si="34"/>
        <v>3.0864197530864197E-4</v>
      </c>
    </row>
    <row r="980" spans="1:19" ht="16">
      <c r="A980" s="52" t="s">
        <v>391</v>
      </c>
      <c r="B980" s="53" t="s">
        <v>677</v>
      </c>
      <c r="C980" s="53"/>
      <c r="D980" s="53">
        <v>0</v>
      </c>
      <c r="E980" s="4">
        <v>12</v>
      </c>
      <c r="F980" s="4">
        <v>8</v>
      </c>
      <c r="G980" s="4">
        <v>18</v>
      </c>
      <c r="H980" s="53">
        <v>6.4987000000000004</v>
      </c>
      <c r="I980" s="4">
        <v>4.0000000000000002E-4</v>
      </c>
      <c r="J980" s="53">
        <v>-36.641500000000001</v>
      </c>
      <c r="K980" s="4">
        <v>1.2999999999999999E-3</v>
      </c>
      <c r="L980" s="4">
        <v>2.5000000000000001E-2</v>
      </c>
      <c r="M980" s="4">
        <v>3.0000000000000001E-3</v>
      </c>
      <c r="N980" s="4">
        <v>-5.7999999999999996E-3</v>
      </c>
      <c r="O980" s="4">
        <v>2.0000000000000001E-4</v>
      </c>
      <c r="P980" s="4">
        <v>133.01</v>
      </c>
      <c r="Q980" s="4">
        <v>0.15</v>
      </c>
      <c r="R980" s="53">
        <f t="shared" si="33"/>
        <v>0.27368312757201646</v>
      </c>
      <c r="S980" s="22">
        <f t="shared" si="34"/>
        <v>3.0864197530864197E-4</v>
      </c>
    </row>
    <row r="981" spans="1:19" ht="16">
      <c r="A981" s="52" t="s">
        <v>392</v>
      </c>
      <c r="B981" s="53" t="s">
        <v>678</v>
      </c>
      <c r="C981" s="53"/>
      <c r="D981" s="53">
        <v>0</v>
      </c>
      <c r="E981" s="4">
        <v>12</v>
      </c>
      <c r="F981" s="4">
        <v>8</v>
      </c>
      <c r="G981" s="4">
        <v>18</v>
      </c>
      <c r="H981" s="53">
        <v>6.4987000000000004</v>
      </c>
      <c r="I981" s="4">
        <v>4.0000000000000002E-4</v>
      </c>
      <c r="J981" s="53">
        <v>-36.641500000000001</v>
      </c>
      <c r="K981" s="4">
        <v>1.2999999999999999E-3</v>
      </c>
      <c r="L981" s="4">
        <v>2.5000000000000001E-2</v>
      </c>
      <c r="M981" s="4">
        <v>3.0000000000000001E-3</v>
      </c>
      <c r="N981" s="4">
        <v>-5.7999999999999996E-3</v>
      </c>
      <c r="O981" s="4">
        <v>2.0000000000000001E-4</v>
      </c>
      <c r="P981" s="4">
        <v>133.01</v>
      </c>
      <c r="Q981" s="4">
        <v>0.15</v>
      </c>
      <c r="R981" s="53">
        <f t="shared" si="33"/>
        <v>0.27368312757201646</v>
      </c>
      <c r="S981" s="22">
        <f t="shared" si="34"/>
        <v>3.0864197530864197E-4</v>
      </c>
    </row>
    <row r="982" spans="1:19" ht="16">
      <c r="A982" s="52" t="s">
        <v>393</v>
      </c>
      <c r="B982" s="53" t="s">
        <v>679</v>
      </c>
      <c r="C982" s="53"/>
      <c r="D982" s="53">
        <v>0</v>
      </c>
      <c r="E982" s="4">
        <v>12</v>
      </c>
      <c r="F982" s="4">
        <v>8</v>
      </c>
      <c r="G982" s="4">
        <v>18</v>
      </c>
      <c r="H982" s="53">
        <v>6.4987000000000004</v>
      </c>
      <c r="I982" s="4">
        <v>4.0000000000000002E-4</v>
      </c>
      <c r="J982" s="53">
        <v>-36.641500000000001</v>
      </c>
      <c r="K982" s="4">
        <v>1.2999999999999999E-3</v>
      </c>
      <c r="L982" s="4">
        <v>2.5000000000000001E-2</v>
      </c>
      <c r="M982" s="4">
        <v>3.0000000000000001E-3</v>
      </c>
      <c r="N982" s="4">
        <v>-5.7999999999999996E-3</v>
      </c>
      <c r="O982" s="4">
        <v>2.0000000000000001E-4</v>
      </c>
      <c r="P982" s="4">
        <v>133.01</v>
      </c>
      <c r="Q982" s="4">
        <v>0.15</v>
      </c>
      <c r="R982" s="53">
        <f t="shared" si="33"/>
        <v>0.27368312757201646</v>
      </c>
      <c r="S982" s="22">
        <f t="shared" si="34"/>
        <v>3.0864197530864197E-4</v>
      </c>
    </row>
    <row r="983" spans="1:19" ht="16">
      <c r="A983" s="52" t="s">
        <v>394</v>
      </c>
      <c r="B983" s="53" t="s">
        <v>680</v>
      </c>
      <c r="C983" s="53"/>
      <c r="D983" s="53">
        <v>0</v>
      </c>
      <c r="E983" s="4">
        <v>12</v>
      </c>
      <c r="F983" s="4">
        <v>8</v>
      </c>
      <c r="G983" s="4">
        <v>18</v>
      </c>
      <c r="H983" s="53">
        <v>6.4987000000000004</v>
      </c>
      <c r="I983" s="4">
        <v>4.0000000000000002E-4</v>
      </c>
      <c r="J983" s="53">
        <v>-36.641500000000001</v>
      </c>
      <c r="K983" s="4">
        <v>1.2999999999999999E-3</v>
      </c>
      <c r="L983" s="4">
        <v>2.5000000000000001E-2</v>
      </c>
      <c r="M983" s="4">
        <v>3.0000000000000001E-3</v>
      </c>
      <c r="N983" s="4">
        <v>-5.7999999999999996E-3</v>
      </c>
      <c r="O983" s="4">
        <v>2.0000000000000001E-4</v>
      </c>
      <c r="P983" s="4">
        <v>133.01</v>
      </c>
      <c r="Q983" s="4">
        <v>0.15</v>
      </c>
      <c r="R983" s="53">
        <f t="shared" si="33"/>
        <v>0.27368312757201646</v>
      </c>
      <c r="S983" s="22">
        <f t="shared" si="34"/>
        <v>3.0864197530864197E-4</v>
      </c>
    </row>
    <row r="984" spans="1:19" ht="16">
      <c r="A984" s="52" t="s">
        <v>395</v>
      </c>
      <c r="B984" s="53" t="s">
        <v>681</v>
      </c>
      <c r="C984" s="53"/>
      <c r="D984" s="53">
        <v>0</v>
      </c>
      <c r="E984" s="4">
        <v>12</v>
      </c>
      <c r="F984" s="4">
        <v>8</v>
      </c>
      <c r="G984" s="4">
        <v>18</v>
      </c>
      <c r="H984" s="53">
        <v>6.4987000000000004</v>
      </c>
      <c r="I984" s="4">
        <v>4.0000000000000002E-4</v>
      </c>
      <c r="J984" s="53">
        <v>-36.641500000000001</v>
      </c>
      <c r="K984" s="4">
        <v>1.2999999999999999E-3</v>
      </c>
      <c r="L984" s="4">
        <v>2.5000000000000001E-2</v>
      </c>
      <c r="M984" s="4">
        <v>3.0000000000000001E-3</v>
      </c>
      <c r="N984" s="4">
        <v>-5.7999999999999996E-3</v>
      </c>
      <c r="O984" s="4">
        <v>2.0000000000000001E-4</v>
      </c>
      <c r="P984" s="4">
        <v>133.01</v>
      </c>
      <c r="Q984" s="4">
        <v>0.15</v>
      </c>
      <c r="R984" s="53">
        <f t="shared" si="33"/>
        <v>0.27368312757201646</v>
      </c>
      <c r="S984" s="22">
        <f t="shared" si="34"/>
        <v>3.0864197530864197E-4</v>
      </c>
    </row>
    <row r="985" spans="1:19" ht="16">
      <c r="A985" s="52" t="s">
        <v>396</v>
      </c>
      <c r="B985" s="53" t="s">
        <v>682</v>
      </c>
      <c r="C985" s="53"/>
      <c r="D985" s="53">
        <v>0</v>
      </c>
      <c r="E985" s="4">
        <v>12</v>
      </c>
      <c r="F985" s="4">
        <v>8</v>
      </c>
      <c r="G985" s="4">
        <v>18</v>
      </c>
      <c r="H985" s="53">
        <v>6.4987000000000004</v>
      </c>
      <c r="I985" s="4">
        <v>4.0000000000000002E-4</v>
      </c>
      <c r="J985" s="53">
        <v>-36.641500000000001</v>
      </c>
      <c r="K985" s="4">
        <v>1.2999999999999999E-3</v>
      </c>
      <c r="L985" s="4">
        <v>2.5000000000000001E-2</v>
      </c>
      <c r="M985" s="4">
        <v>3.0000000000000001E-3</v>
      </c>
      <c r="N985" s="4">
        <v>-5.7999999999999996E-3</v>
      </c>
      <c r="O985" s="4">
        <v>2.0000000000000001E-4</v>
      </c>
      <c r="P985" s="4">
        <v>133.01</v>
      </c>
      <c r="Q985" s="4">
        <v>0.15</v>
      </c>
      <c r="R985" s="53">
        <f t="shared" si="33"/>
        <v>0.27368312757201646</v>
      </c>
      <c r="S985" s="22">
        <f t="shared" si="34"/>
        <v>3.0864197530864197E-4</v>
      </c>
    </row>
    <row r="986" spans="1:19" ht="16">
      <c r="A986" s="52" t="s">
        <v>397</v>
      </c>
      <c r="B986" s="53" t="s">
        <v>683</v>
      </c>
      <c r="C986" s="53"/>
      <c r="D986" s="53">
        <v>0</v>
      </c>
      <c r="E986" s="4">
        <v>12</v>
      </c>
      <c r="F986" s="4">
        <v>8</v>
      </c>
      <c r="G986" s="4">
        <v>18</v>
      </c>
      <c r="H986" s="53">
        <v>6.4987000000000004</v>
      </c>
      <c r="I986" s="4">
        <v>4.0000000000000002E-4</v>
      </c>
      <c r="J986" s="53">
        <v>-36.641500000000001</v>
      </c>
      <c r="K986" s="4">
        <v>1.2999999999999999E-3</v>
      </c>
      <c r="L986" s="4">
        <v>2.5000000000000001E-2</v>
      </c>
      <c r="M986" s="4">
        <v>3.0000000000000001E-3</v>
      </c>
      <c r="N986" s="4">
        <v>-5.7999999999999996E-3</v>
      </c>
      <c r="O986" s="4">
        <v>2.0000000000000001E-4</v>
      </c>
      <c r="P986" s="4">
        <v>133.01</v>
      </c>
      <c r="Q986" s="4">
        <v>0.15</v>
      </c>
      <c r="R986" s="53">
        <f t="shared" si="33"/>
        <v>0.27368312757201646</v>
      </c>
      <c r="S986" s="22">
        <f t="shared" si="34"/>
        <v>3.0864197530864197E-4</v>
      </c>
    </row>
    <row r="987" spans="1:19" ht="16">
      <c r="A987" s="52" t="s">
        <v>398</v>
      </c>
      <c r="B987" s="53" t="s">
        <v>684</v>
      </c>
      <c r="C987" s="53"/>
      <c r="D987" s="53">
        <v>0</v>
      </c>
      <c r="E987" s="4">
        <v>12</v>
      </c>
      <c r="F987" s="4">
        <v>8</v>
      </c>
      <c r="G987" s="4">
        <v>18</v>
      </c>
      <c r="H987" s="53">
        <v>6.4987000000000004</v>
      </c>
      <c r="I987" s="4">
        <v>4.0000000000000002E-4</v>
      </c>
      <c r="J987" s="53">
        <v>-36.641500000000001</v>
      </c>
      <c r="K987" s="4">
        <v>1.2999999999999999E-3</v>
      </c>
      <c r="L987" s="4">
        <v>2.5000000000000001E-2</v>
      </c>
      <c r="M987" s="4">
        <v>3.0000000000000001E-3</v>
      </c>
      <c r="N987" s="4">
        <v>-5.7999999999999996E-3</v>
      </c>
      <c r="O987" s="4">
        <v>2.0000000000000001E-4</v>
      </c>
      <c r="P987" s="4">
        <v>133.01</v>
      </c>
      <c r="Q987" s="4">
        <v>0.15</v>
      </c>
      <c r="R987" s="53">
        <f t="shared" si="33"/>
        <v>0.27368312757201646</v>
      </c>
      <c r="S987" s="22">
        <f t="shared" si="34"/>
        <v>3.0864197530864197E-4</v>
      </c>
    </row>
    <row r="988" spans="1:19" ht="16">
      <c r="A988" s="52" t="s">
        <v>399</v>
      </c>
      <c r="B988" s="53" t="s">
        <v>685</v>
      </c>
      <c r="C988" s="53"/>
      <c r="D988" s="53">
        <v>0</v>
      </c>
      <c r="E988" s="4">
        <v>12</v>
      </c>
      <c r="F988" s="4">
        <v>8</v>
      </c>
      <c r="G988" s="4">
        <v>18</v>
      </c>
      <c r="H988" s="53">
        <v>6.4987000000000004</v>
      </c>
      <c r="I988" s="4">
        <v>4.0000000000000002E-4</v>
      </c>
      <c r="J988" s="53">
        <v>-36.641500000000001</v>
      </c>
      <c r="K988" s="4">
        <v>1.2999999999999999E-3</v>
      </c>
      <c r="L988" s="4">
        <v>2.5000000000000001E-2</v>
      </c>
      <c r="M988" s="4">
        <v>3.0000000000000001E-3</v>
      </c>
      <c r="N988" s="4">
        <v>-5.7999999999999996E-3</v>
      </c>
      <c r="O988" s="4">
        <v>2.0000000000000001E-4</v>
      </c>
      <c r="P988" s="4">
        <v>133.01</v>
      </c>
      <c r="Q988" s="4">
        <v>0.15</v>
      </c>
      <c r="R988" s="53">
        <f t="shared" si="33"/>
        <v>0.27368312757201646</v>
      </c>
      <c r="S988" s="22">
        <f t="shared" si="34"/>
        <v>3.0864197530864197E-4</v>
      </c>
    </row>
    <row r="989" spans="1:19" ht="16">
      <c r="A989" s="52" t="s">
        <v>400</v>
      </c>
      <c r="B989" s="53" t="s">
        <v>686</v>
      </c>
      <c r="C989" s="53"/>
      <c r="D989" s="53">
        <v>0</v>
      </c>
      <c r="E989" s="4">
        <v>12</v>
      </c>
      <c r="F989" s="4">
        <v>8</v>
      </c>
      <c r="G989" s="4">
        <v>18</v>
      </c>
      <c r="H989" s="53">
        <v>6.4987000000000004</v>
      </c>
      <c r="I989" s="4">
        <v>4.0000000000000002E-4</v>
      </c>
      <c r="J989" s="53">
        <v>-36.641500000000001</v>
      </c>
      <c r="K989" s="4">
        <v>1.2999999999999999E-3</v>
      </c>
      <c r="L989" s="4">
        <v>2.5000000000000001E-2</v>
      </c>
      <c r="M989" s="4">
        <v>3.0000000000000001E-3</v>
      </c>
      <c r="N989" s="4">
        <v>-5.7999999999999996E-3</v>
      </c>
      <c r="O989" s="4">
        <v>2.0000000000000001E-4</v>
      </c>
      <c r="P989" s="4">
        <v>133.01</v>
      </c>
      <c r="Q989" s="4">
        <v>0.15</v>
      </c>
      <c r="R989" s="53">
        <f t="shared" si="33"/>
        <v>0.27368312757201646</v>
      </c>
      <c r="S989" s="22">
        <f t="shared" si="34"/>
        <v>3.0864197530864197E-4</v>
      </c>
    </row>
    <row r="990" spans="1:19" ht="16">
      <c r="A990" s="52" t="s">
        <v>401</v>
      </c>
      <c r="B990" s="53" t="s">
        <v>687</v>
      </c>
      <c r="C990" s="53"/>
      <c r="D990" s="53">
        <v>0</v>
      </c>
      <c r="E990" s="4">
        <v>12</v>
      </c>
      <c r="F990" s="4">
        <v>8</v>
      </c>
      <c r="G990" s="4">
        <v>18</v>
      </c>
      <c r="H990" s="53">
        <v>6.4987000000000004</v>
      </c>
      <c r="I990" s="4">
        <v>4.0000000000000002E-4</v>
      </c>
      <c r="J990" s="53">
        <v>-36.641500000000001</v>
      </c>
      <c r="K990" s="4">
        <v>1.2999999999999999E-3</v>
      </c>
      <c r="L990" s="4">
        <v>2.5000000000000001E-2</v>
      </c>
      <c r="M990" s="4">
        <v>3.0000000000000001E-3</v>
      </c>
      <c r="N990" s="4">
        <v>-5.7999999999999996E-3</v>
      </c>
      <c r="O990" s="4">
        <v>2.0000000000000001E-4</v>
      </c>
      <c r="P990" s="4">
        <v>133.01</v>
      </c>
      <c r="Q990" s="4">
        <v>0.15</v>
      </c>
      <c r="R990" s="53">
        <f t="shared" si="33"/>
        <v>0.27368312757201646</v>
      </c>
      <c r="S990" s="22">
        <f t="shared" si="34"/>
        <v>3.0864197530864197E-4</v>
      </c>
    </row>
    <row r="991" spans="1:19" ht="16">
      <c r="A991" s="52" t="s">
        <v>402</v>
      </c>
      <c r="B991" s="53" t="s">
        <v>688</v>
      </c>
      <c r="C991" s="53"/>
      <c r="D991" s="53">
        <v>0</v>
      </c>
      <c r="E991" s="4">
        <v>12</v>
      </c>
      <c r="F991" s="4">
        <v>8</v>
      </c>
      <c r="G991" s="4">
        <v>18</v>
      </c>
      <c r="H991" s="53">
        <v>6.4987000000000004</v>
      </c>
      <c r="I991" s="4">
        <v>4.0000000000000002E-4</v>
      </c>
      <c r="J991" s="53">
        <v>-36.641500000000001</v>
      </c>
      <c r="K991" s="4">
        <v>1.2999999999999999E-3</v>
      </c>
      <c r="L991" s="4">
        <v>2.5000000000000001E-2</v>
      </c>
      <c r="M991" s="4">
        <v>3.0000000000000001E-3</v>
      </c>
      <c r="N991" s="4">
        <v>-5.7999999999999996E-3</v>
      </c>
      <c r="O991" s="4">
        <v>2.0000000000000001E-4</v>
      </c>
      <c r="P991" s="4">
        <v>133.01</v>
      </c>
      <c r="Q991" s="4">
        <v>0.15</v>
      </c>
      <c r="R991" s="53">
        <f t="shared" si="33"/>
        <v>0.27368312757201646</v>
      </c>
      <c r="S991" s="22">
        <f t="shared" si="34"/>
        <v>3.0864197530864197E-4</v>
      </c>
    </row>
    <row r="992" spans="1:19" ht="16">
      <c r="A992" s="52" t="s">
        <v>403</v>
      </c>
      <c r="B992" s="53" t="s">
        <v>689</v>
      </c>
      <c r="C992" s="53"/>
      <c r="D992" s="53">
        <v>0</v>
      </c>
      <c r="E992" s="4">
        <v>12</v>
      </c>
      <c r="F992" s="4">
        <v>8</v>
      </c>
      <c r="G992" s="4">
        <v>18</v>
      </c>
      <c r="H992" s="53">
        <v>6.4987000000000004</v>
      </c>
      <c r="I992" s="4">
        <v>4.0000000000000002E-4</v>
      </c>
      <c r="J992" s="53">
        <v>-36.641500000000001</v>
      </c>
      <c r="K992" s="4">
        <v>1.2999999999999999E-3</v>
      </c>
      <c r="L992" s="4">
        <v>2.5000000000000001E-2</v>
      </c>
      <c r="M992" s="4">
        <v>3.0000000000000001E-3</v>
      </c>
      <c r="N992" s="4">
        <v>-5.7999999999999996E-3</v>
      </c>
      <c r="O992" s="4">
        <v>2.0000000000000001E-4</v>
      </c>
      <c r="P992" s="4">
        <v>133.01</v>
      </c>
      <c r="Q992" s="4">
        <v>0.15</v>
      </c>
      <c r="R992" s="53">
        <f t="shared" si="33"/>
        <v>0.27368312757201646</v>
      </c>
      <c r="S992" s="22">
        <f t="shared" si="34"/>
        <v>3.0864197530864197E-4</v>
      </c>
    </row>
    <row r="993" spans="1:19" ht="16">
      <c r="A993" s="52" t="s">
        <v>404</v>
      </c>
      <c r="B993" s="53" t="s">
        <v>690</v>
      </c>
      <c r="C993" s="53"/>
      <c r="D993" s="53">
        <v>0</v>
      </c>
      <c r="E993" s="4">
        <v>12</v>
      </c>
      <c r="F993" s="4">
        <v>8</v>
      </c>
      <c r="G993" s="4">
        <v>18</v>
      </c>
      <c r="H993" s="53">
        <v>6.4987000000000004</v>
      </c>
      <c r="I993" s="4">
        <v>4.0000000000000002E-4</v>
      </c>
      <c r="J993" s="53">
        <v>-36.641500000000001</v>
      </c>
      <c r="K993" s="4">
        <v>1.2999999999999999E-3</v>
      </c>
      <c r="L993" s="4">
        <v>2.5000000000000001E-2</v>
      </c>
      <c r="M993" s="4">
        <v>3.0000000000000001E-3</v>
      </c>
      <c r="N993" s="4">
        <v>-5.7999999999999996E-3</v>
      </c>
      <c r="O993" s="4">
        <v>2.0000000000000001E-4</v>
      </c>
      <c r="P993" s="4">
        <v>133.01</v>
      </c>
      <c r="Q993" s="4">
        <v>0.15</v>
      </c>
      <c r="R993" s="53">
        <f t="shared" si="33"/>
        <v>0.27368312757201646</v>
      </c>
      <c r="S993" s="22">
        <f t="shared" si="34"/>
        <v>3.0864197530864197E-4</v>
      </c>
    </row>
    <row r="994" spans="1:19" ht="16">
      <c r="A994" s="52" t="s">
        <v>405</v>
      </c>
      <c r="B994" s="53" t="s">
        <v>691</v>
      </c>
      <c r="C994" s="53"/>
      <c r="D994" s="53">
        <v>0</v>
      </c>
      <c r="E994" s="4">
        <v>12</v>
      </c>
      <c r="F994" s="4">
        <v>8</v>
      </c>
      <c r="G994" s="4">
        <v>18</v>
      </c>
      <c r="H994" s="53">
        <v>6.4987000000000004</v>
      </c>
      <c r="I994" s="4">
        <v>4.0000000000000002E-4</v>
      </c>
      <c r="J994" s="53">
        <v>-36.641500000000001</v>
      </c>
      <c r="K994" s="4">
        <v>1.2999999999999999E-3</v>
      </c>
      <c r="L994" s="4">
        <v>2.5000000000000001E-2</v>
      </c>
      <c r="M994" s="4">
        <v>3.0000000000000001E-3</v>
      </c>
      <c r="N994" s="4">
        <v>-5.7999999999999996E-3</v>
      </c>
      <c r="O994" s="4">
        <v>2.0000000000000001E-4</v>
      </c>
      <c r="P994" s="4">
        <v>133.01</v>
      </c>
      <c r="Q994" s="4">
        <v>0.15</v>
      </c>
      <c r="R994" s="53">
        <f t="shared" si="33"/>
        <v>0.27368312757201646</v>
      </c>
      <c r="S994" s="22">
        <f t="shared" si="34"/>
        <v>3.0864197530864197E-4</v>
      </c>
    </row>
    <row r="995" spans="1:19" ht="16">
      <c r="A995" s="52" t="s">
        <v>406</v>
      </c>
      <c r="B995" s="53" t="s">
        <v>692</v>
      </c>
      <c r="C995" s="53"/>
      <c r="D995" s="53">
        <v>0</v>
      </c>
      <c r="E995" s="4">
        <v>12</v>
      </c>
      <c r="F995" s="4">
        <v>8</v>
      </c>
      <c r="G995" s="4">
        <v>18</v>
      </c>
      <c r="H995" s="53">
        <v>6.4987000000000004</v>
      </c>
      <c r="I995" s="4">
        <v>4.0000000000000002E-4</v>
      </c>
      <c r="J995" s="53">
        <v>-36.641500000000001</v>
      </c>
      <c r="K995" s="4">
        <v>1.2999999999999999E-3</v>
      </c>
      <c r="L995" s="4">
        <v>2.5000000000000001E-2</v>
      </c>
      <c r="M995" s="4">
        <v>3.0000000000000001E-3</v>
      </c>
      <c r="N995" s="4">
        <v>-5.7999999999999996E-3</v>
      </c>
      <c r="O995" s="4">
        <v>2.0000000000000001E-4</v>
      </c>
      <c r="P995" s="4">
        <v>133.01</v>
      </c>
      <c r="Q995" s="4">
        <v>0.15</v>
      </c>
      <c r="R995" s="53">
        <f t="shared" si="33"/>
        <v>0.27368312757201646</v>
      </c>
      <c r="S995" s="22">
        <f t="shared" si="34"/>
        <v>3.0864197530864197E-4</v>
      </c>
    </row>
    <row r="996" spans="1:19" ht="16">
      <c r="A996" s="52" t="s">
        <v>407</v>
      </c>
      <c r="B996" s="53" t="s">
        <v>693</v>
      </c>
      <c r="C996" s="53"/>
      <c r="D996" s="53">
        <v>0</v>
      </c>
      <c r="E996" s="4">
        <v>12</v>
      </c>
      <c r="F996" s="4">
        <v>8</v>
      </c>
      <c r="G996" s="4">
        <v>18</v>
      </c>
      <c r="H996" s="53">
        <v>6.4987000000000004</v>
      </c>
      <c r="I996" s="4">
        <v>4.0000000000000002E-4</v>
      </c>
      <c r="J996" s="53">
        <v>-36.641500000000001</v>
      </c>
      <c r="K996" s="4">
        <v>1.2999999999999999E-3</v>
      </c>
      <c r="L996" s="4">
        <v>2.5000000000000001E-2</v>
      </c>
      <c r="M996" s="4">
        <v>3.0000000000000001E-3</v>
      </c>
      <c r="N996" s="4">
        <v>-5.7999999999999996E-3</v>
      </c>
      <c r="O996" s="4">
        <v>2.0000000000000001E-4</v>
      </c>
      <c r="P996" s="4">
        <v>133.01</v>
      </c>
      <c r="Q996" s="4">
        <v>0.15</v>
      </c>
      <c r="R996" s="53">
        <f t="shared" si="33"/>
        <v>0.27368312757201646</v>
      </c>
      <c r="S996" s="22">
        <f t="shared" si="34"/>
        <v>3.0864197530864197E-4</v>
      </c>
    </row>
    <row r="997" spans="1:19" ht="16">
      <c r="A997" s="52" t="s">
        <v>408</v>
      </c>
      <c r="B997" s="53" t="s">
        <v>694</v>
      </c>
      <c r="C997" s="53"/>
      <c r="D997" s="53">
        <v>0</v>
      </c>
      <c r="E997" s="4">
        <v>12</v>
      </c>
      <c r="F997" s="4">
        <v>8</v>
      </c>
      <c r="G997" s="4">
        <v>18</v>
      </c>
      <c r="H997" s="53">
        <v>6.4987000000000004</v>
      </c>
      <c r="I997" s="4">
        <v>4.0000000000000002E-4</v>
      </c>
      <c r="J997" s="53">
        <v>-36.641500000000001</v>
      </c>
      <c r="K997" s="4">
        <v>1.2999999999999999E-3</v>
      </c>
      <c r="L997" s="4">
        <v>2.5000000000000001E-2</v>
      </c>
      <c r="M997" s="4">
        <v>3.0000000000000001E-3</v>
      </c>
      <c r="N997" s="4">
        <v>-5.7999999999999996E-3</v>
      </c>
      <c r="O997" s="4">
        <v>2.0000000000000001E-4</v>
      </c>
      <c r="P997" s="4">
        <v>133.01</v>
      </c>
      <c r="Q997" s="4">
        <v>0.15</v>
      </c>
      <c r="R997" s="53">
        <f t="shared" si="33"/>
        <v>0.27368312757201646</v>
      </c>
      <c r="S997" s="22">
        <f t="shared" si="34"/>
        <v>3.0864197530864197E-4</v>
      </c>
    </row>
    <row r="998" spans="1:19" ht="16">
      <c r="A998" s="52" t="s">
        <v>409</v>
      </c>
      <c r="B998" s="53" t="s">
        <v>695</v>
      </c>
      <c r="C998" s="53"/>
      <c r="D998" s="53">
        <v>0</v>
      </c>
      <c r="E998" s="4">
        <v>12</v>
      </c>
      <c r="F998" s="4">
        <v>8</v>
      </c>
      <c r="G998" s="4">
        <v>18</v>
      </c>
      <c r="H998" s="53">
        <v>6.4987000000000004</v>
      </c>
      <c r="I998" s="4">
        <v>4.0000000000000002E-4</v>
      </c>
      <c r="J998" s="53">
        <v>-36.641500000000001</v>
      </c>
      <c r="K998" s="4">
        <v>1.2999999999999999E-3</v>
      </c>
      <c r="L998" s="4">
        <v>2.5000000000000001E-2</v>
      </c>
      <c r="M998" s="4">
        <v>3.0000000000000001E-3</v>
      </c>
      <c r="N998" s="4">
        <v>-5.7999999999999996E-3</v>
      </c>
      <c r="O998" s="4">
        <v>2.0000000000000001E-4</v>
      </c>
      <c r="P998" s="4">
        <v>133.01</v>
      </c>
      <c r="Q998" s="4">
        <v>0.15</v>
      </c>
      <c r="R998" s="53">
        <f t="shared" si="33"/>
        <v>0.27368312757201646</v>
      </c>
      <c r="S998" s="22">
        <f t="shared" si="34"/>
        <v>3.0864197530864197E-4</v>
      </c>
    </row>
    <row r="999" spans="1:19" ht="16">
      <c r="A999" s="52" t="s">
        <v>410</v>
      </c>
      <c r="B999" s="53" t="s">
        <v>696</v>
      </c>
      <c r="C999" s="53"/>
      <c r="D999" s="53">
        <v>0</v>
      </c>
      <c r="E999" s="4">
        <v>12</v>
      </c>
      <c r="F999" s="4">
        <v>8</v>
      </c>
      <c r="G999" s="4">
        <v>18</v>
      </c>
      <c r="H999" s="53">
        <v>6.4987000000000004</v>
      </c>
      <c r="I999" s="4">
        <v>4.0000000000000002E-4</v>
      </c>
      <c r="J999" s="53">
        <v>-36.641500000000001</v>
      </c>
      <c r="K999" s="4">
        <v>1.2999999999999999E-3</v>
      </c>
      <c r="L999" s="4">
        <v>2.5000000000000001E-2</v>
      </c>
      <c r="M999" s="4">
        <v>3.0000000000000001E-3</v>
      </c>
      <c r="N999" s="4">
        <v>-5.7999999999999996E-3</v>
      </c>
      <c r="O999" s="4">
        <v>2.0000000000000001E-4</v>
      </c>
      <c r="P999" s="4">
        <v>133.01</v>
      </c>
      <c r="Q999" s="4">
        <v>0.15</v>
      </c>
      <c r="R999" s="53">
        <f t="shared" si="33"/>
        <v>0.27368312757201646</v>
      </c>
      <c r="S999" s="22">
        <f t="shared" si="34"/>
        <v>3.0864197530864197E-4</v>
      </c>
    </row>
    <row r="1000" spans="1:19" ht="16">
      <c r="A1000" s="52" t="s">
        <v>411</v>
      </c>
      <c r="B1000" s="53" t="s">
        <v>697</v>
      </c>
      <c r="C1000" s="53"/>
      <c r="D1000" s="53">
        <v>0</v>
      </c>
      <c r="E1000" s="4">
        <v>12</v>
      </c>
      <c r="F1000" s="4">
        <v>8</v>
      </c>
      <c r="G1000" s="4">
        <v>18</v>
      </c>
      <c r="H1000" s="53">
        <v>6.4987000000000004</v>
      </c>
      <c r="I1000" s="4">
        <v>4.0000000000000002E-4</v>
      </c>
      <c r="J1000" s="53">
        <v>-36.641500000000001</v>
      </c>
      <c r="K1000" s="4">
        <v>1.2999999999999999E-3</v>
      </c>
      <c r="L1000" s="4">
        <v>2.5000000000000001E-2</v>
      </c>
      <c r="M1000" s="4">
        <v>3.0000000000000001E-3</v>
      </c>
      <c r="N1000" s="4">
        <v>-5.7999999999999996E-3</v>
      </c>
      <c r="O1000" s="4">
        <v>2.0000000000000001E-4</v>
      </c>
      <c r="P1000" s="4">
        <v>133.01</v>
      </c>
      <c r="Q1000" s="4">
        <v>0.15</v>
      </c>
      <c r="R1000" s="53">
        <f t="shared" si="33"/>
        <v>0.27368312757201646</v>
      </c>
      <c r="S1000" s="22">
        <f t="shared" si="34"/>
        <v>3.0864197530864197E-4</v>
      </c>
    </row>
    <row r="1001" spans="1:19" ht="16">
      <c r="A1001" s="52" t="s">
        <v>412</v>
      </c>
      <c r="B1001" s="53" t="s">
        <v>698</v>
      </c>
      <c r="C1001" s="53"/>
      <c r="D1001" s="53">
        <v>0</v>
      </c>
      <c r="E1001" s="4">
        <v>12</v>
      </c>
      <c r="F1001" s="4">
        <v>8</v>
      </c>
      <c r="G1001" s="4">
        <v>18</v>
      </c>
      <c r="H1001" s="53">
        <v>6.4987000000000004</v>
      </c>
      <c r="I1001" s="4">
        <v>4.0000000000000002E-4</v>
      </c>
      <c r="J1001" s="53">
        <v>-36.641500000000001</v>
      </c>
      <c r="K1001" s="4">
        <v>1.2999999999999999E-3</v>
      </c>
      <c r="L1001" s="4">
        <v>2.5000000000000001E-2</v>
      </c>
      <c r="M1001" s="4">
        <v>3.0000000000000001E-3</v>
      </c>
      <c r="N1001" s="4">
        <v>-5.7999999999999996E-3</v>
      </c>
      <c r="O1001" s="4">
        <v>2.0000000000000001E-4</v>
      </c>
      <c r="P1001" s="4">
        <v>133.01</v>
      </c>
      <c r="Q1001" s="4">
        <v>0.15</v>
      </c>
      <c r="R1001" s="53">
        <f t="shared" si="33"/>
        <v>0.27368312757201646</v>
      </c>
      <c r="S1001" s="22">
        <f t="shared" si="34"/>
        <v>3.0864197530864197E-4</v>
      </c>
    </row>
    <row r="1002" spans="1:19" ht="16">
      <c r="A1002" s="52" t="s">
        <v>413</v>
      </c>
      <c r="B1002" s="53" t="s">
        <v>699</v>
      </c>
      <c r="C1002" s="53"/>
      <c r="D1002" s="53">
        <v>0</v>
      </c>
      <c r="E1002" s="4">
        <v>12</v>
      </c>
      <c r="F1002" s="4">
        <v>8</v>
      </c>
      <c r="G1002" s="4">
        <v>18</v>
      </c>
      <c r="H1002" s="53">
        <v>6.4987000000000004</v>
      </c>
      <c r="I1002" s="4">
        <v>4.0000000000000002E-4</v>
      </c>
      <c r="J1002" s="53">
        <v>-36.641500000000001</v>
      </c>
      <c r="K1002" s="4">
        <v>1.2999999999999999E-3</v>
      </c>
      <c r="L1002" s="4">
        <v>2.5000000000000001E-2</v>
      </c>
      <c r="M1002" s="4">
        <v>3.0000000000000001E-3</v>
      </c>
      <c r="N1002" s="4">
        <v>-5.7999999999999996E-3</v>
      </c>
      <c r="O1002" s="4">
        <v>2.0000000000000001E-4</v>
      </c>
      <c r="P1002" s="4">
        <v>133.01</v>
      </c>
      <c r="Q1002" s="4">
        <v>0.15</v>
      </c>
      <c r="R1002" s="53">
        <f t="shared" si="33"/>
        <v>0.27368312757201646</v>
      </c>
      <c r="S1002" s="22">
        <f t="shared" si="34"/>
        <v>3.0864197530864197E-4</v>
      </c>
    </row>
    <row r="1003" spans="1:19" ht="16">
      <c r="A1003" s="52" t="s">
        <v>414</v>
      </c>
      <c r="B1003" s="53" t="s">
        <v>700</v>
      </c>
      <c r="C1003" s="53"/>
      <c r="D1003" s="53">
        <v>0</v>
      </c>
      <c r="E1003" s="4">
        <v>12</v>
      </c>
      <c r="F1003" s="4">
        <v>8</v>
      </c>
      <c r="G1003" s="4">
        <v>18</v>
      </c>
      <c r="H1003" s="53">
        <v>6.4987000000000004</v>
      </c>
      <c r="I1003" s="4">
        <v>4.0000000000000002E-4</v>
      </c>
      <c r="J1003" s="53">
        <v>-36.641500000000001</v>
      </c>
      <c r="K1003" s="4">
        <v>1.2999999999999999E-3</v>
      </c>
      <c r="L1003" s="4">
        <v>2.5000000000000001E-2</v>
      </c>
      <c r="M1003" s="4">
        <v>3.0000000000000001E-3</v>
      </c>
      <c r="N1003" s="4">
        <v>-5.7999999999999996E-3</v>
      </c>
      <c r="O1003" s="4">
        <v>2.0000000000000001E-4</v>
      </c>
      <c r="P1003" s="4">
        <v>133.01</v>
      </c>
      <c r="Q1003" s="4">
        <v>0.15</v>
      </c>
      <c r="R1003" s="53">
        <f t="shared" si="33"/>
        <v>0.27368312757201646</v>
      </c>
      <c r="S1003" s="22">
        <f t="shared" si="34"/>
        <v>3.0864197530864197E-4</v>
      </c>
    </row>
    <row r="1004" spans="1:19" ht="16">
      <c r="A1004" s="52" t="s">
        <v>415</v>
      </c>
      <c r="B1004" s="53" t="s">
        <v>701</v>
      </c>
      <c r="C1004" s="53"/>
      <c r="D1004" s="53">
        <v>0</v>
      </c>
      <c r="E1004" s="4">
        <v>12</v>
      </c>
      <c r="F1004" s="4">
        <v>9</v>
      </c>
      <c r="G1004" s="4">
        <v>18</v>
      </c>
      <c r="H1004" s="53">
        <v>6.4987000000000004</v>
      </c>
      <c r="I1004" s="4">
        <v>4.0000000000000002E-4</v>
      </c>
      <c r="J1004" s="53">
        <v>-36.641500000000001</v>
      </c>
      <c r="K1004" s="4">
        <v>1.2999999999999999E-3</v>
      </c>
      <c r="L1004" s="4">
        <v>2.5000000000000001E-2</v>
      </c>
      <c r="M1004" s="4">
        <v>3.0000000000000001E-3</v>
      </c>
      <c r="N1004" s="4">
        <v>-5.7999999999999996E-3</v>
      </c>
      <c r="O1004" s="4">
        <v>2.0000000000000001E-4</v>
      </c>
      <c r="P1004" s="4">
        <v>133.01</v>
      </c>
      <c r="Q1004" s="4">
        <v>0.15</v>
      </c>
      <c r="R1004" s="53">
        <f t="shared" si="33"/>
        <v>0.27368312757201646</v>
      </c>
      <c r="S1004" s="22">
        <f t="shared" si="34"/>
        <v>3.0864197530864197E-4</v>
      </c>
    </row>
    <row r="1005" spans="1:19" ht="16">
      <c r="A1005" s="52" t="s">
        <v>416</v>
      </c>
      <c r="B1005" s="53" t="s">
        <v>702</v>
      </c>
      <c r="C1005" s="53"/>
      <c r="D1005" s="53">
        <v>0</v>
      </c>
      <c r="E1005" s="4">
        <v>12</v>
      </c>
      <c r="F1005" s="4">
        <v>9</v>
      </c>
      <c r="G1005" s="4">
        <v>18</v>
      </c>
      <c r="H1005" s="53">
        <v>6.4987000000000004</v>
      </c>
      <c r="I1005" s="4">
        <v>4.0000000000000002E-4</v>
      </c>
      <c r="J1005" s="53">
        <v>-36.641500000000001</v>
      </c>
      <c r="K1005" s="4">
        <v>1.2999999999999999E-3</v>
      </c>
      <c r="L1005" s="4">
        <v>2.5000000000000001E-2</v>
      </c>
      <c r="M1005" s="4">
        <v>3.0000000000000001E-3</v>
      </c>
      <c r="N1005" s="4">
        <v>-5.7999999999999996E-3</v>
      </c>
      <c r="O1005" s="4">
        <v>2.0000000000000001E-4</v>
      </c>
      <c r="P1005" s="4">
        <v>133.01</v>
      </c>
      <c r="Q1005" s="4">
        <v>0.15</v>
      </c>
      <c r="R1005" s="53">
        <f t="shared" ref="R1005:R1032" si="35">P1005*E1005/G1005^3</f>
        <v>0.27368312757201646</v>
      </c>
      <c r="S1005" s="22">
        <f t="shared" ref="S1005:S1032" si="36">Q1005*E1005/G1005^3</f>
        <v>3.0864197530864197E-4</v>
      </c>
    </row>
    <row r="1006" spans="1:19" ht="16">
      <c r="A1006" s="52" t="s">
        <v>417</v>
      </c>
      <c r="B1006" s="53" t="s">
        <v>703</v>
      </c>
      <c r="C1006" s="53"/>
      <c r="D1006" s="53">
        <v>0</v>
      </c>
      <c r="E1006" s="4">
        <v>12</v>
      </c>
      <c r="F1006" s="4">
        <v>9</v>
      </c>
      <c r="G1006" s="4">
        <v>18</v>
      </c>
      <c r="H1006" s="53">
        <v>6.4987000000000004</v>
      </c>
      <c r="I1006" s="4">
        <v>4.0000000000000002E-4</v>
      </c>
      <c r="J1006" s="53">
        <v>-36.641500000000001</v>
      </c>
      <c r="K1006" s="4">
        <v>1.2999999999999999E-3</v>
      </c>
      <c r="L1006" s="4">
        <v>2.5000000000000001E-2</v>
      </c>
      <c r="M1006" s="4">
        <v>3.0000000000000001E-3</v>
      </c>
      <c r="N1006" s="4">
        <v>-5.7999999999999996E-3</v>
      </c>
      <c r="O1006" s="4">
        <v>2.0000000000000001E-4</v>
      </c>
      <c r="P1006" s="4">
        <v>133.01</v>
      </c>
      <c r="Q1006" s="4">
        <v>0.15</v>
      </c>
      <c r="R1006" s="53">
        <f t="shared" si="35"/>
        <v>0.27368312757201646</v>
      </c>
      <c r="S1006" s="22">
        <f t="shared" si="36"/>
        <v>3.0864197530864197E-4</v>
      </c>
    </row>
    <row r="1007" spans="1:19" ht="16">
      <c r="A1007" s="52" t="s">
        <v>418</v>
      </c>
      <c r="B1007" s="53" t="s">
        <v>704</v>
      </c>
      <c r="C1007" s="53"/>
      <c r="D1007" s="53">
        <v>0</v>
      </c>
      <c r="E1007" s="4">
        <v>12</v>
      </c>
      <c r="F1007" s="4">
        <v>9</v>
      </c>
      <c r="G1007" s="4">
        <v>18</v>
      </c>
      <c r="H1007" s="53">
        <v>6.4987000000000004</v>
      </c>
      <c r="I1007" s="4">
        <v>4.0000000000000002E-4</v>
      </c>
      <c r="J1007" s="53">
        <v>-36.641500000000001</v>
      </c>
      <c r="K1007" s="4">
        <v>1.2999999999999999E-3</v>
      </c>
      <c r="L1007" s="4">
        <v>2.5000000000000001E-2</v>
      </c>
      <c r="M1007" s="4">
        <v>3.0000000000000001E-3</v>
      </c>
      <c r="N1007" s="4">
        <v>-5.7999999999999996E-3</v>
      </c>
      <c r="O1007" s="4">
        <v>2.0000000000000001E-4</v>
      </c>
      <c r="P1007" s="4">
        <v>133.01</v>
      </c>
      <c r="Q1007" s="4">
        <v>0.15</v>
      </c>
      <c r="R1007" s="53">
        <f t="shared" si="35"/>
        <v>0.27368312757201646</v>
      </c>
      <c r="S1007" s="22">
        <f t="shared" si="36"/>
        <v>3.0864197530864197E-4</v>
      </c>
    </row>
    <row r="1008" spans="1:19" ht="16">
      <c r="A1008" s="52" t="s">
        <v>419</v>
      </c>
      <c r="B1008" s="53" t="s">
        <v>705</v>
      </c>
      <c r="C1008" s="53"/>
      <c r="D1008" s="53">
        <v>0</v>
      </c>
      <c r="E1008" s="4">
        <v>12</v>
      </c>
      <c r="F1008" s="4">
        <v>9</v>
      </c>
      <c r="G1008" s="4">
        <v>18</v>
      </c>
      <c r="H1008" s="53">
        <v>6.4987000000000004</v>
      </c>
      <c r="I1008" s="4">
        <v>4.0000000000000002E-4</v>
      </c>
      <c r="J1008" s="53">
        <v>-36.641500000000001</v>
      </c>
      <c r="K1008" s="4">
        <v>1.2999999999999999E-3</v>
      </c>
      <c r="L1008" s="4">
        <v>2.5000000000000001E-2</v>
      </c>
      <c r="M1008" s="4">
        <v>3.0000000000000001E-3</v>
      </c>
      <c r="N1008" s="4">
        <v>-5.7999999999999996E-3</v>
      </c>
      <c r="O1008" s="4">
        <v>2.0000000000000001E-4</v>
      </c>
      <c r="P1008" s="4">
        <v>133.01</v>
      </c>
      <c r="Q1008" s="4">
        <v>0.15</v>
      </c>
      <c r="R1008" s="53">
        <f t="shared" si="35"/>
        <v>0.27368312757201646</v>
      </c>
      <c r="S1008" s="22">
        <f t="shared" si="36"/>
        <v>3.0864197530864197E-4</v>
      </c>
    </row>
    <row r="1009" spans="1:19" ht="16">
      <c r="A1009" s="52" t="s">
        <v>420</v>
      </c>
      <c r="B1009" s="53" t="s">
        <v>706</v>
      </c>
      <c r="C1009" s="53"/>
      <c r="D1009" s="53">
        <v>0</v>
      </c>
      <c r="E1009" s="4">
        <v>12</v>
      </c>
      <c r="F1009" s="4">
        <v>9</v>
      </c>
      <c r="G1009" s="4">
        <v>18</v>
      </c>
      <c r="H1009" s="53">
        <v>6.4987000000000004</v>
      </c>
      <c r="I1009" s="4">
        <v>4.0000000000000002E-4</v>
      </c>
      <c r="J1009" s="53">
        <v>-36.641500000000001</v>
      </c>
      <c r="K1009" s="4">
        <v>1.2999999999999999E-3</v>
      </c>
      <c r="L1009" s="4">
        <v>2.5000000000000001E-2</v>
      </c>
      <c r="M1009" s="4">
        <v>3.0000000000000001E-3</v>
      </c>
      <c r="N1009" s="4">
        <v>-5.7999999999999996E-3</v>
      </c>
      <c r="O1009" s="4">
        <v>2.0000000000000001E-4</v>
      </c>
      <c r="P1009" s="4">
        <v>133.01</v>
      </c>
      <c r="Q1009" s="4">
        <v>0.15</v>
      </c>
      <c r="R1009" s="53">
        <f t="shared" si="35"/>
        <v>0.27368312757201646</v>
      </c>
      <c r="S1009" s="22">
        <f t="shared" si="36"/>
        <v>3.0864197530864197E-4</v>
      </c>
    </row>
    <row r="1010" spans="1:19" ht="16">
      <c r="A1010" s="52" t="s">
        <v>421</v>
      </c>
      <c r="B1010" s="53" t="s">
        <v>707</v>
      </c>
      <c r="C1010" s="53"/>
      <c r="D1010" s="53">
        <v>0</v>
      </c>
      <c r="E1010" s="4">
        <v>12</v>
      </c>
      <c r="F1010" s="4">
        <v>9</v>
      </c>
      <c r="G1010" s="4">
        <v>18</v>
      </c>
      <c r="H1010" s="53">
        <v>6.4987000000000004</v>
      </c>
      <c r="I1010" s="4">
        <v>4.0000000000000002E-4</v>
      </c>
      <c r="J1010" s="53">
        <v>-36.641500000000001</v>
      </c>
      <c r="K1010" s="4">
        <v>1.2999999999999999E-3</v>
      </c>
      <c r="L1010" s="4">
        <v>2.5000000000000001E-2</v>
      </c>
      <c r="M1010" s="4">
        <v>3.0000000000000001E-3</v>
      </c>
      <c r="N1010" s="4">
        <v>-5.7999999999999996E-3</v>
      </c>
      <c r="O1010" s="4">
        <v>2.0000000000000001E-4</v>
      </c>
      <c r="P1010" s="4">
        <v>133.01</v>
      </c>
      <c r="Q1010" s="4">
        <v>0.15</v>
      </c>
      <c r="R1010" s="53">
        <f t="shared" si="35"/>
        <v>0.27368312757201646</v>
      </c>
      <c r="S1010" s="22">
        <f t="shared" si="36"/>
        <v>3.0864197530864197E-4</v>
      </c>
    </row>
    <row r="1011" spans="1:19" ht="16">
      <c r="A1011" s="52" t="s">
        <v>422</v>
      </c>
      <c r="B1011" s="53" t="s">
        <v>708</v>
      </c>
      <c r="C1011" s="53"/>
      <c r="D1011" s="53">
        <v>0</v>
      </c>
      <c r="E1011" s="4">
        <v>12</v>
      </c>
      <c r="F1011" s="4">
        <v>9</v>
      </c>
      <c r="G1011" s="4">
        <v>18</v>
      </c>
      <c r="H1011" s="53">
        <v>6.4987000000000004</v>
      </c>
      <c r="I1011" s="4">
        <v>4.0000000000000002E-4</v>
      </c>
      <c r="J1011" s="53">
        <v>-36.641500000000001</v>
      </c>
      <c r="K1011" s="4">
        <v>1.2999999999999999E-3</v>
      </c>
      <c r="L1011" s="4">
        <v>2.5000000000000001E-2</v>
      </c>
      <c r="M1011" s="4">
        <v>3.0000000000000001E-3</v>
      </c>
      <c r="N1011" s="4">
        <v>-5.7999999999999996E-3</v>
      </c>
      <c r="O1011" s="4">
        <v>2.0000000000000001E-4</v>
      </c>
      <c r="P1011" s="4">
        <v>133.01</v>
      </c>
      <c r="Q1011" s="4">
        <v>0.15</v>
      </c>
      <c r="R1011" s="53">
        <f t="shared" si="35"/>
        <v>0.27368312757201646</v>
      </c>
      <c r="S1011" s="22">
        <f t="shared" si="36"/>
        <v>3.0864197530864197E-4</v>
      </c>
    </row>
    <row r="1012" spans="1:19" ht="16">
      <c r="A1012" s="52" t="s">
        <v>423</v>
      </c>
      <c r="B1012" s="53" t="s">
        <v>709</v>
      </c>
      <c r="C1012" s="53"/>
      <c r="D1012" s="53">
        <v>0</v>
      </c>
      <c r="E1012" s="4">
        <v>12</v>
      </c>
      <c r="F1012" s="4">
        <v>9</v>
      </c>
      <c r="G1012" s="4">
        <v>18</v>
      </c>
      <c r="H1012" s="53">
        <v>6.4987000000000004</v>
      </c>
      <c r="I1012" s="4">
        <v>4.0000000000000002E-4</v>
      </c>
      <c r="J1012" s="53">
        <v>-36.641500000000001</v>
      </c>
      <c r="K1012" s="4">
        <v>1.2999999999999999E-3</v>
      </c>
      <c r="L1012" s="4">
        <v>2.5000000000000001E-2</v>
      </c>
      <c r="M1012" s="4">
        <v>3.0000000000000001E-3</v>
      </c>
      <c r="N1012" s="4">
        <v>-5.7999999999999996E-3</v>
      </c>
      <c r="O1012" s="4">
        <v>2.0000000000000001E-4</v>
      </c>
      <c r="P1012" s="4">
        <v>133.01</v>
      </c>
      <c r="Q1012" s="4">
        <v>0.15</v>
      </c>
      <c r="R1012" s="53">
        <f t="shared" si="35"/>
        <v>0.27368312757201646</v>
      </c>
      <c r="S1012" s="22">
        <f t="shared" si="36"/>
        <v>3.0864197530864197E-4</v>
      </c>
    </row>
    <row r="1013" spans="1:19" ht="16">
      <c r="A1013" s="52" t="s">
        <v>424</v>
      </c>
      <c r="B1013" s="53" t="s">
        <v>710</v>
      </c>
      <c r="C1013" s="53"/>
      <c r="D1013" s="53">
        <v>0</v>
      </c>
      <c r="E1013" s="4">
        <v>12</v>
      </c>
      <c r="F1013" s="4">
        <v>9</v>
      </c>
      <c r="G1013" s="4">
        <v>18</v>
      </c>
      <c r="H1013" s="53">
        <v>6.4987000000000004</v>
      </c>
      <c r="I1013" s="4">
        <v>4.0000000000000002E-4</v>
      </c>
      <c r="J1013" s="53">
        <v>-36.641500000000001</v>
      </c>
      <c r="K1013" s="4">
        <v>1.2999999999999999E-3</v>
      </c>
      <c r="L1013" s="4">
        <v>2.5000000000000001E-2</v>
      </c>
      <c r="M1013" s="4">
        <v>3.0000000000000001E-3</v>
      </c>
      <c r="N1013" s="4">
        <v>-5.7999999999999996E-3</v>
      </c>
      <c r="O1013" s="4">
        <v>2.0000000000000001E-4</v>
      </c>
      <c r="P1013" s="4">
        <v>133.01</v>
      </c>
      <c r="Q1013" s="4">
        <v>0.15</v>
      </c>
      <c r="R1013" s="53">
        <f t="shared" si="35"/>
        <v>0.27368312757201646</v>
      </c>
      <c r="S1013" s="22">
        <f t="shared" si="36"/>
        <v>3.0864197530864197E-4</v>
      </c>
    </row>
    <row r="1014" spans="1:19" ht="16">
      <c r="A1014" s="52" t="s">
        <v>425</v>
      </c>
      <c r="B1014" s="53" t="s">
        <v>711</v>
      </c>
      <c r="C1014" s="53"/>
      <c r="D1014" s="53">
        <v>0</v>
      </c>
      <c r="E1014" s="4">
        <v>12</v>
      </c>
      <c r="F1014" s="4">
        <v>9</v>
      </c>
      <c r="G1014" s="4">
        <v>18</v>
      </c>
      <c r="H1014" s="53">
        <v>6.4987000000000004</v>
      </c>
      <c r="I1014" s="4">
        <v>4.0000000000000002E-4</v>
      </c>
      <c r="J1014" s="53">
        <v>-36.641500000000001</v>
      </c>
      <c r="K1014" s="4">
        <v>1.2999999999999999E-3</v>
      </c>
      <c r="L1014" s="4">
        <v>2.5000000000000001E-2</v>
      </c>
      <c r="M1014" s="4">
        <v>3.0000000000000001E-3</v>
      </c>
      <c r="N1014" s="4">
        <v>-5.7999999999999996E-3</v>
      </c>
      <c r="O1014" s="4">
        <v>2.0000000000000001E-4</v>
      </c>
      <c r="P1014" s="4">
        <v>133.01</v>
      </c>
      <c r="Q1014" s="4">
        <v>0.15</v>
      </c>
      <c r="R1014" s="53">
        <f t="shared" si="35"/>
        <v>0.27368312757201646</v>
      </c>
      <c r="S1014" s="22">
        <f t="shared" si="36"/>
        <v>3.0864197530864197E-4</v>
      </c>
    </row>
    <row r="1015" spans="1:19" ht="16">
      <c r="A1015" s="52" t="s">
        <v>426</v>
      </c>
      <c r="B1015" s="53" t="s">
        <v>712</v>
      </c>
      <c r="C1015" s="53"/>
      <c r="D1015" s="53">
        <v>0</v>
      </c>
      <c r="E1015" s="4">
        <v>12</v>
      </c>
      <c r="F1015" s="4">
        <v>9</v>
      </c>
      <c r="G1015" s="4">
        <v>18</v>
      </c>
      <c r="H1015" s="53">
        <v>6.4987000000000004</v>
      </c>
      <c r="I1015" s="4">
        <v>4.0000000000000002E-4</v>
      </c>
      <c r="J1015" s="53">
        <v>-36.641500000000001</v>
      </c>
      <c r="K1015" s="4">
        <v>1.2999999999999999E-3</v>
      </c>
      <c r="L1015" s="4">
        <v>2.5000000000000001E-2</v>
      </c>
      <c r="M1015" s="4">
        <v>3.0000000000000001E-3</v>
      </c>
      <c r="N1015" s="4">
        <v>-5.7999999999999996E-3</v>
      </c>
      <c r="O1015" s="4">
        <v>2.0000000000000001E-4</v>
      </c>
      <c r="P1015" s="4">
        <v>133.01</v>
      </c>
      <c r="Q1015" s="4">
        <v>0.15</v>
      </c>
      <c r="R1015" s="53">
        <f t="shared" si="35"/>
        <v>0.27368312757201646</v>
      </c>
      <c r="S1015" s="22">
        <f t="shared" si="36"/>
        <v>3.0864197530864197E-4</v>
      </c>
    </row>
    <row r="1016" spans="1:19" ht="16">
      <c r="A1016" s="52" t="s">
        <v>427</v>
      </c>
      <c r="B1016" s="53" t="s">
        <v>713</v>
      </c>
      <c r="C1016" s="53"/>
      <c r="D1016" s="53">
        <v>0</v>
      </c>
      <c r="E1016" s="4">
        <v>12</v>
      </c>
      <c r="F1016" s="4">
        <v>9</v>
      </c>
      <c r="G1016" s="4">
        <v>18</v>
      </c>
      <c r="H1016" s="53">
        <v>6.4987000000000004</v>
      </c>
      <c r="I1016" s="4">
        <v>4.0000000000000002E-4</v>
      </c>
      <c r="J1016" s="53">
        <v>-36.641500000000001</v>
      </c>
      <c r="K1016" s="4">
        <v>1.2999999999999999E-3</v>
      </c>
      <c r="L1016" s="4">
        <v>2.5000000000000001E-2</v>
      </c>
      <c r="M1016" s="4">
        <v>3.0000000000000001E-3</v>
      </c>
      <c r="N1016" s="4">
        <v>-5.7999999999999996E-3</v>
      </c>
      <c r="O1016" s="4">
        <v>2.0000000000000001E-4</v>
      </c>
      <c r="P1016" s="4">
        <v>133.01</v>
      </c>
      <c r="Q1016" s="4">
        <v>0.15</v>
      </c>
      <c r="R1016" s="53">
        <f t="shared" si="35"/>
        <v>0.27368312757201646</v>
      </c>
      <c r="S1016" s="22">
        <f t="shared" si="36"/>
        <v>3.0864197530864197E-4</v>
      </c>
    </row>
    <row r="1017" spans="1:19" ht="16">
      <c r="A1017" s="52" t="s">
        <v>428</v>
      </c>
      <c r="B1017" s="53" t="s">
        <v>714</v>
      </c>
      <c r="C1017" s="53"/>
      <c r="D1017" s="53">
        <v>0</v>
      </c>
      <c r="E1017" s="4">
        <v>12</v>
      </c>
      <c r="F1017" s="4">
        <v>9</v>
      </c>
      <c r="G1017" s="4">
        <v>18</v>
      </c>
      <c r="H1017" s="53">
        <v>6.4987000000000004</v>
      </c>
      <c r="I1017" s="4">
        <v>4.0000000000000002E-4</v>
      </c>
      <c r="J1017" s="53">
        <v>-36.641500000000001</v>
      </c>
      <c r="K1017" s="4">
        <v>1.2999999999999999E-3</v>
      </c>
      <c r="L1017" s="4">
        <v>2.5000000000000001E-2</v>
      </c>
      <c r="M1017" s="4">
        <v>3.0000000000000001E-3</v>
      </c>
      <c r="N1017" s="4">
        <v>-5.7999999999999996E-3</v>
      </c>
      <c r="O1017" s="4">
        <v>2.0000000000000001E-4</v>
      </c>
      <c r="P1017" s="4">
        <v>133.01</v>
      </c>
      <c r="Q1017" s="4">
        <v>0.15</v>
      </c>
      <c r="R1017" s="53">
        <f t="shared" si="35"/>
        <v>0.27368312757201646</v>
      </c>
      <c r="S1017" s="22">
        <f t="shared" si="36"/>
        <v>3.0864197530864197E-4</v>
      </c>
    </row>
    <row r="1018" spans="1:19" ht="16">
      <c r="A1018" s="52" t="s">
        <v>429</v>
      </c>
      <c r="B1018" s="53" t="s">
        <v>715</v>
      </c>
      <c r="C1018" s="53"/>
      <c r="D1018" s="53">
        <v>0</v>
      </c>
      <c r="E1018" s="4">
        <v>12</v>
      </c>
      <c r="F1018" s="4">
        <v>9</v>
      </c>
      <c r="G1018" s="4">
        <v>18</v>
      </c>
      <c r="H1018" s="53">
        <v>6.4987000000000004</v>
      </c>
      <c r="I1018" s="4">
        <v>4.0000000000000002E-4</v>
      </c>
      <c r="J1018" s="53">
        <v>-36.641500000000001</v>
      </c>
      <c r="K1018" s="4">
        <v>1.2999999999999999E-3</v>
      </c>
      <c r="L1018" s="4">
        <v>2.5000000000000001E-2</v>
      </c>
      <c r="M1018" s="4">
        <v>3.0000000000000001E-3</v>
      </c>
      <c r="N1018" s="4">
        <v>-5.7999999999999996E-3</v>
      </c>
      <c r="O1018" s="4">
        <v>2.0000000000000001E-4</v>
      </c>
      <c r="P1018" s="4">
        <v>133.01</v>
      </c>
      <c r="Q1018" s="4">
        <v>0.15</v>
      </c>
      <c r="R1018" s="53">
        <f t="shared" si="35"/>
        <v>0.27368312757201646</v>
      </c>
      <c r="S1018" s="22">
        <f t="shared" si="36"/>
        <v>3.0864197530864197E-4</v>
      </c>
    </row>
    <row r="1019" spans="1:19" ht="16">
      <c r="A1019" s="52" t="s">
        <v>430</v>
      </c>
      <c r="B1019" s="53" t="s">
        <v>716</v>
      </c>
      <c r="C1019" s="53"/>
      <c r="D1019" s="53">
        <v>0</v>
      </c>
      <c r="E1019" s="4">
        <v>12</v>
      </c>
      <c r="F1019" s="4">
        <v>9</v>
      </c>
      <c r="G1019" s="4">
        <v>18</v>
      </c>
      <c r="H1019" s="53">
        <v>6.4987000000000004</v>
      </c>
      <c r="I1019" s="4">
        <v>4.0000000000000002E-4</v>
      </c>
      <c r="J1019" s="53">
        <v>-36.641500000000001</v>
      </c>
      <c r="K1019" s="4">
        <v>1.2999999999999999E-3</v>
      </c>
      <c r="L1019" s="4">
        <v>2.5000000000000001E-2</v>
      </c>
      <c r="M1019" s="4">
        <v>3.0000000000000001E-3</v>
      </c>
      <c r="N1019" s="4">
        <v>-5.7999999999999996E-3</v>
      </c>
      <c r="O1019" s="4">
        <v>2.0000000000000001E-4</v>
      </c>
      <c r="P1019" s="4">
        <v>133.01</v>
      </c>
      <c r="Q1019" s="4">
        <v>0.15</v>
      </c>
      <c r="R1019" s="53">
        <f t="shared" si="35"/>
        <v>0.27368312757201646</v>
      </c>
      <c r="S1019" s="22">
        <f t="shared" si="36"/>
        <v>3.0864197530864197E-4</v>
      </c>
    </row>
    <row r="1020" spans="1:19" ht="16">
      <c r="A1020" s="52" t="s">
        <v>431</v>
      </c>
      <c r="B1020" s="53" t="s">
        <v>717</v>
      </c>
      <c r="C1020" s="53"/>
      <c r="D1020" s="53">
        <v>0</v>
      </c>
      <c r="E1020" s="4">
        <v>12</v>
      </c>
      <c r="F1020" s="4">
        <v>10</v>
      </c>
      <c r="G1020" s="4">
        <v>18</v>
      </c>
      <c r="H1020" s="53">
        <v>6.4987000000000004</v>
      </c>
      <c r="I1020" s="4">
        <v>4.0000000000000002E-4</v>
      </c>
      <c r="J1020" s="53">
        <v>-36.641500000000001</v>
      </c>
      <c r="K1020" s="4">
        <v>1.2999999999999999E-3</v>
      </c>
      <c r="L1020" s="4">
        <v>2.5000000000000001E-2</v>
      </c>
      <c r="M1020" s="4">
        <v>3.0000000000000001E-3</v>
      </c>
      <c r="N1020" s="4">
        <v>-5.7999999999999996E-3</v>
      </c>
      <c r="O1020" s="4">
        <v>2.0000000000000001E-4</v>
      </c>
      <c r="P1020" s="4">
        <v>133.01</v>
      </c>
      <c r="Q1020" s="4">
        <v>0.15</v>
      </c>
      <c r="R1020" s="53">
        <f t="shared" si="35"/>
        <v>0.27368312757201646</v>
      </c>
      <c r="S1020" s="22">
        <f t="shared" si="36"/>
        <v>3.0864197530864197E-4</v>
      </c>
    </row>
    <row r="1021" spans="1:19" ht="16">
      <c r="A1021" s="52" t="s">
        <v>432</v>
      </c>
      <c r="B1021" s="53" t="s">
        <v>718</v>
      </c>
      <c r="C1021" s="53"/>
      <c r="D1021" s="53">
        <v>0</v>
      </c>
      <c r="E1021" s="4">
        <v>12</v>
      </c>
      <c r="F1021" s="4">
        <v>10</v>
      </c>
      <c r="G1021" s="4">
        <v>18</v>
      </c>
      <c r="H1021" s="53">
        <v>6.4987000000000004</v>
      </c>
      <c r="I1021" s="4">
        <v>4.0000000000000002E-4</v>
      </c>
      <c r="J1021" s="53">
        <v>-36.641500000000001</v>
      </c>
      <c r="K1021" s="4">
        <v>1.2999999999999999E-3</v>
      </c>
      <c r="L1021" s="4">
        <v>2.5000000000000001E-2</v>
      </c>
      <c r="M1021" s="4">
        <v>3.0000000000000001E-3</v>
      </c>
      <c r="N1021" s="4">
        <v>-5.7999999999999996E-3</v>
      </c>
      <c r="O1021" s="4">
        <v>2.0000000000000001E-4</v>
      </c>
      <c r="P1021" s="4">
        <v>133.01</v>
      </c>
      <c r="Q1021" s="4">
        <v>0.15</v>
      </c>
      <c r="R1021" s="53">
        <f t="shared" si="35"/>
        <v>0.27368312757201646</v>
      </c>
      <c r="S1021" s="22">
        <f t="shared" si="36"/>
        <v>3.0864197530864197E-4</v>
      </c>
    </row>
    <row r="1022" spans="1:19" ht="16">
      <c r="A1022" s="52" t="s">
        <v>433</v>
      </c>
      <c r="B1022" s="53" t="s">
        <v>719</v>
      </c>
      <c r="C1022" s="53"/>
      <c r="D1022" s="53">
        <v>0</v>
      </c>
      <c r="E1022" s="4">
        <v>12</v>
      </c>
      <c r="F1022" s="4">
        <v>10</v>
      </c>
      <c r="G1022" s="4">
        <v>18</v>
      </c>
      <c r="H1022" s="53">
        <v>6.4987000000000004</v>
      </c>
      <c r="I1022" s="4">
        <v>4.0000000000000002E-4</v>
      </c>
      <c r="J1022" s="53">
        <v>-36.641500000000001</v>
      </c>
      <c r="K1022" s="4">
        <v>1.2999999999999999E-3</v>
      </c>
      <c r="L1022" s="4">
        <v>2.5000000000000001E-2</v>
      </c>
      <c r="M1022" s="4">
        <v>3.0000000000000001E-3</v>
      </c>
      <c r="N1022" s="4">
        <v>-5.7999999999999996E-3</v>
      </c>
      <c r="O1022" s="4">
        <v>2.0000000000000001E-4</v>
      </c>
      <c r="P1022" s="4">
        <v>133.01</v>
      </c>
      <c r="Q1022" s="4">
        <v>0.15</v>
      </c>
      <c r="R1022" s="53">
        <f t="shared" si="35"/>
        <v>0.27368312757201646</v>
      </c>
      <c r="S1022" s="22">
        <f t="shared" si="36"/>
        <v>3.0864197530864197E-4</v>
      </c>
    </row>
    <row r="1023" spans="1:19" ht="16">
      <c r="A1023" s="52" t="s">
        <v>434</v>
      </c>
      <c r="B1023" s="53" t="s">
        <v>720</v>
      </c>
      <c r="C1023" s="53"/>
      <c r="D1023" s="53">
        <v>0</v>
      </c>
      <c r="E1023" s="4">
        <v>12</v>
      </c>
      <c r="F1023" s="4">
        <v>10</v>
      </c>
      <c r="G1023" s="4">
        <v>18</v>
      </c>
      <c r="H1023" s="53">
        <v>6.4987000000000004</v>
      </c>
      <c r="I1023" s="4">
        <v>4.0000000000000002E-4</v>
      </c>
      <c r="J1023" s="53">
        <v>-36.641500000000001</v>
      </c>
      <c r="K1023" s="4">
        <v>1.2999999999999999E-3</v>
      </c>
      <c r="L1023" s="4">
        <v>2.5000000000000001E-2</v>
      </c>
      <c r="M1023" s="4">
        <v>3.0000000000000001E-3</v>
      </c>
      <c r="N1023" s="4">
        <v>-5.7999999999999996E-3</v>
      </c>
      <c r="O1023" s="4">
        <v>2.0000000000000001E-4</v>
      </c>
      <c r="P1023" s="4">
        <v>133.01</v>
      </c>
      <c r="Q1023" s="4">
        <v>0.15</v>
      </c>
      <c r="R1023" s="53">
        <f t="shared" si="35"/>
        <v>0.27368312757201646</v>
      </c>
      <c r="S1023" s="22">
        <f t="shared" si="36"/>
        <v>3.0864197530864197E-4</v>
      </c>
    </row>
    <row r="1024" spans="1:19" ht="16">
      <c r="A1024" s="52" t="s">
        <v>435</v>
      </c>
      <c r="B1024" s="53" t="s">
        <v>721</v>
      </c>
      <c r="C1024" s="53"/>
      <c r="D1024" s="53">
        <v>0</v>
      </c>
      <c r="E1024" s="4">
        <v>12</v>
      </c>
      <c r="F1024" s="4">
        <v>10</v>
      </c>
      <c r="G1024" s="4">
        <v>18</v>
      </c>
      <c r="H1024" s="53">
        <v>6.4987000000000004</v>
      </c>
      <c r="I1024" s="4">
        <v>4.0000000000000002E-4</v>
      </c>
      <c r="J1024" s="53">
        <v>-36.641500000000001</v>
      </c>
      <c r="K1024" s="4">
        <v>1.2999999999999999E-3</v>
      </c>
      <c r="L1024" s="4">
        <v>2.5000000000000001E-2</v>
      </c>
      <c r="M1024" s="4">
        <v>3.0000000000000001E-3</v>
      </c>
      <c r="N1024" s="4">
        <v>-5.7999999999999996E-3</v>
      </c>
      <c r="O1024" s="4">
        <v>2.0000000000000001E-4</v>
      </c>
      <c r="P1024" s="4">
        <v>133.01</v>
      </c>
      <c r="Q1024" s="4">
        <v>0.15</v>
      </c>
      <c r="R1024" s="53">
        <f t="shared" si="35"/>
        <v>0.27368312757201646</v>
      </c>
      <c r="S1024" s="22">
        <f t="shared" si="36"/>
        <v>3.0864197530864197E-4</v>
      </c>
    </row>
    <row r="1025" spans="1:19" ht="16">
      <c r="A1025" s="52" t="s">
        <v>436</v>
      </c>
      <c r="B1025" s="53" t="s">
        <v>722</v>
      </c>
      <c r="C1025" s="53"/>
      <c r="D1025" s="53">
        <v>0</v>
      </c>
      <c r="E1025" s="4">
        <v>12</v>
      </c>
      <c r="F1025" s="4">
        <v>10</v>
      </c>
      <c r="G1025" s="4">
        <v>18</v>
      </c>
      <c r="H1025" s="53">
        <v>6.4987000000000004</v>
      </c>
      <c r="I1025" s="4">
        <v>4.0000000000000002E-4</v>
      </c>
      <c r="J1025" s="53">
        <v>-36.641500000000001</v>
      </c>
      <c r="K1025" s="4">
        <v>1.2999999999999999E-3</v>
      </c>
      <c r="L1025" s="4">
        <v>2.5000000000000001E-2</v>
      </c>
      <c r="M1025" s="4">
        <v>3.0000000000000001E-3</v>
      </c>
      <c r="N1025" s="4">
        <v>-5.7999999999999996E-3</v>
      </c>
      <c r="O1025" s="4">
        <v>2.0000000000000001E-4</v>
      </c>
      <c r="P1025" s="4">
        <v>133.01</v>
      </c>
      <c r="Q1025" s="4">
        <v>0.15</v>
      </c>
      <c r="R1025" s="53">
        <f t="shared" si="35"/>
        <v>0.27368312757201646</v>
      </c>
      <c r="S1025" s="22">
        <f t="shared" si="36"/>
        <v>3.0864197530864197E-4</v>
      </c>
    </row>
    <row r="1026" spans="1:19" ht="16">
      <c r="A1026" s="52" t="s">
        <v>437</v>
      </c>
      <c r="B1026" s="53" t="s">
        <v>723</v>
      </c>
      <c r="C1026" s="53"/>
      <c r="D1026" s="53">
        <v>0</v>
      </c>
      <c r="E1026" s="4">
        <v>12</v>
      </c>
      <c r="F1026" s="4">
        <v>10</v>
      </c>
      <c r="G1026" s="4">
        <v>18</v>
      </c>
      <c r="H1026" s="53">
        <v>6.4987000000000004</v>
      </c>
      <c r="I1026" s="4">
        <v>4.0000000000000002E-4</v>
      </c>
      <c r="J1026" s="53">
        <v>-36.641500000000001</v>
      </c>
      <c r="K1026" s="4">
        <v>1.2999999999999999E-3</v>
      </c>
      <c r="L1026" s="4">
        <v>2.5000000000000001E-2</v>
      </c>
      <c r="M1026" s="4">
        <v>3.0000000000000001E-3</v>
      </c>
      <c r="N1026" s="4">
        <v>-5.7999999999999996E-3</v>
      </c>
      <c r="O1026" s="4">
        <v>2.0000000000000001E-4</v>
      </c>
      <c r="P1026" s="4">
        <v>133.01</v>
      </c>
      <c r="Q1026" s="4">
        <v>0.15</v>
      </c>
      <c r="R1026" s="53">
        <f t="shared" si="35"/>
        <v>0.27368312757201646</v>
      </c>
      <c r="S1026" s="22">
        <f t="shared" si="36"/>
        <v>3.0864197530864197E-4</v>
      </c>
    </row>
    <row r="1027" spans="1:19" ht="16">
      <c r="A1027" s="52" t="s">
        <v>438</v>
      </c>
      <c r="B1027" s="53" t="s">
        <v>724</v>
      </c>
      <c r="C1027" s="53"/>
      <c r="D1027" s="53">
        <v>0</v>
      </c>
      <c r="E1027" s="4">
        <v>12</v>
      </c>
      <c r="F1027" s="4">
        <v>11</v>
      </c>
      <c r="G1027" s="4">
        <v>18</v>
      </c>
      <c r="H1027" s="53">
        <v>6.4987000000000004</v>
      </c>
      <c r="I1027" s="4">
        <v>4.0000000000000002E-4</v>
      </c>
      <c r="J1027" s="53">
        <v>-36.641500000000001</v>
      </c>
      <c r="K1027" s="4">
        <v>1.2999999999999999E-3</v>
      </c>
      <c r="L1027" s="4">
        <v>2.5000000000000001E-2</v>
      </c>
      <c r="M1027" s="4">
        <v>3.0000000000000001E-3</v>
      </c>
      <c r="N1027" s="4">
        <v>-5.7999999999999996E-3</v>
      </c>
      <c r="O1027" s="4">
        <v>2.0000000000000001E-4</v>
      </c>
      <c r="P1027" s="4">
        <v>133.01</v>
      </c>
      <c r="Q1027" s="4">
        <v>0.15</v>
      </c>
      <c r="R1027" s="53">
        <f t="shared" si="35"/>
        <v>0.27368312757201646</v>
      </c>
      <c r="S1027" s="22">
        <f t="shared" si="36"/>
        <v>3.0864197530864197E-4</v>
      </c>
    </row>
    <row r="1028" spans="1:19" ht="16">
      <c r="A1028" s="52" t="s">
        <v>439</v>
      </c>
      <c r="B1028" s="53" t="s">
        <v>725</v>
      </c>
      <c r="C1028" s="53"/>
      <c r="D1028" s="53">
        <v>0</v>
      </c>
      <c r="E1028" s="4">
        <v>12</v>
      </c>
      <c r="F1028" s="4">
        <v>11</v>
      </c>
      <c r="G1028" s="4">
        <v>18</v>
      </c>
      <c r="H1028" s="53">
        <v>6.4987000000000004</v>
      </c>
      <c r="I1028" s="4">
        <v>4.0000000000000002E-4</v>
      </c>
      <c r="J1028" s="53">
        <v>-36.641500000000001</v>
      </c>
      <c r="K1028" s="4">
        <v>1.2999999999999999E-3</v>
      </c>
      <c r="L1028" s="4">
        <v>2.5000000000000001E-2</v>
      </c>
      <c r="M1028" s="4">
        <v>3.0000000000000001E-3</v>
      </c>
      <c r="N1028" s="4">
        <v>-5.7999999999999996E-3</v>
      </c>
      <c r="O1028" s="4">
        <v>2.0000000000000001E-4</v>
      </c>
      <c r="P1028" s="4">
        <v>133.01</v>
      </c>
      <c r="Q1028" s="4">
        <v>0.15</v>
      </c>
      <c r="R1028" s="53">
        <f t="shared" si="35"/>
        <v>0.27368312757201646</v>
      </c>
      <c r="S1028" s="22">
        <f t="shared" si="36"/>
        <v>3.0864197530864197E-4</v>
      </c>
    </row>
    <row r="1029" spans="1:19" ht="16">
      <c r="A1029" s="52" t="s">
        <v>440</v>
      </c>
      <c r="B1029" s="53" t="s">
        <v>726</v>
      </c>
      <c r="C1029" s="53"/>
      <c r="D1029" s="53">
        <v>0</v>
      </c>
      <c r="E1029" s="4">
        <v>12</v>
      </c>
      <c r="F1029" s="4">
        <v>11</v>
      </c>
      <c r="G1029" s="4">
        <v>18</v>
      </c>
      <c r="H1029" s="53">
        <v>6.4987000000000004</v>
      </c>
      <c r="I1029" s="4">
        <v>4.0000000000000002E-4</v>
      </c>
      <c r="J1029" s="53">
        <v>-36.641500000000001</v>
      </c>
      <c r="K1029" s="4">
        <v>1.2999999999999999E-3</v>
      </c>
      <c r="L1029" s="4">
        <v>2.5000000000000001E-2</v>
      </c>
      <c r="M1029" s="4">
        <v>3.0000000000000001E-3</v>
      </c>
      <c r="N1029" s="4">
        <v>-5.7999999999999996E-3</v>
      </c>
      <c r="O1029" s="4">
        <v>2.0000000000000001E-4</v>
      </c>
      <c r="P1029" s="4">
        <v>133.01</v>
      </c>
      <c r="Q1029" s="4">
        <v>0.15</v>
      </c>
      <c r="R1029" s="53">
        <f t="shared" si="35"/>
        <v>0.27368312757201646</v>
      </c>
      <c r="S1029" s="22">
        <f t="shared" si="36"/>
        <v>3.0864197530864197E-4</v>
      </c>
    </row>
    <row r="1030" spans="1:19" ht="16">
      <c r="A1030" s="52" t="s">
        <v>441</v>
      </c>
      <c r="B1030" s="53" t="s">
        <v>727</v>
      </c>
      <c r="C1030" s="53"/>
      <c r="D1030" s="53">
        <v>0</v>
      </c>
      <c r="E1030" s="4">
        <v>12</v>
      </c>
      <c r="F1030" s="4">
        <v>11</v>
      </c>
      <c r="G1030" s="4">
        <v>18</v>
      </c>
      <c r="H1030" s="53">
        <v>6.4987000000000004</v>
      </c>
      <c r="I1030" s="4">
        <v>4.0000000000000002E-4</v>
      </c>
      <c r="J1030" s="53">
        <v>-36.641500000000001</v>
      </c>
      <c r="K1030" s="4">
        <v>1.2999999999999999E-3</v>
      </c>
      <c r="L1030" s="4">
        <v>2.5000000000000001E-2</v>
      </c>
      <c r="M1030" s="4">
        <v>3.0000000000000001E-3</v>
      </c>
      <c r="N1030" s="4">
        <v>-5.7999999999999996E-3</v>
      </c>
      <c r="O1030" s="4">
        <v>2.0000000000000001E-4</v>
      </c>
      <c r="P1030" s="4">
        <v>133.01</v>
      </c>
      <c r="Q1030" s="4">
        <v>0.15</v>
      </c>
      <c r="R1030" s="53">
        <f t="shared" si="35"/>
        <v>0.27368312757201646</v>
      </c>
      <c r="S1030" s="22">
        <f t="shared" si="36"/>
        <v>3.0864197530864197E-4</v>
      </c>
    </row>
    <row r="1031" spans="1:19" ht="16">
      <c r="A1031" s="52" t="s">
        <v>442</v>
      </c>
      <c r="B1031" s="53" t="s">
        <v>728</v>
      </c>
      <c r="C1031" s="53"/>
      <c r="D1031" s="53">
        <v>0</v>
      </c>
      <c r="E1031" s="4">
        <v>12</v>
      </c>
      <c r="F1031" s="4">
        <v>11</v>
      </c>
      <c r="G1031" s="4">
        <v>18</v>
      </c>
      <c r="H1031" s="53">
        <v>6.4987000000000004</v>
      </c>
      <c r="I1031" s="4">
        <v>4.0000000000000002E-4</v>
      </c>
      <c r="J1031" s="53">
        <v>-36.641500000000001</v>
      </c>
      <c r="K1031" s="4">
        <v>1.2999999999999999E-3</v>
      </c>
      <c r="L1031" s="4">
        <v>2.5000000000000001E-2</v>
      </c>
      <c r="M1031" s="4">
        <v>3.0000000000000001E-3</v>
      </c>
      <c r="N1031" s="4">
        <v>-5.7999999999999996E-3</v>
      </c>
      <c r="O1031" s="4">
        <v>2.0000000000000001E-4</v>
      </c>
      <c r="P1031" s="4">
        <v>133.01</v>
      </c>
      <c r="Q1031" s="4">
        <v>0.15</v>
      </c>
      <c r="R1031" s="53">
        <f t="shared" si="35"/>
        <v>0.27368312757201646</v>
      </c>
      <c r="S1031" s="22">
        <f t="shared" si="36"/>
        <v>3.0864197530864197E-4</v>
      </c>
    </row>
    <row r="1032" spans="1:19" ht="17" thickBot="1">
      <c r="A1032" s="54" t="s">
        <v>443</v>
      </c>
      <c r="B1032" s="55" t="s">
        <v>729</v>
      </c>
      <c r="C1032" s="55"/>
      <c r="D1032" s="55">
        <v>0</v>
      </c>
      <c r="E1032" s="56">
        <v>12</v>
      </c>
      <c r="F1032" s="56">
        <v>11</v>
      </c>
      <c r="G1032" s="56">
        <v>18</v>
      </c>
      <c r="H1032" s="55">
        <v>6.4987000000000004</v>
      </c>
      <c r="I1032" s="56">
        <v>4.0000000000000002E-4</v>
      </c>
      <c r="J1032" s="55">
        <v>-36.641500000000001</v>
      </c>
      <c r="K1032" s="56">
        <v>1.2999999999999999E-3</v>
      </c>
      <c r="L1032" s="56">
        <v>2.5000000000000001E-2</v>
      </c>
      <c r="M1032" s="56">
        <v>3.0000000000000001E-3</v>
      </c>
      <c r="N1032" s="56">
        <v>-5.7999999999999996E-3</v>
      </c>
      <c r="O1032" s="56">
        <v>2.0000000000000001E-4</v>
      </c>
      <c r="P1032" s="56">
        <v>133.01</v>
      </c>
      <c r="Q1032" s="56">
        <v>0.15</v>
      </c>
      <c r="R1032" s="55">
        <f t="shared" si="35"/>
        <v>0.27368312757201646</v>
      </c>
      <c r="S1032" s="57">
        <f t="shared" si="36"/>
        <v>3.0864197530864197E-4</v>
      </c>
    </row>
    <row r="1033" spans="1:19" ht="16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</row>
    <row r="1034" spans="1:19" ht="16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</row>
    <row r="1035" spans="1:19" ht="16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</row>
    <row r="1036" spans="1:19" ht="1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</row>
    <row r="1037" spans="1:19" ht="16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</row>
    <row r="1038" spans="1:19" ht="16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</row>
    <row r="1039" spans="1:19" ht="16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</row>
    <row r="1040" spans="1:19" ht="16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</row>
    <row r="1041" spans="1:19" ht="16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</row>
    <row r="1042" spans="1:19" ht="16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</row>
    <row r="1043" spans="1:19" ht="16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</row>
    <row r="1044" spans="1:19" ht="16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</row>
    <row r="1045" spans="1:19" ht="16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</row>
    <row r="1046" spans="1:19" ht="1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</row>
    <row r="1047" spans="1:19" ht="16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</row>
    <row r="1048" spans="1:19" ht="16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</row>
    <row r="1049" spans="1:19" ht="16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</row>
    <row r="1050" spans="1:19" ht="16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</row>
    <row r="1051" spans="1:19" ht="16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</row>
    <row r="1052" spans="1:19" ht="16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</row>
    <row r="1053" spans="1:19" ht="16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</row>
    <row r="1054" spans="1:19" ht="16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</row>
    <row r="1055" spans="1:19" ht="16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</row>
    <row r="1056" spans="1:19" ht="1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</row>
    <row r="1057" spans="1:19" ht="16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</row>
    <row r="1058" spans="1:19" ht="16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</row>
    <row r="1059" spans="1:19" ht="16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</row>
    <row r="1060" spans="1:19" ht="16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</row>
    <row r="1061" spans="1:19" ht="16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</row>
    <row r="1062" spans="1:19" ht="16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</row>
    <row r="1063" spans="1:19" ht="16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</row>
    <row r="1064" spans="1:19" ht="16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</row>
    <row r="1065" spans="1:19" ht="16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</row>
    <row r="1066" spans="1:19" ht="1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</row>
    <row r="1067" spans="1:19" ht="16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</row>
    <row r="1068" spans="1:19" ht="16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</row>
    <row r="1069" spans="1:19" ht="16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</row>
    <row r="1070" spans="1:19" ht="16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</row>
    <row r="1071" spans="1:19" ht="16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</row>
    <row r="1072" spans="1:19" ht="16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</row>
    <row r="1073" spans="1:19" ht="16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</row>
    <row r="1074" spans="1:19" ht="16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</row>
    <row r="1075" spans="1:19" ht="16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</row>
    <row r="1076" spans="1:19" ht="1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</row>
    <row r="1077" spans="1:19" ht="16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</row>
    <row r="1078" spans="1:19" ht="16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</row>
    <row r="1079" spans="1:19" ht="16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</row>
    <row r="1080" spans="1:19" ht="16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</row>
    <row r="1081" spans="1:19" ht="16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</row>
    <row r="1082" spans="1:19" ht="16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</row>
    <row r="1083" spans="1:19" ht="16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</row>
    <row r="1084" spans="1:19" ht="16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</row>
    <row r="1085" spans="1:19" ht="16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</row>
    <row r="1086" spans="1:19" ht="1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</row>
    <row r="1087" spans="1:19" ht="16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</row>
    <row r="1088" spans="1:19" ht="16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</row>
    <row r="1089" spans="1:19" ht="16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</row>
    <row r="1090" spans="1:19" ht="16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</row>
    <row r="1091" spans="1:19" ht="16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</row>
    <row r="1092" spans="1:19" ht="16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</row>
    <row r="1093" spans="1:19" ht="16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</row>
    <row r="1094" spans="1:19" ht="16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</row>
    <row r="1095" spans="1:19" ht="16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</row>
    <row r="1096" spans="1:19" ht="1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</row>
    <row r="1097" spans="1:19" ht="16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</row>
    <row r="1098" spans="1:19" ht="16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</row>
    <row r="1099" spans="1:19" ht="16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</row>
    <row r="1100" spans="1:19" ht="16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</row>
    <row r="1101" spans="1:19" ht="16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</row>
    <row r="1102" spans="1:19" ht="16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</row>
    <row r="1103" spans="1:19" ht="16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</row>
    <row r="1104" spans="1:19" ht="16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</row>
    <row r="1105" spans="1:19" ht="16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</row>
    <row r="1106" spans="1:19" ht="1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</row>
    <row r="1107" spans="1:19" ht="16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</row>
    <row r="1108" spans="1:19" ht="16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</row>
    <row r="1109" spans="1:19" ht="16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</row>
    <row r="1110" spans="1:19" ht="16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</row>
    <row r="1111" spans="1:19" ht="16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</row>
    <row r="1112" spans="1:19" ht="16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</row>
    <row r="1113" spans="1:19" ht="16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</row>
    <row r="1114" spans="1:19" ht="16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81"/>
  <sheetViews>
    <sheetView zoomScale="52" workbookViewId="0">
      <selection activeCell="M160" sqref="M160"/>
    </sheetView>
  </sheetViews>
  <sheetFormatPr baseColWidth="10" defaultColWidth="8.83203125" defaultRowHeight="16"/>
  <cols>
    <col min="1" max="1" width="17.6640625" style="4" customWidth="1"/>
    <col min="2" max="2" width="27.33203125" style="4" customWidth="1"/>
    <col min="3" max="3" width="33.1640625" style="4" customWidth="1"/>
    <col min="4" max="18" width="9" style="4" bestFit="1" customWidth="1"/>
    <col min="19" max="19" width="12.33203125" style="4" bestFit="1" customWidth="1"/>
    <col min="20" max="20" width="9.33203125" style="4" customWidth="1"/>
    <col min="21" max="16384" width="8.83203125" style="4"/>
  </cols>
  <sheetData>
    <row r="1" spans="1:22" ht="17" thickBot="1">
      <c r="A1" s="114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6" t="s">
        <v>1712</v>
      </c>
      <c r="I1" s="179" t="s">
        <v>1714</v>
      </c>
      <c r="J1" s="116" t="s">
        <v>7</v>
      </c>
      <c r="K1" s="116" t="s">
        <v>1713</v>
      </c>
      <c r="L1" s="116" t="s">
        <v>8</v>
      </c>
      <c r="M1" s="116" t="s">
        <v>1713</v>
      </c>
      <c r="N1" s="116" t="s">
        <v>9</v>
      </c>
      <c r="O1" s="116" t="s">
        <v>1713</v>
      </c>
      <c r="P1" s="116" t="s">
        <v>10</v>
      </c>
      <c r="Q1" s="116" t="s">
        <v>1713</v>
      </c>
      <c r="R1" s="117" t="s">
        <v>11</v>
      </c>
      <c r="S1" s="180" t="s">
        <v>1715</v>
      </c>
      <c r="T1" s="3"/>
      <c r="U1" s="3"/>
      <c r="V1" s="3"/>
    </row>
    <row r="2" spans="1:22" ht="17" thickTop="1">
      <c r="A2" s="51" t="s">
        <v>730</v>
      </c>
      <c r="B2" s="6" t="s">
        <v>1708</v>
      </c>
      <c r="C2" s="6" t="s">
        <v>13</v>
      </c>
      <c r="D2" s="6">
        <v>0</v>
      </c>
      <c r="E2" s="7">
        <v>18</v>
      </c>
      <c r="F2" s="7">
        <v>0</v>
      </c>
      <c r="G2" s="7">
        <v>21</v>
      </c>
      <c r="H2" s="6">
        <v>7.0198999999999998</v>
      </c>
      <c r="I2" s="7">
        <v>1E-4</v>
      </c>
      <c r="J2" s="6">
        <v>-43.207999999999998</v>
      </c>
      <c r="K2" s="7">
        <v>8.0000000000000004E-4</v>
      </c>
      <c r="L2" s="7">
        <v>2.8000000000000001E-2</v>
      </c>
      <c r="M2" s="7">
        <v>4.0000000000000001E-3</v>
      </c>
      <c r="N2" s="7">
        <v>-4.5999999999999999E-3</v>
      </c>
      <c r="O2" s="7">
        <v>1E-4</v>
      </c>
      <c r="P2" s="7">
        <v>125.06</v>
      </c>
      <c r="Q2" s="7">
        <v>0.08</v>
      </c>
      <c r="R2" s="6">
        <f>P2*E2/G2^3</f>
        <v>0.2430709426627794</v>
      </c>
      <c r="S2" s="18">
        <f>Q2*E2/G2^3</f>
        <v>1.5549076773566569E-4</v>
      </c>
    </row>
    <row r="3" spans="1:22">
      <c r="A3" s="44" t="s">
        <v>730</v>
      </c>
      <c r="B3" s="45" t="s">
        <v>1708</v>
      </c>
      <c r="C3" s="45" t="s">
        <v>13</v>
      </c>
      <c r="D3" s="45">
        <v>0.25</v>
      </c>
      <c r="E3" s="4">
        <v>18</v>
      </c>
      <c r="F3" s="4">
        <v>0</v>
      </c>
      <c r="G3" s="4">
        <v>21</v>
      </c>
      <c r="H3" s="48">
        <v>5.2648999999999999</v>
      </c>
      <c r="I3" s="39">
        <v>2.0000000000000001E-4</v>
      </c>
      <c r="J3" s="48">
        <v>-32.405299999999997</v>
      </c>
      <c r="K3" s="39">
        <v>8.9999999999999998E-4</v>
      </c>
      <c r="L3" s="39">
        <v>0.03</v>
      </c>
      <c r="M3" s="39">
        <v>3.0000000000000001E-3</v>
      </c>
      <c r="N3" s="39">
        <v>-6.1999999999999998E-3</v>
      </c>
      <c r="O3" s="39">
        <v>2.0000000000000001E-4</v>
      </c>
      <c r="P3" s="39">
        <v>125.09</v>
      </c>
      <c r="Q3" s="39">
        <v>0.16</v>
      </c>
      <c r="R3" s="45">
        <f>P3*E3/G3^3</f>
        <v>0.24312925170068025</v>
      </c>
      <c r="S3" s="22">
        <f>Q3*E3/G3^3</f>
        <v>3.1098153547133139E-4</v>
      </c>
    </row>
    <row r="4" spans="1:22">
      <c r="A4" s="23" t="s">
        <v>730</v>
      </c>
      <c r="B4" s="4" t="s">
        <v>1708</v>
      </c>
      <c r="C4" s="4" t="s">
        <v>13</v>
      </c>
      <c r="D4" s="4">
        <v>0.5</v>
      </c>
      <c r="E4" s="4">
        <v>18</v>
      </c>
      <c r="F4" s="4">
        <v>0</v>
      </c>
      <c r="G4" s="4">
        <v>21</v>
      </c>
      <c r="H4" s="4">
        <v>3.5099</v>
      </c>
      <c r="I4" s="4">
        <v>8.9999999999999998E-4</v>
      </c>
      <c r="J4" s="4">
        <v>-21.604700000000001</v>
      </c>
      <c r="K4" s="4">
        <v>2E-3</v>
      </c>
      <c r="L4" s="4">
        <v>3.3000000000000002E-2</v>
      </c>
      <c r="M4" s="4">
        <v>4.0000000000000001E-3</v>
      </c>
      <c r="N4" s="4">
        <v>-9.1000000000000004E-3</v>
      </c>
      <c r="O4" s="4">
        <v>2.0000000000000001E-4</v>
      </c>
      <c r="P4" s="4">
        <v>125.14</v>
      </c>
      <c r="Q4" s="4">
        <v>0.1</v>
      </c>
      <c r="R4" s="4">
        <f>P4*E4/G4^3</f>
        <v>0.24322643343051506</v>
      </c>
      <c r="S4" s="22">
        <f>Q4*E4/G4^3</f>
        <v>1.9436345966958212E-4</v>
      </c>
    </row>
    <row r="5" spans="1:22" ht="17" thickBot="1">
      <c r="A5" s="25" t="s">
        <v>730</v>
      </c>
      <c r="B5" s="9" t="s">
        <v>1708</v>
      </c>
      <c r="C5" s="9" t="s">
        <v>13</v>
      </c>
      <c r="D5" s="9">
        <v>0.75</v>
      </c>
      <c r="E5" s="10">
        <v>18</v>
      </c>
      <c r="F5" s="10">
        <v>0</v>
      </c>
      <c r="G5" s="10">
        <v>21</v>
      </c>
      <c r="H5" s="9">
        <v>1.7553000000000001</v>
      </c>
      <c r="I5" s="10">
        <v>2.0000000000000001E-4</v>
      </c>
      <c r="J5" s="9">
        <v>-10.801600000000001</v>
      </c>
      <c r="K5" s="10">
        <v>5.0000000000000001E-4</v>
      </c>
      <c r="L5" s="10">
        <v>3.5000000000000003E-2</v>
      </c>
      <c r="M5" s="10">
        <v>8.0000000000000002E-3</v>
      </c>
      <c r="N5" s="10">
        <v>-1.9400000000000001E-2</v>
      </c>
      <c r="O5" s="10">
        <v>5.9999999999999995E-4</v>
      </c>
      <c r="P5" s="10">
        <v>124.86</v>
      </c>
      <c r="Q5" s="10">
        <v>0.15</v>
      </c>
      <c r="R5" s="9">
        <f>P5*E5/G5^3</f>
        <v>0.24268221574344023</v>
      </c>
      <c r="S5" s="26">
        <f>Q5*E5/G5^3</f>
        <v>2.9154518950437317E-4</v>
      </c>
    </row>
    <row r="6" spans="1:22" ht="17" thickTop="1">
      <c r="A6" s="27" t="s">
        <v>731</v>
      </c>
      <c r="B6" s="118" t="s">
        <v>1030</v>
      </c>
      <c r="C6" s="118"/>
      <c r="D6" s="5">
        <v>0.25</v>
      </c>
      <c r="E6" s="7">
        <v>18</v>
      </c>
      <c r="F6" s="7">
        <v>1</v>
      </c>
      <c r="G6" s="7">
        <v>21</v>
      </c>
      <c r="H6" s="119">
        <v>5.2756999999999996</v>
      </c>
      <c r="I6" s="7">
        <v>5.0000000000000001E-4</v>
      </c>
      <c r="J6" s="119">
        <v>-32.456600000000002</v>
      </c>
      <c r="K6" s="7">
        <v>1.2999999999999999E-3</v>
      </c>
      <c r="L6" s="7">
        <v>2.9000000000000001E-2</v>
      </c>
      <c r="M6" s="7">
        <v>2E-3</v>
      </c>
      <c r="N6" s="7">
        <v>-6.1999999999999998E-3</v>
      </c>
      <c r="O6" s="7">
        <v>2.0000000000000001E-4</v>
      </c>
      <c r="P6" s="7">
        <v>125.11</v>
      </c>
      <c r="Q6" s="7">
        <v>0.1</v>
      </c>
      <c r="R6" s="119">
        <f>P6*E6/G6^3</f>
        <v>0.24316812439261418</v>
      </c>
      <c r="S6" s="18">
        <f>Q6*E6/G6^3</f>
        <v>1.9436345966958212E-4</v>
      </c>
    </row>
    <row r="7" spans="1:22">
      <c r="A7" s="23" t="s">
        <v>731</v>
      </c>
      <c r="B7" s="129" t="s">
        <v>1030</v>
      </c>
      <c r="C7" s="129"/>
      <c r="D7" s="4">
        <v>0.5</v>
      </c>
      <c r="E7" s="4">
        <v>18</v>
      </c>
      <c r="F7" s="4">
        <v>1</v>
      </c>
      <c r="G7" s="4">
        <v>21</v>
      </c>
      <c r="H7" s="4">
        <v>3.5305</v>
      </c>
      <c r="I7" s="4">
        <v>2.9999999999999997E-4</v>
      </c>
      <c r="J7" s="4">
        <v>-21.712199999999999</v>
      </c>
      <c r="K7" s="4">
        <v>1.4E-3</v>
      </c>
      <c r="L7" s="4">
        <v>3.5999999999999997E-2</v>
      </c>
      <c r="M7" s="4">
        <v>7.0000000000000001E-3</v>
      </c>
      <c r="N7" s="4">
        <v>-9.2999999999999992E-3</v>
      </c>
      <c r="O7" s="4">
        <v>2.0000000000000001E-4</v>
      </c>
      <c r="P7" s="4">
        <v>124.93</v>
      </c>
      <c r="Q7" s="4">
        <v>0.21</v>
      </c>
      <c r="R7" s="4">
        <f t="shared" ref="R7:R32" si="0">P7*E7/G7^3</f>
        <v>0.24281827016520896</v>
      </c>
      <c r="S7" s="22">
        <f t="shared" ref="S7:S32" si="1">Q7*E7/G7^3</f>
        <v>4.0816326530612241E-4</v>
      </c>
    </row>
    <row r="8" spans="1:22">
      <c r="A8" s="28" t="s">
        <v>731</v>
      </c>
      <c r="B8" s="130" t="s">
        <v>1030</v>
      </c>
      <c r="C8" s="130"/>
      <c r="D8" s="29">
        <v>0.75</v>
      </c>
      <c r="E8" s="4">
        <v>18</v>
      </c>
      <c r="F8" s="4">
        <v>1</v>
      </c>
      <c r="G8" s="4">
        <v>21</v>
      </c>
      <c r="H8" s="29">
        <v>1.7899</v>
      </c>
      <c r="I8" s="4">
        <v>5.0000000000000001E-4</v>
      </c>
      <c r="J8" s="29">
        <v>-10.9848</v>
      </c>
      <c r="K8" s="4">
        <v>1.2999999999999999E-3</v>
      </c>
      <c r="L8" s="4">
        <v>2.7E-2</v>
      </c>
      <c r="M8" s="4">
        <v>0.01</v>
      </c>
      <c r="N8" s="4">
        <v>-1.8599999999999998E-2</v>
      </c>
      <c r="O8" s="4">
        <v>8.9999999999999998E-4</v>
      </c>
      <c r="P8" s="4">
        <v>124.74</v>
      </c>
      <c r="Q8" s="4">
        <v>0.21</v>
      </c>
      <c r="R8" s="29">
        <f t="shared" si="0"/>
        <v>0.2424489795918367</v>
      </c>
      <c r="S8" s="22">
        <f t="shared" si="1"/>
        <v>4.0816326530612241E-4</v>
      </c>
    </row>
    <row r="9" spans="1:22">
      <c r="A9" s="19" t="s">
        <v>732</v>
      </c>
      <c r="B9" s="131" t="s">
        <v>1031</v>
      </c>
      <c r="C9" s="131" t="s">
        <v>17</v>
      </c>
      <c r="D9" s="20">
        <v>0.25</v>
      </c>
      <c r="E9" s="4">
        <v>18</v>
      </c>
      <c r="F9" s="4">
        <v>1</v>
      </c>
      <c r="G9" s="4">
        <v>21</v>
      </c>
      <c r="H9" s="45">
        <v>5.2786999999999997</v>
      </c>
      <c r="I9" s="4">
        <v>1E-3</v>
      </c>
      <c r="J9" s="45">
        <v>-32.4649</v>
      </c>
      <c r="K9" s="4">
        <v>2.8E-3</v>
      </c>
      <c r="L9" s="4">
        <v>2.9000000000000001E-2</v>
      </c>
      <c r="M9" s="4">
        <v>8.9999999999999993E-3</v>
      </c>
      <c r="N9" s="4">
        <v>-6.1999999999999998E-3</v>
      </c>
      <c r="O9" s="4">
        <v>2.0000000000000001E-4</v>
      </c>
      <c r="P9" s="4">
        <v>124.9</v>
      </c>
      <c r="Q9" s="4">
        <v>0.16</v>
      </c>
      <c r="R9" s="45">
        <f>P9*E9/G9^3</f>
        <v>0.2427599611273081</v>
      </c>
      <c r="S9" s="22">
        <f>Q9*E9/G9^3</f>
        <v>3.1098153547133139E-4</v>
      </c>
    </row>
    <row r="10" spans="1:22">
      <c r="A10" s="23" t="s">
        <v>732</v>
      </c>
      <c r="B10" s="129" t="s">
        <v>1031</v>
      </c>
      <c r="C10" s="129" t="s">
        <v>17</v>
      </c>
      <c r="D10" s="4">
        <v>0.5</v>
      </c>
      <c r="E10" s="4">
        <v>18</v>
      </c>
      <c r="F10" s="4">
        <v>1</v>
      </c>
      <c r="G10" s="4">
        <v>21</v>
      </c>
      <c r="H10" s="4">
        <v>3.5390999999999999</v>
      </c>
      <c r="I10" s="4">
        <v>5.0000000000000001E-4</v>
      </c>
      <c r="J10" s="4">
        <v>-21.7258</v>
      </c>
      <c r="K10" s="4">
        <v>8.0000000000000004E-4</v>
      </c>
      <c r="L10" s="4">
        <v>3.2000000000000001E-2</v>
      </c>
      <c r="M10" s="4">
        <v>4.0000000000000001E-3</v>
      </c>
      <c r="N10" s="4">
        <v>-9.1000000000000004E-3</v>
      </c>
      <c r="O10" s="4">
        <v>2.9999999999999997E-4</v>
      </c>
      <c r="P10" s="4">
        <v>124.89</v>
      </c>
      <c r="Q10" s="4">
        <v>0.17</v>
      </c>
      <c r="R10" s="4">
        <f t="shared" si="0"/>
        <v>0.24274052478134112</v>
      </c>
      <c r="S10" s="22">
        <f t="shared" si="1"/>
        <v>3.304178814382896E-4</v>
      </c>
    </row>
    <row r="11" spans="1:22">
      <c r="A11" s="28" t="s">
        <v>732</v>
      </c>
      <c r="B11" s="130" t="s">
        <v>1031</v>
      </c>
      <c r="C11" s="130" t="s">
        <v>17</v>
      </c>
      <c r="D11" s="29">
        <v>0.75</v>
      </c>
      <c r="E11" s="4">
        <v>18</v>
      </c>
      <c r="F11" s="4">
        <v>1</v>
      </c>
      <c r="G11" s="4">
        <v>21</v>
      </c>
      <c r="H11" s="29">
        <v>1.8048</v>
      </c>
      <c r="I11" s="4">
        <v>2.9999999999999997E-4</v>
      </c>
      <c r="J11" s="29">
        <v>-11.0129</v>
      </c>
      <c r="K11" s="4">
        <v>4.0000000000000002E-4</v>
      </c>
      <c r="L11" s="4">
        <v>2.5999999999999999E-2</v>
      </c>
      <c r="M11" s="4">
        <v>5.0000000000000001E-3</v>
      </c>
      <c r="N11" s="4">
        <v>-1.8599999999999998E-2</v>
      </c>
      <c r="O11" s="4">
        <v>4.0000000000000002E-4</v>
      </c>
      <c r="P11" s="4">
        <v>124.36</v>
      </c>
      <c r="Q11" s="4">
        <v>0.14000000000000001</v>
      </c>
      <c r="R11" s="29">
        <f t="shared" si="0"/>
        <v>0.24171039844509232</v>
      </c>
      <c r="S11" s="22">
        <f t="shared" si="1"/>
        <v>2.7210884353741501E-4</v>
      </c>
    </row>
    <row r="12" spans="1:22">
      <c r="A12" s="19" t="s">
        <v>733</v>
      </c>
      <c r="B12" s="20" t="s">
        <v>1032</v>
      </c>
      <c r="C12" s="20"/>
      <c r="D12" s="20">
        <v>0.25</v>
      </c>
      <c r="E12" s="4">
        <v>18</v>
      </c>
      <c r="F12" s="4">
        <v>1</v>
      </c>
      <c r="G12" s="4">
        <v>21</v>
      </c>
      <c r="H12" s="45">
        <v>5.2766000000000002</v>
      </c>
      <c r="I12" s="4">
        <v>5.0000000000000001E-4</v>
      </c>
      <c r="J12" s="45">
        <v>-32.459499999999998</v>
      </c>
      <c r="K12" s="4">
        <v>1.1999999999999999E-3</v>
      </c>
      <c r="L12" s="4">
        <v>2.8000000000000001E-2</v>
      </c>
      <c r="M12" s="4">
        <v>2E-3</v>
      </c>
      <c r="N12" s="4">
        <v>-6.3E-3</v>
      </c>
      <c r="O12" s="4">
        <v>2.0000000000000001E-4</v>
      </c>
      <c r="P12" s="4">
        <v>124.99</v>
      </c>
      <c r="Q12" s="4">
        <v>0.14000000000000001</v>
      </c>
      <c r="R12" s="45">
        <f>P12*E12/G12^3</f>
        <v>0.24293488824101067</v>
      </c>
      <c r="S12" s="22">
        <f>Q12*E12/G12^3</f>
        <v>2.7210884353741501E-4</v>
      </c>
    </row>
    <row r="13" spans="1:22">
      <c r="A13" s="23" t="s">
        <v>733</v>
      </c>
      <c r="B13" s="4" t="s">
        <v>1032</v>
      </c>
      <c r="D13" s="4">
        <v>0.5</v>
      </c>
      <c r="E13" s="4">
        <v>18</v>
      </c>
      <c r="F13" s="4">
        <v>1</v>
      </c>
      <c r="G13" s="4">
        <v>21</v>
      </c>
      <c r="H13" s="4">
        <v>3.5341</v>
      </c>
      <c r="I13" s="4">
        <v>2.0000000000000001E-4</v>
      </c>
      <c r="J13" s="4">
        <v>-21.716100000000001</v>
      </c>
      <c r="K13" s="4">
        <v>6.9999999999999999E-4</v>
      </c>
      <c r="L13" s="4">
        <v>0.04</v>
      </c>
      <c r="M13" s="4">
        <v>2E-3</v>
      </c>
      <c r="N13" s="4">
        <v>-9.4999999999999998E-3</v>
      </c>
      <c r="O13" s="4">
        <v>2.0000000000000001E-4</v>
      </c>
      <c r="P13" s="4">
        <v>124.81</v>
      </c>
      <c r="Q13" s="4">
        <v>0.25</v>
      </c>
      <c r="R13" s="4">
        <f t="shared" si="0"/>
        <v>0.24258503401360543</v>
      </c>
      <c r="S13" s="22">
        <f t="shared" si="1"/>
        <v>4.8590864917395527E-4</v>
      </c>
    </row>
    <row r="14" spans="1:22">
      <c r="A14" s="28" t="s">
        <v>733</v>
      </c>
      <c r="B14" s="29" t="s">
        <v>1032</v>
      </c>
      <c r="C14" s="29"/>
      <c r="D14" s="29">
        <v>0.75</v>
      </c>
      <c r="E14" s="4">
        <v>18</v>
      </c>
      <c r="F14" s="4">
        <v>1</v>
      </c>
      <c r="G14" s="4">
        <v>21</v>
      </c>
      <c r="H14" s="29">
        <v>1.7956000000000001</v>
      </c>
      <c r="I14" s="4">
        <v>2.9999999999999997E-4</v>
      </c>
      <c r="J14" s="29">
        <v>-10.991899999999999</v>
      </c>
      <c r="K14" s="4">
        <v>1.8E-3</v>
      </c>
      <c r="L14" s="4">
        <v>0.04</v>
      </c>
      <c r="M14" s="4">
        <v>3.5000000000000003E-2</v>
      </c>
      <c r="N14" s="4">
        <v>-1.7299999999999999E-2</v>
      </c>
      <c r="O14" s="4">
        <v>3.0999999999999999E-3</v>
      </c>
      <c r="P14" s="4">
        <v>124.88</v>
      </c>
      <c r="Q14" s="4">
        <v>0.95</v>
      </c>
      <c r="R14" s="29">
        <f t="shared" si="0"/>
        <v>0.24272108843537415</v>
      </c>
      <c r="S14" s="22">
        <f t="shared" si="1"/>
        <v>1.84645286686103E-3</v>
      </c>
    </row>
    <row r="15" spans="1:22">
      <c r="A15" s="19" t="s">
        <v>734</v>
      </c>
      <c r="B15" s="131" t="s">
        <v>1033</v>
      </c>
      <c r="C15" s="20" t="s">
        <v>19</v>
      </c>
      <c r="D15" s="20">
        <v>0.25</v>
      </c>
      <c r="E15" s="4">
        <v>18</v>
      </c>
      <c r="F15" s="4">
        <v>1</v>
      </c>
      <c r="G15" s="4">
        <v>21</v>
      </c>
      <c r="H15" s="45">
        <v>5.2751000000000001</v>
      </c>
      <c r="I15" s="4">
        <v>1E-3</v>
      </c>
      <c r="J15" s="45">
        <v>-32.4572</v>
      </c>
      <c r="K15" s="4">
        <v>1.9E-3</v>
      </c>
      <c r="L15" s="4">
        <v>2.7E-2</v>
      </c>
      <c r="M15" s="4">
        <v>5.0000000000000001E-3</v>
      </c>
      <c r="N15" s="4">
        <v>-6.1999999999999998E-3</v>
      </c>
      <c r="O15" s="4">
        <v>1E-4</v>
      </c>
      <c r="P15" s="4">
        <v>125.07</v>
      </c>
      <c r="Q15" s="4">
        <v>0.22</v>
      </c>
      <c r="R15" s="45">
        <f>P15*E15/G15^3</f>
        <v>0.24309037900874633</v>
      </c>
      <c r="S15" s="22">
        <f>Q15*E15/G15^3</f>
        <v>4.2759961127308068E-4</v>
      </c>
    </row>
    <row r="16" spans="1:22">
      <c r="A16" s="23" t="s">
        <v>734</v>
      </c>
      <c r="B16" s="129" t="s">
        <v>1033</v>
      </c>
      <c r="C16" s="4" t="s">
        <v>19</v>
      </c>
      <c r="D16" s="4">
        <v>0.5</v>
      </c>
      <c r="E16" s="4">
        <v>18</v>
      </c>
      <c r="F16" s="4">
        <v>1</v>
      </c>
      <c r="G16" s="4">
        <v>21</v>
      </c>
      <c r="H16" s="4">
        <v>3.5306000000000002</v>
      </c>
      <c r="I16" s="4">
        <v>8.0000000000000004E-4</v>
      </c>
      <c r="J16" s="4">
        <v>-21.711400000000001</v>
      </c>
      <c r="K16" s="4">
        <v>1.4E-3</v>
      </c>
      <c r="L16" s="4">
        <v>3.5000000000000003E-2</v>
      </c>
      <c r="M16" s="4">
        <v>1.0999999999999999E-2</v>
      </c>
      <c r="N16" s="4">
        <v>-8.9999999999999993E-3</v>
      </c>
      <c r="O16" s="4">
        <v>2.0000000000000001E-4</v>
      </c>
      <c r="P16" s="4">
        <v>125.09</v>
      </c>
      <c r="Q16" s="4">
        <v>0.12</v>
      </c>
      <c r="R16" s="4">
        <f t="shared" si="0"/>
        <v>0.24312925170068025</v>
      </c>
      <c r="S16" s="22">
        <f t="shared" si="1"/>
        <v>2.3323615160349855E-4</v>
      </c>
    </row>
    <row r="17" spans="1:19">
      <c r="A17" s="28" t="s">
        <v>734</v>
      </c>
      <c r="B17" s="130" t="s">
        <v>1033</v>
      </c>
      <c r="C17" s="29" t="s">
        <v>19</v>
      </c>
      <c r="D17" s="29">
        <v>0.75</v>
      </c>
      <c r="E17" s="4">
        <v>18</v>
      </c>
      <c r="F17" s="4">
        <v>1</v>
      </c>
      <c r="G17" s="4">
        <v>21</v>
      </c>
      <c r="H17" s="29">
        <v>1.7886</v>
      </c>
      <c r="I17" s="4">
        <v>2.0000000000000001E-4</v>
      </c>
      <c r="J17" s="29">
        <v>-10.9857</v>
      </c>
      <c r="K17" s="4">
        <v>4.0000000000000002E-4</v>
      </c>
      <c r="L17" s="4">
        <v>4.4999999999999998E-2</v>
      </c>
      <c r="M17" s="4">
        <v>8.9999999999999993E-3</v>
      </c>
      <c r="N17" s="4">
        <v>-1.7999999999999999E-2</v>
      </c>
      <c r="O17" s="4">
        <v>1.1000000000000001E-3</v>
      </c>
      <c r="P17" s="4">
        <v>124.79</v>
      </c>
      <c r="Q17" s="4">
        <v>0.35</v>
      </c>
      <c r="R17" s="29">
        <f t="shared" si="0"/>
        <v>0.24254616132167156</v>
      </c>
      <c r="S17" s="22">
        <f t="shared" si="1"/>
        <v>6.8027210884353737E-4</v>
      </c>
    </row>
    <row r="18" spans="1:19">
      <c r="A18" s="19" t="s">
        <v>735</v>
      </c>
      <c r="B18" s="131" t="s">
        <v>1034</v>
      </c>
      <c r="C18" s="20"/>
      <c r="D18" s="20">
        <v>0.25</v>
      </c>
      <c r="E18" s="4">
        <v>18</v>
      </c>
      <c r="F18" s="4">
        <v>1</v>
      </c>
      <c r="G18" s="4">
        <v>21</v>
      </c>
      <c r="H18" s="45">
        <v>5.2747999999999999</v>
      </c>
      <c r="I18" s="4">
        <v>8.9999999999999998E-4</v>
      </c>
      <c r="J18" s="45">
        <v>-32.457900000000002</v>
      </c>
      <c r="K18" s="4">
        <v>1.5E-3</v>
      </c>
      <c r="L18" s="4">
        <v>3.5000000000000003E-2</v>
      </c>
      <c r="M18" s="4">
        <v>4.0000000000000001E-3</v>
      </c>
      <c r="N18" s="4">
        <v>-6.1000000000000004E-3</v>
      </c>
      <c r="O18" s="4">
        <v>1E-4</v>
      </c>
      <c r="P18" s="4">
        <v>124.97</v>
      </c>
      <c r="Q18" s="4">
        <v>0.08</v>
      </c>
      <c r="R18" s="45">
        <f>P18*E18/G18^3</f>
        <v>0.24289601554907678</v>
      </c>
      <c r="S18" s="22">
        <f>Q18*E18/G18^3</f>
        <v>1.5549076773566569E-4</v>
      </c>
    </row>
    <row r="19" spans="1:19">
      <c r="A19" s="23" t="s">
        <v>735</v>
      </c>
      <c r="B19" s="129" t="s">
        <v>1034</v>
      </c>
      <c r="D19" s="4">
        <v>0.5</v>
      </c>
      <c r="E19" s="4">
        <v>18</v>
      </c>
      <c r="F19" s="4">
        <v>1</v>
      </c>
      <c r="G19" s="4">
        <v>21</v>
      </c>
      <c r="H19" s="4">
        <v>3.5310999999999999</v>
      </c>
      <c r="I19" s="4">
        <v>4.0000000000000002E-4</v>
      </c>
      <c r="J19" s="4">
        <v>-21.7102</v>
      </c>
      <c r="K19" s="4">
        <v>2.0000000000000001E-4</v>
      </c>
      <c r="L19" s="4">
        <v>3.3000000000000002E-2</v>
      </c>
      <c r="M19" s="4">
        <v>0.03</v>
      </c>
      <c r="N19" s="4">
        <v>-8.9999999999999993E-3</v>
      </c>
      <c r="O19" s="4">
        <v>2.0000000000000001E-4</v>
      </c>
      <c r="P19" s="4">
        <v>125.11</v>
      </c>
      <c r="Q19" s="4">
        <v>0.31</v>
      </c>
      <c r="R19" s="4">
        <f t="shared" si="0"/>
        <v>0.24316812439261418</v>
      </c>
      <c r="S19" s="22">
        <f t="shared" si="1"/>
        <v>6.0252672497570462E-4</v>
      </c>
    </row>
    <row r="20" spans="1:19">
      <c r="A20" s="28" t="s">
        <v>735</v>
      </c>
      <c r="B20" s="130" t="s">
        <v>1034</v>
      </c>
      <c r="C20" s="29"/>
      <c r="D20" s="29">
        <v>0.75</v>
      </c>
      <c r="E20" s="4">
        <v>18</v>
      </c>
      <c r="F20" s="4">
        <v>1</v>
      </c>
      <c r="G20" s="4">
        <v>21</v>
      </c>
      <c r="H20" s="29">
        <v>1.7899</v>
      </c>
      <c r="I20" s="4">
        <v>6.9999999999999999E-4</v>
      </c>
      <c r="J20" s="29">
        <v>-10.9839</v>
      </c>
      <c r="K20" s="4">
        <v>2.5000000000000001E-3</v>
      </c>
      <c r="L20" s="4">
        <v>4.5999999999999999E-2</v>
      </c>
      <c r="M20" s="4">
        <v>8.0000000000000002E-3</v>
      </c>
      <c r="N20" s="4">
        <v>-1.9400000000000001E-2</v>
      </c>
      <c r="O20" s="4">
        <v>1.1000000000000001E-3</v>
      </c>
      <c r="P20" s="4">
        <v>124.47</v>
      </c>
      <c r="Q20" s="4">
        <v>0.62</v>
      </c>
      <c r="R20" s="29">
        <f t="shared" si="0"/>
        <v>0.24192419825072886</v>
      </c>
      <c r="S20" s="22">
        <f t="shared" si="1"/>
        <v>1.2050534499514092E-3</v>
      </c>
    </row>
    <row r="21" spans="1:19">
      <c r="A21" s="19" t="s">
        <v>736</v>
      </c>
      <c r="B21" s="131" t="s">
        <v>1035</v>
      </c>
      <c r="C21" s="20"/>
      <c r="D21" s="20">
        <v>0.25</v>
      </c>
      <c r="E21" s="4">
        <v>18</v>
      </c>
      <c r="F21" s="4">
        <v>1</v>
      </c>
      <c r="G21" s="4">
        <v>21</v>
      </c>
      <c r="H21" s="48">
        <v>5.2750000000000004</v>
      </c>
      <c r="I21" s="4">
        <v>5.0000000000000001E-4</v>
      </c>
      <c r="J21" s="45">
        <v>-32.4587</v>
      </c>
      <c r="K21" s="4">
        <v>1.5E-3</v>
      </c>
      <c r="L21" s="4">
        <v>0.04</v>
      </c>
      <c r="M21" s="4">
        <v>8.0000000000000002E-3</v>
      </c>
      <c r="N21" s="4">
        <v>-6.3E-3</v>
      </c>
      <c r="O21" s="4">
        <v>2.9999999999999997E-4</v>
      </c>
      <c r="P21" s="4">
        <v>124.94</v>
      </c>
      <c r="Q21" s="4">
        <v>0.18</v>
      </c>
      <c r="R21" s="45">
        <f>P21*E21/G21^3</f>
        <v>0.24283770651117589</v>
      </c>
      <c r="S21" s="22">
        <f>Q21*E21/G21^3</f>
        <v>3.4985422740524776E-4</v>
      </c>
    </row>
    <row r="22" spans="1:19">
      <c r="A22" s="23" t="s">
        <v>736</v>
      </c>
      <c r="B22" s="129" t="s">
        <v>1035</v>
      </c>
      <c r="D22" s="4">
        <v>0.5</v>
      </c>
      <c r="E22" s="4">
        <v>18</v>
      </c>
      <c r="F22" s="4">
        <v>1</v>
      </c>
      <c r="G22" s="4">
        <v>21</v>
      </c>
      <c r="H22" s="4">
        <v>3.5314000000000001</v>
      </c>
      <c r="I22" s="4">
        <v>5.0000000000000001E-4</v>
      </c>
      <c r="J22" s="4">
        <v>-21.7118</v>
      </c>
      <c r="K22" s="4">
        <v>6.9999999999999999E-4</v>
      </c>
      <c r="L22" s="4">
        <v>2.4E-2</v>
      </c>
      <c r="M22" s="4">
        <v>3.0000000000000001E-3</v>
      </c>
      <c r="N22" s="4">
        <v>-9.2999999999999992E-3</v>
      </c>
      <c r="O22" s="4">
        <v>2.0000000000000001E-4</v>
      </c>
      <c r="P22" s="4">
        <v>124.91</v>
      </c>
      <c r="Q22" s="4">
        <v>0.12</v>
      </c>
      <c r="R22" s="4">
        <f t="shared" si="0"/>
        <v>0.24277939747327504</v>
      </c>
      <c r="S22" s="22">
        <f t="shared" si="1"/>
        <v>2.3323615160349855E-4</v>
      </c>
    </row>
    <row r="23" spans="1:19">
      <c r="A23" s="28" t="s">
        <v>736</v>
      </c>
      <c r="B23" s="130" t="s">
        <v>1035</v>
      </c>
      <c r="C23" s="29"/>
      <c r="D23" s="29">
        <v>0.75</v>
      </c>
      <c r="E23" s="4">
        <v>18</v>
      </c>
      <c r="F23" s="4">
        <v>1</v>
      </c>
      <c r="G23" s="4">
        <v>21</v>
      </c>
      <c r="H23" s="29">
        <v>1.7906</v>
      </c>
      <c r="I23" s="4">
        <v>2.0000000000000001E-4</v>
      </c>
      <c r="J23" s="29">
        <v>-10.9856</v>
      </c>
      <c r="K23" s="4">
        <v>5.0000000000000001E-4</v>
      </c>
      <c r="L23" s="4">
        <v>3.7999999999999999E-2</v>
      </c>
      <c r="M23" s="4">
        <v>4.0000000000000001E-3</v>
      </c>
      <c r="N23" s="4">
        <v>-1.8599999999999998E-2</v>
      </c>
      <c r="O23" s="4">
        <v>5.9999999999999995E-4</v>
      </c>
      <c r="P23" s="4">
        <v>124.7</v>
      </c>
      <c r="Q23" s="4">
        <v>0.14000000000000001</v>
      </c>
      <c r="R23" s="29">
        <f t="shared" si="0"/>
        <v>0.24237123420796888</v>
      </c>
      <c r="S23" s="22">
        <f t="shared" si="1"/>
        <v>2.7210884353741501E-4</v>
      </c>
    </row>
    <row r="24" spans="1:19">
      <c r="A24" s="19" t="s">
        <v>737</v>
      </c>
      <c r="B24" s="131" t="s">
        <v>1036</v>
      </c>
      <c r="C24" s="20"/>
      <c r="D24" s="20">
        <v>0.25</v>
      </c>
      <c r="E24" s="4">
        <v>18</v>
      </c>
      <c r="F24" s="4">
        <v>1</v>
      </c>
      <c r="G24" s="4">
        <v>21</v>
      </c>
      <c r="H24" s="48">
        <v>5.2751000000000001</v>
      </c>
      <c r="I24" s="4">
        <v>5.0000000000000001E-4</v>
      </c>
      <c r="J24" s="45">
        <v>-32.459400000000002</v>
      </c>
      <c r="K24" s="4">
        <v>4.0000000000000002E-4</v>
      </c>
      <c r="L24" s="4">
        <v>3.5000000000000003E-2</v>
      </c>
      <c r="M24" s="4">
        <v>7.0000000000000001E-3</v>
      </c>
      <c r="N24" s="4">
        <v>-6.3E-3</v>
      </c>
      <c r="O24" s="4">
        <v>1E-4</v>
      </c>
      <c r="P24" s="4">
        <v>124.9</v>
      </c>
      <c r="Q24" s="4">
        <v>0.11</v>
      </c>
      <c r="R24" s="45">
        <f>P24*E24/G24^3</f>
        <v>0.2427599611273081</v>
      </c>
      <c r="S24" s="22">
        <f>Q24*E24/G24^3</f>
        <v>2.1379980563654034E-4</v>
      </c>
    </row>
    <row r="25" spans="1:19">
      <c r="A25" s="23" t="s">
        <v>737</v>
      </c>
      <c r="B25" s="129" t="s">
        <v>1036</v>
      </c>
      <c r="D25" s="4">
        <v>0.5</v>
      </c>
      <c r="E25" s="4">
        <v>18</v>
      </c>
      <c r="F25" s="4">
        <v>1</v>
      </c>
      <c r="G25" s="4">
        <v>21</v>
      </c>
      <c r="H25" s="4">
        <v>3.5324</v>
      </c>
      <c r="I25" s="4">
        <v>2.9999999999999997E-4</v>
      </c>
      <c r="J25" s="4">
        <v>-21.711099999999998</v>
      </c>
      <c r="K25" s="4">
        <v>8.0000000000000004E-4</v>
      </c>
      <c r="L25" s="4">
        <v>2.5000000000000001E-2</v>
      </c>
      <c r="M25" s="4">
        <v>2E-3</v>
      </c>
      <c r="N25" s="4">
        <v>-9.2999999999999992E-3</v>
      </c>
      <c r="O25" s="4">
        <v>2.0000000000000001E-4</v>
      </c>
      <c r="P25" s="4">
        <v>124.96</v>
      </c>
      <c r="Q25" s="4">
        <v>0.16</v>
      </c>
      <c r="R25" s="4">
        <f t="shared" si="0"/>
        <v>0.24287657920310979</v>
      </c>
      <c r="S25" s="22">
        <f t="shared" si="1"/>
        <v>3.1098153547133139E-4</v>
      </c>
    </row>
    <row r="26" spans="1:19">
      <c r="A26" s="28" t="s">
        <v>737</v>
      </c>
      <c r="B26" s="130" t="s">
        <v>1036</v>
      </c>
      <c r="C26" s="29"/>
      <c r="D26" s="29">
        <v>0.75</v>
      </c>
      <c r="E26" s="4">
        <v>18</v>
      </c>
      <c r="F26" s="4">
        <v>1</v>
      </c>
      <c r="G26" s="4">
        <v>21</v>
      </c>
      <c r="H26" s="29">
        <v>1.7915000000000001</v>
      </c>
      <c r="I26" s="4">
        <v>1E-3</v>
      </c>
      <c r="J26" s="29">
        <v>-10.9876</v>
      </c>
      <c r="K26" s="4">
        <v>1.8E-3</v>
      </c>
      <c r="L26" s="4">
        <v>4.7E-2</v>
      </c>
      <c r="M26" s="4">
        <v>7.2999999999999995E-2</v>
      </c>
      <c r="N26" s="4">
        <v>-1.8599999999999998E-2</v>
      </c>
      <c r="O26" s="4">
        <v>4.3E-3</v>
      </c>
      <c r="P26" s="4">
        <v>124.78</v>
      </c>
      <c r="Q26" s="4">
        <v>0.63</v>
      </c>
      <c r="R26" s="29">
        <f t="shared" si="0"/>
        <v>0.24252672497570457</v>
      </c>
      <c r="S26" s="22">
        <f t="shared" si="1"/>
        <v>1.2244897959183673E-3</v>
      </c>
    </row>
    <row r="27" spans="1:19">
      <c r="A27" s="19" t="s">
        <v>738</v>
      </c>
      <c r="B27" s="131" t="s">
        <v>1037</v>
      </c>
      <c r="C27" s="20"/>
      <c r="D27" s="20">
        <v>0.25</v>
      </c>
      <c r="E27" s="4">
        <v>18</v>
      </c>
      <c r="F27" s="4">
        <v>1</v>
      </c>
      <c r="G27" s="4">
        <v>21</v>
      </c>
      <c r="H27" s="48">
        <v>5.2766000000000002</v>
      </c>
      <c r="I27" s="4">
        <v>8.9999999999999998E-4</v>
      </c>
      <c r="J27" s="45">
        <v>-32.457900000000002</v>
      </c>
      <c r="K27" s="4">
        <v>2E-3</v>
      </c>
      <c r="L27" s="4">
        <v>3.6999999999999998E-2</v>
      </c>
      <c r="M27" s="4">
        <v>1.4999999999999999E-2</v>
      </c>
      <c r="N27" s="4">
        <v>-6.0000000000000001E-3</v>
      </c>
      <c r="O27" s="4">
        <v>2.0000000000000001E-4</v>
      </c>
      <c r="P27" s="4">
        <v>125.13</v>
      </c>
      <c r="Q27" s="4">
        <v>0.1</v>
      </c>
      <c r="R27" s="45">
        <f>P27*E27/G27^3</f>
        <v>0.24320699708454813</v>
      </c>
      <c r="S27" s="22">
        <f>Q27*E27/G27^3</f>
        <v>1.9436345966958212E-4</v>
      </c>
    </row>
    <row r="28" spans="1:19">
      <c r="A28" s="23" t="s">
        <v>738</v>
      </c>
      <c r="B28" s="129" t="s">
        <v>1037</v>
      </c>
      <c r="D28" s="4">
        <v>0.5</v>
      </c>
      <c r="E28" s="4">
        <v>18</v>
      </c>
      <c r="F28" s="4">
        <v>1</v>
      </c>
      <c r="G28" s="4">
        <v>21</v>
      </c>
      <c r="H28" s="4">
        <v>3.5331999999999999</v>
      </c>
      <c r="I28" s="4">
        <v>5.9999999999999995E-4</v>
      </c>
      <c r="J28" s="4">
        <v>-21.712700000000002</v>
      </c>
      <c r="K28" s="4">
        <v>1.5E-3</v>
      </c>
      <c r="L28" s="4">
        <v>2.8000000000000001E-2</v>
      </c>
      <c r="M28" s="4">
        <v>5.0000000000000001E-3</v>
      </c>
      <c r="N28" s="4">
        <v>-9.4000000000000004E-3</v>
      </c>
      <c r="O28" s="4">
        <v>1E-4</v>
      </c>
      <c r="P28" s="4">
        <v>124.99</v>
      </c>
      <c r="Q28" s="4">
        <v>0.1</v>
      </c>
      <c r="R28" s="4">
        <f t="shared" si="0"/>
        <v>0.24293488824101067</v>
      </c>
      <c r="S28" s="22">
        <f t="shared" si="1"/>
        <v>1.9436345966958212E-4</v>
      </c>
    </row>
    <row r="29" spans="1:19">
      <c r="A29" s="28" t="s">
        <v>738</v>
      </c>
      <c r="B29" s="130" t="s">
        <v>1037</v>
      </c>
      <c r="C29" s="29"/>
      <c r="D29" s="29">
        <v>0.75</v>
      </c>
      <c r="E29" s="4">
        <v>18</v>
      </c>
      <c r="F29" s="4">
        <v>1</v>
      </c>
      <c r="G29" s="4">
        <v>21</v>
      </c>
      <c r="H29" s="29">
        <v>1.7932999999999999</v>
      </c>
      <c r="I29" s="4">
        <v>2.9999999999999997E-4</v>
      </c>
      <c r="J29" s="29">
        <v>-10.9894</v>
      </c>
      <c r="K29" s="4">
        <v>6.9999999999999999E-4</v>
      </c>
      <c r="L29" s="4">
        <v>3.6999999999999998E-2</v>
      </c>
      <c r="M29" s="4">
        <v>1.4999999999999999E-2</v>
      </c>
      <c r="N29" s="4">
        <v>-1.8599999999999998E-2</v>
      </c>
      <c r="O29" s="4">
        <v>8.0000000000000004E-4</v>
      </c>
      <c r="P29" s="4">
        <v>124.43</v>
      </c>
      <c r="Q29" s="4">
        <v>0.28000000000000003</v>
      </c>
      <c r="R29" s="29">
        <f t="shared" si="0"/>
        <v>0.24184645286686104</v>
      </c>
      <c r="S29" s="22">
        <f t="shared" si="1"/>
        <v>5.4421768707483002E-4</v>
      </c>
    </row>
    <row r="30" spans="1:19">
      <c r="A30" s="19" t="s">
        <v>739</v>
      </c>
      <c r="B30" s="131" t="s">
        <v>1038</v>
      </c>
      <c r="C30" s="20"/>
      <c r="D30" s="20">
        <v>0.25</v>
      </c>
      <c r="E30" s="4">
        <v>18</v>
      </c>
      <c r="F30" s="4">
        <v>1</v>
      </c>
      <c r="G30" s="4">
        <v>21</v>
      </c>
      <c r="H30" s="48">
        <v>5.2777000000000003</v>
      </c>
      <c r="I30" s="4">
        <v>6.9999999999999999E-4</v>
      </c>
      <c r="J30" s="45">
        <v>-32.460999999999999</v>
      </c>
      <c r="K30" s="4">
        <v>8.9999999999999998E-4</v>
      </c>
      <c r="L30" s="4">
        <v>3.2000000000000001E-2</v>
      </c>
      <c r="M30" s="4">
        <v>8.9999999999999993E-3</v>
      </c>
      <c r="N30" s="4">
        <v>-6.3E-3</v>
      </c>
      <c r="O30" s="4">
        <v>2.9999999999999997E-4</v>
      </c>
      <c r="P30" s="4">
        <v>124.84</v>
      </c>
      <c r="Q30" s="4">
        <v>0.21</v>
      </c>
      <c r="R30" s="45">
        <f>P30*E30/G30^3</f>
        <v>0.24264334305150631</v>
      </c>
      <c r="S30" s="22">
        <f>Q30*E30/G30^3</f>
        <v>4.0816326530612241E-4</v>
      </c>
    </row>
    <row r="31" spans="1:19">
      <c r="A31" s="23" t="s">
        <v>739</v>
      </c>
      <c r="B31" s="129" t="s">
        <v>1038</v>
      </c>
      <c r="D31" s="4">
        <v>0.5</v>
      </c>
      <c r="E31" s="4">
        <v>18</v>
      </c>
      <c r="F31" s="4">
        <v>1</v>
      </c>
      <c r="G31" s="4">
        <v>21</v>
      </c>
      <c r="H31" s="4">
        <v>3.5365000000000002</v>
      </c>
      <c r="I31" s="4">
        <v>5.9999999999999995E-4</v>
      </c>
      <c r="J31" s="4">
        <v>-21.717300000000002</v>
      </c>
      <c r="K31" s="4">
        <v>1.6999999999999999E-3</v>
      </c>
      <c r="L31" s="4">
        <v>3.6999999999999998E-2</v>
      </c>
      <c r="M31" s="4">
        <v>0.02</v>
      </c>
      <c r="N31" s="4">
        <v>-9.4000000000000004E-3</v>
      </c>
      <c r="O31" s="4">
        <v>2.0000000000000001E-4</v>
      </c>
      <c r="P31" s="4">
        <v>124.87</v>
      </c>
      <c r="Q31" s="4">
        <v>0.11</v>
      </c>
      <c r="R31" s="4">
        <f t="shared" si="0"/>
        <v>0.24270165208940717</v>
      </c>
      <c r="S31" s="22">
        <f t="shared" si="1"/>
        <v>2.1379980563654034E-4</v>
      </c>
    </row>
    <row r="32" spans="1:19" ht="17" thickBot="1">
      <c r="A32" s="28" t="s">
        <v>739</v>
      </c>
      <c r="B32" s="130" t="s">
        <v>1038</v>
      </c>
      <c r="C32" s="29"/>
      <c r="D32" s="29">
        <v>0.75</v>
      </c>
      <c r="E32" s="4">
        <v>18</v>
      </c>
      <c r="F32" s="4">
        <v>1</v>
      </c>
      <c r="G32" s="4">
        <v>21</v>
      </c>
      <c r="H32" s="29">
        <v>1.7983</v>
      </c>
      <c r="I32" s="4">
        <v>5.9999999999999995E-4</v>
      </c>
      <c r="J32" s="29">
        <v>-10.9993</v>
      </c>
      <c r="K32" s="4">
        <v>1.6000000000000001E-3</v>
      </c>
      <c r="L32" s="4">
        <v>4.2999999999999997E-2</v>
      </c>
      <c r="M32" s="4">
        <v>2.3E-2</v>
      </c>
      <c r="N32" s="4">
        <v>-1.7899999999999999E-2</v>
      </c>
      <c r="O32" s="4">
        <v>5.9999999999999995E-4</v>
      </c>
      <c r="P32" s="4">
        <v>124.82</v>
      </c>
      <c r="Q32" s="4">
        <v>0.16</v>
      </c>
      <c r="R32" s="29">
        <f t="shared" si="0"/>
        <v>0.24260447035957239</v>
      </c>
      <c r="S32" s="22">
        <f t="shared" si="1"/>
        <v>3.1098153547133139E-4</v>
      </c>
    </row>
    <row r="33" spans="1:19" ht="17" thickTop="1">
      <c r="A33" s="27" t="s">
        <v>740</v>
      </c>
      <c r="B33" s="5" t="s">
        <v>1039</v>
      </c>
      <c r="C33" s="5"/>
      <c r="D33" s="5">
        <v>0.25</v>
      </c>
      <c r="E33" s="7">
        <v>18</v>
      </c>
      <c r="F33" s="7">
        <v>2</v>
      </c>
      <c r="G33" s="7">
        <v>21</v>
      </c>
      <c r="H33" s="105">
        <v>5.3159999999999998</v>
      </c>
      <c r="I33" s="7">
        <v>8.9999999999999998E-4</v>
      </c>
      <c r="J33" s="119">
        <v>-32.636800000000001</v>
      </c>
      <c r="K33" s="7">
        <v>1.2999999999999999E-3</v>
      </c>
      <c r="L33" s="7">
        <v>2.8000000000000001E-2</v>
      </c>
      <c r="M33" s="7">
        <v>3.0000000000000001E-3</v>
      </c>
      <c r="N33" s="7">
        <v>-6.1999999999999998E-3</v>
      </c>
      <c r="O33" s="7">
        <v>2.0000000000000001E-4</v>
      </c>
      <c r="P33" s="7">
        <v>124.88</v>
      </c>
      <c r="Q33" s="7">
        <v>0.32</v>
      </c>
      <c r="R33" s="119">
        <f>P33*E33/G33^3</f>
        <v>0.24272108843537415</v>
      </c>
      <c r="S33" s="18">
        <f>Q33*E33/G33^3</f>
        <v>6.2196307094266278E-4</v>
      </c>
    </row>
    <row r="34" spans="1:19">
      <c r="A34" s="23" t="s">
        <v>740</v>
      </c>
      <c r="B34" s="4" t="s">
        <v>1039</v>
      </c>
      <c r="D34" s="4">
        <v>0.5</v>
      </c>
      <c r="E34" s="4">
        <v>18</v>
      </c>
      <c r="F34" s="4">
        <v>2</v>
      </c>
      <c r="G34" s="4">
        <v>21</v>
      </c>
      <c r="H34" s="4">
        <v>3.6153</v>
      </c>
      <c r="I34" s="4">
        <v>2.9999999999999997E-4</v>
      </c>
      <c r="J34" s="4">
        <v>-22.0825</v>
      </c>
      <c r="K34" s="4">
        <v>4.0000000000000002E-4</v>
      </c>
      <c r="L34" s="4">
        <v>2.8000000000000001E-2</v>
      </c>
      <c r="M34" s="4">
        <v>7.0000000000000001E-3</v>
      </c>
      <c r="N34" s="4">
        <v>-8.8999999999999999E-3</v>
      </c>
      <c r="O34" s="4">
        <v>2.9999999999999997E-4</v>
      </c>
      <c r="P34" s="4">
        <v>124.78</v>
      </c>
      <c r="Q34" s="4">
        <v>0.21</v>
      </c>
      <c r="R34" s="4">
        <f>P34*E34/G34^3</f>
        <v>0.24252672497570457</v>
      </c>
      <c r="S34" s="22">
        <f>Q34*E34/G34^3</f>
        <v>4.0816326530612241E-4</v>
      </c>
    </row>
    <row r="35" spans="1:19">
      <c r="A35" s="28" t="s">
        <v>740</v>
      </c>
      <c r="B35" s="29" t="s">
        <v>1039</v>
      </c>
      <c r="C35" s="29"/>
      <c r="D35" s="29">
        <v>0.75</v>
      </c>
      <c r="E35" s="4">
        <v>18</v>
      </c>
      <c r="F35" s="4">
        <v>2</v>
      </c>
      <c r="G35" s="4">
        <v>21</v>
      </c>
      <c r="H35" s="29">
        <v>1.9271</v>
      </c>
      <c r="I35" s="4">
        <v>1E-4</v>
      </c>
      <c r="J35" s="29">
        <v>-11.610900000000001</v>
      </c>
      <c r="K35" s="4">
        <v>6.9999999999999999E-4</v>
      </c>
      <c r="L35" s="4">
        <v>2.4E-2</v>
      </c>
      <c r="M35" s="4">
        <v>8.9999999999999993E-3</v>
      </c>
      <c r="N35" s="4">
        <v>-1.72E-2</v>
      </c>
      <c r="O35" s="4">
        <v>2.9999999999999997E-4</v>
      </c>
      <c r="P35" s="4">
        <v>123.21</v>
      </c>
      <c r="Q35" s="4">
        <v>0.08</v>
      </c>
      <c r="R35" s="29">
        <f t="shared" ref="R35" si="2">P35*E35/G35^3</f>
        <v>0.2394752186588921</v>
      </c>
      <c r="S35" s="22">
        <f t="shared" ref="S35" si="3">Q35*E35/G35^3</f>
        <v>1.5549076773566569E-4</v>
      </c>
    </row>
    <row r="36" spans="1:19">
      <c r="A36" s="19" t="s">
        <v>741</v>
      </c>
      <c r="B36" s="131" t="s">
        <v>1040</v>
      </c>
      <c r="C36" s="131" t="s">
        <v>17</v>
      </c>
      <c r="D36" s="20">
        <v>0.25</v>
      </c>
      <c r="E36" s="4">
        <v>18</v>
      </c>
      <c r="F36" s="4">
        <v>2</v>
      </c>
      <c r="G36" s="4">
        <v>21</v>
      </c>
      <c r="H36" s="48">
        <v>5.3193000000000001</v>
      </c>
      <c r="I36" s="4">
        <v>2.9999999999999997E-4</v>
      </c>
      <c r="J36" s="45">
        <v>-32.636400000000002</v>
      </c>
      <c r="K36" s="4">
        <v>1.1000000000000001E-3</v>
      </c>
      <c r="L36" s="4">
        <v>2.5999999999999999E-2</v>
      </c>
      <c r="M36" s="4">
        <v>8.0000000000000002E-3</v>
      </c>
      <c r="N36" s="4">
        <v>-6.3E-3</v>
      </c>
      <c r="O36" s="4">
        <v>2.0000000000000001E-4</v>
      </c>
      <c r="P36" s="4">
        <v>124.65</v>
      </c>
      <c r="Q36" s="4">
        <v>0.27</v>
      </c>
      <c r="R36" s="45">
        <f>P36*E36/G36^3</f>
        <v>0.24227405247813413</v>
      </c>
      <c r="S36" s="22">
        <f>Q36*E36/G36^3</f>
        <v>5.2478134110787176E-4</v>
      </c>
    </row>
    <row r="37" spans="1:19">
      <c r="A37" s="23" t="s">
        <v>741</v>
      </c>
      <c r="B37" s="129" t="s">
        <v>1040</v>
      </c>
      <c r="C37" s="129" t="s">
        <v>17</v>
      </c>
      <c r="D37" s="4">
        <v>0.5</v>
      </c>
      <c r="E37" s="4">
        <v>18</v>
      </c>
      <c r="F37" s="4">
        <v>2</v>
      </c>
      <c r="G37" s="4">
        <v>21</v>
      </c>
      <c r="H37" s="4">
        <v>3.6259000000000001</v>
      </c>
      <c r="I37" s="4">
        <v>8.0000000000000004E-4</v>
      </c>
      <c r="J37" s="4">
        <v>-22.1099</v>
      </c>
      <c r="K37" s="4">
        <v>3.3E-3</v>
      </c>
      <c r="L37" s="4">
        <v>4.9000000000000002E-2</v>
      </c>
      <c r="M37" s="4">
        <v>7.0000000000000001E-3</v>
      </c>
      <c r="N37" s="4">
        <v>-8.6999999999999994E-3</v>
      </c>
      <c r="O37" s="4">
        <v>8.9999999999999998E-4</v>
      </c>
      <c r="P37" s="4">
        <v>124.52</v>
      </c>
      <c r="Q37" s="4">
        <v>0.88</v>
      </c>
      <c r="R37" s="4">
        <f t="shared" ref="R37:R46" si="4">P37*E37/G37^3</f>
        <v>0.24202137998056367</v>
      </c>
      <c r="S37" s="22">
        <f t="shared" ref="S37:S46" si="5">Q37*E37/G37^3</f>
        <v>1.7103984450923227E-3</v>
      </c>
    </row>
    <row r="38" spans="1:19">
      <c r="A38" s="19" t="s">
        <v>742</v>
      </c>
      <c r="B38" s="20" t="s">
        <v>1041</v>
      </c>
      <c r="C38" s="20"/>
      <c r="D38" s="20">
        <v>0.25</v>
      </c>
      <c r="E38" s="4">
        <v>18</v>
      </c>
      <c r="F38" s="4">
        <v>2</v>
      </c>
      <c r="G38" s="4">
        <v>21</v>
      </c>
      <c r="H38" s="45">
        <v>5.3101000000000003</v>
      </c>
      <c r="I38" s="4">
        <v>5.0000000000000001E-4</v>
      </c>
      <c r="J38" s="45">
        <v>-32.631999999999998</v>
      </c>
      <c r="K38" s="4">
        <v>1.8E-3</v>
      </c>
      <c r="L38" s="4">
        <v>3.2000000000000001E-2</v>
      </c>
      <c r="M38" s="4">
        <v>4.0000000000000001E-3</v>
      </c>
      <c r="N38" s="4">
        <v>-6.1999999999999998E-3</v>
      </c>
      <c r="O38" s="4">
        <v>1E-4</v>
      </c>
      <c r="P38" s="4">
        <v>124.92</v>
      </c>
      <c r="Q38" s="4">
        <v>0.12</v>
      </c>
      <c r="R38" s="45">
        <f>P38*E38/G38^3</f>
        <v>0.24279883381924197</v>
      </c>
      <c r="S38" s="22">
        <f>Q38*E38/G38^3</f>
        <v>2.3323615160349855E-4</v>
      </c>
    </row>
    <row r="39" spans="1:19">
      <c r="A39" s="23" t="s">
        <v>742</v>
      </c>
      <c r="B39" s="4" t="s">
        <v>1041</v>
      </c>
      <c r="D39" s="4">
        <v>0.5</v>
      </c>
      <c r="E39" s="4">
        <v>18</v>
      </c>
      <c r="F39" s="4">
        <v>2</v>
      </c>
      <c r="G39" s="4">
        <v>21</v>
      </c>
      <c r="H39" s="4">
        <v>3.6013999999999999</v>
      </c>
      <c r="I39" s="4">
        <v>2.0000000000000001E-4</v>
      </c>
      <c r="J39" s="4">
        <v>-22.074000000000002</v>
      </c>
      <c r="K39" s="4">
        <v>2.9999999999999997E-4</v>
      </c>
      <c r="L39" s="4">
        <v>0.03</v>
      </c>
      <c r="M39" s="4">
        <v>4.0000000000000001E-3</v>
      </c>
      <c r="N39" s="4">
        <v>-9.1000000000000004E-3</v>
      </c>
      <c r="O39" s="4">
        <v>2.0000000000000001E-4</v>
      </c>
      <c r="P39" s="4">
        <v>124.78</v>
      </c>
      <c r="Q39" s="4">
        <v>0.1</v>
      </c>
      <c r="R39" s="4">
        <f t="shared" si="4"/>
        <v>0.24252672497570457</v>
      </c>
      <c r="S39" s="22">
        <f t="shared" si="5"/>
        <v>1.9436345966958212E-4</v>
      </c>
    </row>
    <row r="40" spans="1:19">
      <c r="A40" s="28" t="s">
        <v>742</v>
      </c>
      <c r="B40" s="29" t="s">
        <v>1041</v>
      </c>
      <c r="C40" s="29"/>
      <c r="D40" s="29">
        <v>0.75</v>
      </c>
      <c r="E40" s="4">
        <v>18</v>
      </c>
      <c r="F40" s="4">
        <v>2</v>
      </c>
      <c r="G40" s="4">
        <v>21</v>
      </c>
      <c r="H40" s="29">
        <v>1.9027000000000001</v>
      </c>
      <c r="I40" s="4">
        <v>2.0000000000000001E-4</v>
      </c>
      <c r="J40" s="29">
        <v>-11.588699999999999</v>
      </c>
      <c r="K40" s="4">
        <v>8.9999999999999998E-4</v>
      </c>
      <c r="L40" s="4">
        <v>3.5999999999999997E-2</v>
      </c>
      <c r="M40" s="4">
        <v>3.0000000000000001E-3</v>
      </c>
      <c r="N40" s="4">
        <v>-1.7500000000000002E-2</v>
      </c>
      <c r="O40" s="4">
        <v>1.2999999999999999E-3</v>
      </c>
      <c r="P40" s="4">
        <v>123.67</v>
      </c>
      <c r="Q40" s="4">
        <v>0.44</v>
      </c>
      <c r="R40" s="29">
        <f t="shared" si="4"/>
        <v>0.2403692905733722</v>
      </c>
      <c r="S40" s="22">
        <f t="shared" si="5"/>
        <v>8.5519922254616136E-4</v>
      </c>
    </row>
    <row r="41" spans="1:19">
      <c r="A41" s="19" t="s">
        <v>743</v>
      </c>
      <c r="B41" s="131" t="s">
        <v>1042</v>
      </c>
      <c r="C41" s="20" t="s">
        <v>30</v>
      </c>
      <c r="D41" s="20">
        <v>0.25</v>
      </c>
      <c r="E41" s="4">
        <v>18</v>
      </c>
      <c r="F41" s="4">
        <v>2</v>
      </c>
      <c r="G41" s="4">
        <v>21</v>
      </c>
      <c r="H41" s="45">
        <v>5.3209</v>
      </c>
      <c r="I41" s="4">
        <v>4.0000000000000002E-4</v>
      </c>
      <c r="J41" s="45">
        <v>-32.643799999999999</v>
      </c>
      <c r="K41" s="4">
        <v>3.0999999999999999E-3</v>
      </c>
      <c r="L41" s="4">
        <v>3.3000000000000002E-2</v>
      </c>
      <c r="M41" s="4">
        <v>8.9999999999999993E-3</v>
      </c>
      <c r="N41" s="4">
        <v>-6.3E-3</v>
      </c>
      <c r="O41" s="4">
        <v>4.0000000000000002E-4</v>
      </c>
      <c r="P41" s="4">
        <v>124.88</v>
      </c>
      <c r="Q41" s="4">
        <v>0.51</v>
      </c>
      <c r="R41" s="45">
        <f>P41*E41/G41^3</f>
        <v>0.24272108843537415</v>
      </c>
      <c r="S41" s="22">
        <f>Q41*E41/G41^3</f>
        <v>9.912536443148687E-4</v>
      </c>
    </row>
    <row r="42" spans="1:19">
      <c r="A42" s="23" t="s">
        <v>743</v>
      </c>
      <c r="B42" s="129" t="s">
        <v>1042</v>
      </c>
      <c r="C42" s="4" t="s">
        <v>30</v>
      </c>
      <c r="D42" s="4">
        <v>0.5</v>
      </c>
      <c r="E42" s="4">
        <v>18</v>
      </c>
      <c r="F42" s="4">
        <v>2</v>
      </c>
      <c r="G42" s="4">
        <v>21</v>
      </c>
      <c r="H42" s="4">
        <v>3.6242999999999999</v>
      </c>
      <c r="I42" s="4">
        <v>6.9999999999999999E-4</v>
      </c>
      <c r="J42" s="4">
        <v>-22.1022</v>
      </c>
      <c r="K42" s="4">
        <v>1.4E-3</v>
      </c>
      <c r="L42" s="4">
        <v>2.8000000000000001E-2</v>
      </c>
      <c r="M42" s="4">
        <v>0.01</v>
      </c>
      <c r="N42" s="4">
        <v>-8.6999999999999994E-3</v>
      </c>
      <c r="O42" s="4">
        <v>2.0000000000000001E-4</v>
      </c>
      <c r="P42" s="4">
        <v>124.93</v>
      </c>
      <c r="Q42" s="4">
        <v>0.17</v>
      </c>
      <c r="R42" s="4">
        <f t="shared" si="4"/>
        <v>0.24281827016520896</v>
      </c>
      <c r="S42" s="22">
        <f t="shared" si="5"/>
        <v>3.304178814382896E-4</v>
      </c>
    </row>
    <row r="43" spans="1:19">
      <c r="A43" s="28" t="s">
        <v>743</v>
      </c>
      <c r="B43" s="130" t="s">
        <v>1042</v>
      </c>
      <c r="C43" s="29" t="s">
        <v>30</v>
      </c>
      <c r="D43" s="29">
        <v>0.75</v>
      </c>
      <c r="E43" s="4">
        <v>18</v>
      </c>
      <c r="F43" s="4">
        <v>2</v>
      </c>
      <c r="G43" s="4">
        <v>21</v>
      </c>
      <c r="H43" s="29">
        <v>1.9450000000000001</v>
      </c>
      <c r="I43" s="4">
        <v>4.0000000000000002E-4</v>
      </c>
      <c r="J43" s="29">
        <v>-11.6526</v>
      </c>
      <c r="K43" s="4">
        <v>2.0000000000000001E-4</v>
      </c>
      <c r="L43" s="4">
        <v>2.3E-2</v>
      </c>
      <c r="M43" s="4">
        <v>6.0000000000000001E-3</v>
      </c>
      <c r="N43" s="4">
        <v>-1.67E-2</v>
      </c>
      <c r="O43" s="4">
        <v>5.0000000000000001E-4</v>
      </c>
      <c r="P43" s="4">
        <v>123.19</v>
      </c>
      <c r="Q43" s="4">
        <v>0.23</v>
      </c>
      <c r="R43" s="29">
        <f t="shared" si="4"/>
        <v>0.23943634596695823</v>
      </c>
      <c r="S43" s="22">
        <f t="shared" si="5"/>
        <v>4.4703595724003895E-4</v>
      </c>
    </row>
    <row r="44" spans="1:19">
      <c r="A44" s="86" t="s">
        <v>744</v>
      </c>
      <c r="B44" s="131" t="s">
        <v>1043</v>
      </c>
      <c r="C44" s="20" t="s">
        <v>19</v>
      </c>
      <c r="D44" s="20">
        <v>0.25</v>
      </c>
      <c r="E44" s="4">
        <v>18</v>
      </c>
      <c r="F44" s="4">
        <v>2</v>
      </c>
      <c r="G44" s="4">
        <v>21</v>
      </c>
      <c r="H44" s="45">
        <v>5.3048999999999999</v>
      </c>
      <c r="I44" s="4">
        <v>8.0000000000000004E-4</v>
      </c>
      <c r="J44" s="45">
        <v>-32.614199999999997</v>
      </c>
      <c r="K44" s="4">
        <v>1.2999999999999999E-3</v>
      </c>
      <c r="L44" s="4">
        <v>3.2000000000000001E-2</v>
      </c>
      <c r="M44" s="4">
        <v>3.0000000000000001E-3</v>
      </c>
      <c r="N44" s="4">
        <v>-6.1999999999999998E-3</v>
      </c>
      <c r="O44" s="4">
        <v>2.0000000000000001E-4</v>
      </c>
      <c r="P44" s="4">
        <v>125.03</v>
      </c>
      <c r="Q44" s="4">
        <v>0.17</v>
      </c>
      <c r="R44" s="45">
        <f>P44*E44/G44^3</f>
        <v>0.24301263362487852</v>
      </c>
      <c r="S44" s="22">
        <f>Q44*E44/G44^3</f>
        <v>3.304178814382896E-4</v>
      </c>
    </row>
    <row r="45" spans="1:19">
      <c r="A45" s="89" t="s">
        <v>744</v>
      </c>
      <c r="B45" s="129" t="s">
        <v>1043</v>
      </c>
      <c r="C45" s="4" t="s">
        <v>19</v>
      </c>
      <c r="D45" s="4">
        <v>0.5</v>
      </c>
      <c r="E45" s="4">
        <v>18</v>
      </c>
      <c r="F45" s="4">
        <v>2</v>
      </c>
      <c r="G45" s="4">
        <v>21</v>
      </c>
      <c r="H45" s="4">
        <v>3.5939000000000001</v>
      </c>
      <c r="I45" s="4">
        <v>6.9999999999999999E-4</v>
      </c>
      <c r="J45" s="4">
        <v>-22.056000000000001</v>
      </c>
      <c r="K45" s="4">
        <v>2.0999999999999999E-3</v>
      </c>
      <c r="L45" s="4">
        <v>3.3000000000000002E-2</v>
      </c>
      <c r="M45" s="4">
        <v>0.14399999999999999</v>
      </c>
      <c r="N45" s="4">
        <v>-9.2999999999999992E-3</v>
      </c>
      <c r="O45" s="4">
        <v>4.5999999999999999E-3</v>
      </c>
      <c r="P45" s="4">
        <v>124.62</v>
      </c>
      <c r="Q45" s="4">
        <v>1.05</v>
      </c>
      <c r="R45" s="4">
        <f t="shared" si="4"/>
        <v>0.24221574344023322</v>
      </c>
      <c r="S45" s="22">
        <f t="shared" si="5"/>
        <v>2.0408163265306124E-3</v>
      </c>
    </row>
    <row r="46" spans="1:19" ht="17" thickBot="1">
      <c r="A46" s="101" t="s">
        <v>744</v>
      </c>
      <c r="B46" s="120" t="s">
        <v>1043</v>
      </c>
      <c r="C46" s="9" t="s">
        <v>19</v>
      </c>
      <c r="D46" s="9">
        <v>0.75</v>
      </c>
      <c r="E46" s="10">
        <v>18</v>
      </c>
      <c r="F46" s="10">
        <v>2</v>
      </c>
      <c r="G46" s="10">
        <v>21</v>
      </c>
      <c r="H46" s="9">
        <v>1.9094</v>
      </c>
      <c r="I46" s="10">
        <v>5.0000000000000001E-4</v>
      </c>
      <c r="J46" s="9">
        <v>-11.701499999999999</v>
      </c>
      <c r="K46" s="10">
        <v>1.1999999999999999E-3</v>
      </c>
      <c r="L46" s="10">
        <v>6.2E-2</v>
      </c>
      <c r="M46" s="10">
        <v>6.0000000000000001E-3</v>
      </c>
      <c r="N46" s="10">
        <v>-1.9699999999999999E-2</v>
      </c>
      <c r="O46" s="10">
        <v>6.9999999999999999E-4</v>
      </c>
      <c r="P46" s="10">
        <v>121.6</v>
      </c>
      <c r="Q46" s="10">
        <v>0.28000000000000003</v>
      </c>
      <c r="R46" s="9">
        <f t="shared" si="4"/>
        <v>0.23634596695821183</v>
      </c>
      <c r="S46" s="26">
        <f t="shared" si="5"/>
        <v>5.4421768707483002E-4</v>
      </c>
    </row>
    <row r="47" spans="1:19" ht="17" thickTop="1">
      <c r="A47" s="44" t="s">
        <v>745</v>
      </c>
      <c r="B47" s="132" t="s">
        <v>1044</v>
      </c>
      <c r="C47" s="132"/>
      <c r="D47" s="45">
        <v>0.25</v>
      </c>
      <c r="E47" s="4">
        <v>18</v>
      </c>
      <c r="F47" s="4">
        <v>3</v>
      </c>
      <c r="G47" s="4">
        <v>21</v>
      </c>
      <c r="H47" s="45">
        <v>5.3606999999999996</v>
      </c>
      <c r="I47" s="4">
        <v>5.9999999999999995E-4</v>
      </c>
      <c r="J47" s="45">
        <v>-33.014600000000002</v>
      </c>
      <c r="K47" s="4">
        <v>1.6999999999999999E-3</v>
      </c>
      <c r="L47" s="4">
        <v>3.4000000000000002E-2</v>
      </c>
      <c r="M47" s="4">
        <v>2.3E-2</v>
      </c>
      <c r="N47" s="4">
        <v>-6.1000000000000004E-3</v>
      </c>
      <c r="O47" s="4">
        <v>2.9999999999999997E-4</v>
      </c>
      <c r="P47" s="4">
        <v>124.94</v>
      </c>
      <c r="Q47" s="4">
        <v>0.14000000000000001</v>
      </c>
      <c r="R47" s="45">
        <f>P47*E47/G47^3</f>
        <v>0.24283770651117589</v>
      </c>
      <c r="S47" s="22">
        <f>Q47*E47/G47^3</f>
        <v>2.7210884353741501E-4</v>
      </c>
    </row>
    <row r="48" spans="1:19">
      <c r="A48" s="23" t="s">
        <v>745</v>
      </c>
      <c r="B48" s="129" t="s">
        <v>1044</v>
      </c>
      <c r="C48" s="129"/>
      <c r="D48" s="4">
        <v>0.5</v>
      </c>
      <c r="E48" s="4">
        <v>18</v>
      </c>
      <c r="F48" s="4">
        <v>3</v>
      </c>
      <c r="G48" s="4">
        <v>21</v>
      </c>
      <c r="H48" s="39">
        <v>3.7050000000000001</v>
      </c>
      <c r="I48" s="4">
        <v>2.9999999999999997E-4</v>
      </c>
      <c r="J48" s="4">
        <v>-22.869299999999999</v>
      </c>
      <c r="K48" s="4">
        <v>8.9999999999999998E-4</v>
      </c>
      <c r="L48" s="4">
        <v>3.4000000000000002E-2</v>
      </c>
      <c r="M48" s="4">
        <v>3.0000000000000001E-3</v>
      </c>
      <c r="N48" s="4">
        <v>-9.1000000000000004E-3</v>
      </c>
      <c r="O48" s="4">
        <v>2.0000000000000001E-4</v>
      </c>
      <c r="P48" s="4">
        <v>124.42</v>
      </c>
      <c r="Q48" s="4">
        <v>0.16</v>
      </c>
      <c r="R48" s="4">
        <f t="shared" ref="R48:R59" si="6">P48*E48/G48^3</f>
        <v>0.24182701652089406</v>
      </c>
      <c r="S48" s="22">
        <f t="shared" ref="S48:S59" si="7">Q48*E48/G48^3</f>
        <v>3.1098153547133139E-4</v>
      </c>
    </row>
    <row r="49" spans="1:19">
      <c r="A49" s="28" t="s">
        <v>745</v>
      </c>
      <c r="B49" s="130" t="s">
        <v>1044</v>
      </c>
      <c r="C49" s="130"/>
      <c r="D49" s="29">
        <v>0.75</v>
      </c>
      <c r="E49" s="4">
        <v>18</v>
      </c>
      <c r="F49" s="4">
        <v>3</v>
      </c>
      <c r="G49" s="4">
        <v>21</v>
      </c>
      <c r="H49" s="29">
        <v>2.0657000000000001</v>
      </c>
      <c r="I49" s="4">
        <v>5.0000000000000001E-4</v>
      </c>
      <c r="J49" s="29">
        <v>-12.928900000000001</v>
      </c>
      <c r="K49" s="4">
        <v>2E-3</v>
      </c>
      <c r="L49" s="4">
        <v>6.2E-2</v>
      </c>
      <c r="M49" s="4">
        <v>0.02</v>
      </c>
      <c r="N49" s="4">
        <v>-1.8100000000000002E-2</v>
      </c>
      <c r="O49" s="4">
        <v>1.4E-3</v>
      </c>
      <c r="P49" s="4">
        <v>120.8</v>
      </c>
      <c r="Q49" s="4">
        <v>0.68</v>
      </c>
      <c r="R49" s="29">
        <f t="shared" si="6"/>
        <v>0.2347910592808552</v>
      </c>
      <c r="S49" s="22">
        <f t="shared" si="7"/>
        <v>1.3216715257531584E-3</v>
      </c>
    </row>
    <row r="50" spans="1:19">
      <c r="A50" s="44" t="s">
        <v>746</v>
      </c>
      <c r="B50" s="132" t="s">
        <v>1045</v>
      </c>
      <c r="C50" s="132" t="s">
        <v>17</v>
      </c>
      <c r="D50" s="45">
        <v>0.25</v>
      </c>
      <c r="E50" s="4">
        <v>18</v>
      </c>
      <c r="F50" s="4">
        <v>3</v>
      </c>
      <c r="G50" s="4">
        <v>21</v>
      </c>
      <c r="H50" s="45">
        <v>5.3818999999999999</v>
      </c>
      <c r="I50" s="4">
        <v>5.9999999999999995E-4</v>
      </c>
      <c r="J50" s="45">
        <v>-33.032600000000002</v>
      </c>
      <c r="K50" s="4">
        <v>1.6000000000000001E-3</v>
      </c>
      <c r="L50" s="4">
        <v>2.7E-2</v>
      </c>
      <c r="M50" s="4">
        <v>3.0000000000000001E-3</v>
      </c>
      <c r="N50" s="4">
        <v>-6.1000000000000004E-3</v>
      </c>
      <c r="O50" s="4">
        <v>0</v>
      </c>
      <c r="P50" s="4">
        <v>124.63</v>
      </c>
      <c r="Q50" s="4">
        <v>0.08</v>
      </c>
      <c r="R50" s="45">
        <f>P50*E50/G50^3</f>
        <v>0.24223517978620021</v>
      </c>
      <c r="S50" s="22">
        <f>Q50*E50/G50^3</f>
        <v>1.5549076773566569E-4</v>
      </c>
    </row>
    <row r="51" spans="1:19">
      <c r="A51" s="23" t="s">
        <v>746</v>
      </c>
      <c r="B51" s="129" t="s">
        <v>1045</v>
      </c>
      <c r="C51" s="129" t="s">
        <v>17</v>
      </c>
      <c r="D51" s="4">
        <v>0.5</v>
      </c>
      <c r="E51" s="4">
        <v>18</v>
      </c>
      <c r="F51" s="4">
        <v>3</v>
      </c>
      <c r="G51" s="4">
        <v>21</v>
      </c>
      <c r="H51" s="4">
        <v>3.7686000000000002</v>
      </c>
      <c r="I51" s="4">
        <v>8.9999999999999998E-4</v>
      </c>
      <c r="J51" s="4">
        <v>-23.036200000000001</v>
      </c>
      <c r="K51" s="4">
        <v>1.6000000000000001E-3</v>
      </c>
      <c r="L51" s="4">
        <v>0.03</v>
      </c>
      <c r="M51" s="4">
        <v>2.5999999999999999E-2</v>
      </c>
      <c r="N51" s="4">
        <v>-9.2999999999999992E-3</v>
      </c>
      <c r="O51" s="4">
        <v>8.0000000000000004E-4</v>
      </c>
      <c r="P51" s="4">
        <v>122.62</v>
      </c>
      <c r="Q51" s="4">
        <v>0.28999999999999998</v>
      </c>
      <c r="R51" s="4">
        <f t="shared" si="6"/>
        <v>0.23832847424684159</v>
      </c>
      <c r="S51" s="22">
        <f t="shared" si="7"/>
        <v>5.6365403304178808E-4</v>
      </c>
    </row>
    <row r="52" spans="1:19">
      <c r="A52" s="44" t="s">
        <v>747</v>
      </c>
      <c r="B52" s="45" t="s">
        <v>1046</v>
      </c>
      <c r="C52" s="45"/>
      <c r="D52" s="45">
        <v>0.25</v>
      </c>
      <c r="E52" s="4">
        <v>18</v>
      </c>
      <c r="F52" s="4">
        <v>3</v>
      </c>
      <c r="G52" s="4">
        <v>21</v>
      </c>
      <c r="H52" s="45">
        <v>5.3608000000000002</v>
      </c>
      <c r="I52" s="4">
        <v>5.9999999999999995E-4</v>
      </c>
      <c r="J52" s="45">
        <v>-33.000799999999998</v>
      </c>
      <c r="K52" s="4">
        <v>1.6000000000000001E-3</v>
      </c>
      <c r="L52" s="4">
        <v>2.8000000000000001E-2</v>
      </c>
      <c r="M52" s="4">
        <v>5.0000000000000001E-3</v>
      </c>
      <c r="N52" s="4">
        <v>-6.1000000000000004E-3</v>
      </c>
      <c r="O52" s="4">
        <v>2.0000000000000001E-4</v>
      </c>
      <c r="P52" s="4">
        <v>124.83</v>
      </c>
      <c r="Q52" s="4">
        <v>0.28999999999999998</v>
      </c>
      <c r="R52" s="45">
        <f>P52*E52/G52^3</f>
        <v>0.24262390670553938</v>
      </c>
      <c r="S52" s="22">
        <f>Q52*E52/G52^3</f>
        <v>5.6365403304178808E-4</v>
      </c>
    </row>
    <row r="53" spans="1:19">
      <c r="A53" s="23" t="s">
        <v>747</v>
      </c>
      <c r="B53" s="4" t="s">
        <v>1046</v>
      </c>
      <c r="D53" s="4">
        <v>0.5</v>
      </c>
      <c r="E53" s="4">
        <v>18</v>
      </c>
      <c r="F53" s="4">
        <v>3</v>
      </c>
      <c r="G53" s="4">
        <v>21</v>
      </c>
      <c r="H53" s="4">
        <v>3.7044999999999999</v>
      </c>
      <c r="I53" s="4">
        <v>2.9999999999999997E-4</v>
      </c>
      <c r="J53" s="4">
        <v>-22.8371</v>
      </c>
      <c r="K53" s="4">
        <v>2.9999999999999997E-4</v>
      </c>
      <c r="L53" s="4">
        <v>3.5000000000000003E-2</v>
      </c>
      <c r="M53" s="4">
        <v>8.0000000000000002E-3</v>
      </c>
      <c r="N53" s="4">
        <v>-8.6E-3</v>
      </c>
      <c r="O53" s="4">
        <v>4.0000000000000002E-4</v>
      </c>
      <c r="P53" s="4">
        <v>124.7</v>
      </c>
      <c r="Q53" s="4">
        <v>0.1</v>
      </c>
      <c r="R53" s="4">
        <f t="shared" si="6"/>
        <v>0.24237123420796888</v>
      </c>
      <c r="S53" s="22">
        <f t="shared" si="7"/>
        <v>1.9436345966958212E-4</v>
      </c>
    </row>
    <row r="54" spans="1:19">
      <c r="A54" s="28" t="s">
        <v>747</v>
      </c>
      <c r="B54" s="29" t="s">
        <v>1046</v>
      </c>
      <c r="C54" s="29"/>
      <c r="D54" s="29">
        <v>0.75</v>
      </c>
      <c r="E54" s="4">
        <v>18</v>
      </c>
      <c r="F54" s="4">
        <v>3</v>
      </c>
      <c r="G54" s="4">
        <v>21</v>
      </c>
      <c r="H54" s="29">
        <v>2.0659999999999998</v>
      </c>
      <c r="I54" s="4">
        <v>2.0000000000000001E-4</v>
      </c>
      <c r="J54" s="29">
        <v>-12.857799999999999</v>
      </c>
      <c r="K54" s="4">
        <v>8.0000000000000004E-4</v>
      </c>
      <c r="L54" s="4">
        <v>4.4999999999999998E-2</v>
      </c>
      <c r="M54" s="4">
        <v>7.0000000000000001E-3</v>
      </c>
      <c r="N54" s="4">
        <v>-1.7299999999999999E-2</v>
      </c>
      <c r="O54" s="4">
        <v>5.9999999999999995E-4</v>
      </c>
      <c r="P54" s="4">
        <v>121.27</v>
      </c>
      <c r="Q54" s="4">
        <v>0.18</v>
      </c>
      <c r="R54" s="29">
        <f t="shared" si="6"/>
        <v>0.23570456754130226</v>
      </c>
      <c r="S54" s="22">
        <f t="shared" si="7"/>
        <v>3.4985422740524776E-4</v>
      </c>
    </row>
    <row r="55" spans="1:19">
      <c r="A55" s="44" t="s">
        <v>748</v>
      </c>
      <c r="B55" s="132" t="s">
        <v>1047</v>
      </c>
      <c r="C55" s="45" t="s">
        <v>30</v>
      </c>
      <c r="D55" s="45">
        <v>0.25</v>
      </c>
      <c r="E55" s="4">
        <v>18</v>
      </c>
      <c r="F55" s="4">
        <v>3</v>
      </c>
      <c r="G55" s="4">
        <v>21</v>
      </c>
      <c r="H55" s="45">
        <v>5.3867000000000003</v>
      </c>
      <c r="I55" s="4">
        <v>2.9999999999999997E-4</v>
      </c>
      <c r="J55" s="45">
        <v>-32.937399999999997</v>
      </c>
      <c r="K55" s="4">
        <v>2.9999999999999997E-4</v>
      </c>
      <c r="L55" s="4">
        <v>2.5000000000000001E-2</v>
      </c>
      <c r="M55" s="4">
        <v>8.9999999999999993E-3</v>
      </c>
      <c r="N55" s="4">
        <v>-6.1999999999999998E-3</v>
      </c>
      <c r="O55" s="4">
        <v>2.0000000000000001E-4</v>
      </c>
      <c r="P55" s="4">
        <v>124.71</v>
      </c>
      <c r="Q55" s="4">
        <v>0.17</v>
      </c>
      <c r="R55" s="45">
        <f>P55*E55/G55^3</f>
        <v>0.24239067055393584</v>
      </c>
      <c r="S55" s="22">
        <f>Q55*E55/G55^3</f>
        <v>3.304178814382896E-4</v>
      </c>
    </row>
    <row r="56" spans="1:19">
      <c r="A56" s="23" t="s">
        <v>748</v>
      </c>
      <c r="B56" s="129" t="s">
        <v>1047</v>
      </c>
      <c r="C56" s="4" t="s">
        <v>30</v>
      </c>
      <c r="D56" s="4">
        <v>0.5</v>
      </c>
      <c r="E56" s="4">
        <v>18</v>
      </c>
      <c r="F56" s="4">
        <v>3</v>
      </c>
      <c r="G56" s="4">
        <v>21</v>
      </c>
      <c r="H56" s="4">
        <v>3.7627000000000002</v>
      </c>
      <c r="I56" s="4">
        <v>8.9999999999999998E-4</v>
      </c>
      <c r="J56" s="4">
        <v>-22.743500000000001</v>
      </c>
      <c r="K56" s="4">
        <v>2.3999999999999998E-3</v>
      </c>
      <c r="L56" s="4">
        <v>2.7E-2</v>
      </c>
      <c r="M56" s="4">
        <v>2.8000000000000001E-2</v>
      </c>
      <c r="N56" s="4">
        <v>-8.6999999999999994E-3</v>
      </c>
      <c r="O56" s="4">
        <v>2.9999999999999997E-4</v>
      </c>
      <c r="P56" s="4">
        <v>123.9</v>
      </c>
      <c r="Q56" s="4">
        <v>0.26</v>
      </c>
      <c r="R56" s="4">
        <f t="shared" si="6"/>
        <v>0.24081632653061227</v>
      </c>
      <c r="S56" s="22">
        <f t="shared" si="7"/>
        <v>5.0534499514091349E-4</v>
      </c>
    </row>
    <row r="57" spans="1:19">
      <c r="A57" s="28" t="s">
        <v>748</v>
      </c>
      <c r="B57" s="130" t="s">
        <v>1047</v>
      </c>
      <c r="C57" s="29" t="s">
        <v>30</v>
      </c>
      <c r="D57" s="29">
        <v>0.75</v>
      </c>
      <c r="E57" s="4">
        <v>18</v>
      </c>
      <c r="F57" s="4">
        <v>3</v>
      </c>
      <c r="G57" s="4">
        <v>21</v>
      </c>
      <c r="H57" s="29">
        <v>2.2454000000000001</v>
      </c>
      <c r="I57" s="4">
        <v>2.0000000000000001E-4</v>
      </c>
      <c r="J57" s="29">
        <v>-12.9497</v>
      </c>
      <c r="K57" s="4">
        <v>1.1999999999999999E-3</v>
      </c>
      <c r="L57" s="4">
        <v>7.1999999999999995E-2</v>
      </c>
      <c r="M57" s="4">
        <v>2.9000000000000001E-2</v>
      </c>
      <c r="N57" s="4">
        <v>-1.5299999999999999E-2</v>
      </c>
      <c r="O57" s="4">
        <v>1.6000000000000001E-3</v>
      </c>
      <c r="P57" s="4">
        <v>121.07</v>
      </c>
      <c r="Q57" s="4">
        <v>0.57999999999999996</v>
      </c>
      <c r="R57" s="29">
        <f t="shared" si="6"/>
        <v>0.23531584062196303</v>
      </c>
      <c r="S57" s="22">
        <f t="shared" si="7"/>
        <v>1.1273080660835762E-3</v>
      </c>
    </row>
    <row r="58" spans="1:19">
      <c r="A58" s="133" t="s">
        <v>749</v>
      </c>
      <c r="B58" s="132" t="s">
        <v>1048</v>
      </c>
      <c r="C58" s="45" t="s">
        <v>19</v>
      </c>
      <c r="D58" s="45">
        <v>0.25</v>
      </c>
      <c r="E58" s="4">
        <v>18</v>
      </c>
      <c r="F58" s="4">
        <v>3</v>
      </c>
      <c r="G58" s="4">
        <v>21</v>
      </c>
      <c r="H58" s="45">
        <v>5.3545999999999996</v>
      </c>
      <c r="I58" s="4">
        <v>2.9999999999999997E-4</v>
      </c>
      <c r="J58" s="45">
        <v>-32.985100000000003</v>
      </c>
      <c r="K58" s="4">
        <v>8.0000000000000004E-4</v>
      </c>
      <c r="L58" s="4">
        <v>3.5000000000000003E-2</v>
      </c>
      <c r="M58" s="4">
        <v>4.0000000000000001E-3</v>
      </c>
      <c r="N58" s="4">
        <v>-6.3E-3</v>
      </c>
      <c r="O58" s="4">
        <v>1E-4</v>
      </c>
      <c r="P58" s="4">
        <v>124.7</v>
      </c>
      <c r="Q58" s="4">
        <v>0.12</v>
      </c>
      <c r="R58" s="45">
        <f>P58*E58/G58^3</f>
        <v>0.24237123420796888</v>
      </c>
      <c r="S58" s="22">
        <f>Q58*E58/G58^3</f>
        <v>2.3323615160349855E-4</v>
      </c>
    </row>
    <row r="59" spans="1:19" ht="17" thickBot="1">
      <c r="A59" s="95" t="s">
        <v>749</v>
      </c>
      <c r="B59" s="121" t="s">
        <v>1048</v>
      </c>
      <c r="C59" s="10" t="s">
        <v>19</v>
      </c>
      <c r="D59" s="10">
        <v>0.5</v>
      </c>
      <c r="E59" s="10">
        <v>18</v>
      </c>
      <c r="F59" s="10">
        <v>3</v>
      </c>
      <c r="G59" s="10">
        <v>21</v>
      </c>
      <c r="H59" s="10">
        <v>3.6995</v>
      </c>
      <c r="I59" s="10">
        <v>5.0000000000000001E-4</v>
      </c>
      <c r="J59" s="10">
        <v>-22.8828</v>
      </c>
      <c r="K59" s="10">
        <v>1.4E-3</v>
      </c>
      <c r="L59" s="10">
        <v>4.8000000000000001E-2</v>
      </c>
      <c r="M59" s="10">
        <v>7.0000000000000001E-3</v>
      </c>
      <c r="N59" s="10">
        <v>-9.1999999999999998E-3</v>
      </c>
      <c r="O59" s="10">
        <v>2.0000000000000001E-4</v>
      </c>
      <c r="P59" s="10">
        <v>123.83</v>
      </c>
      <c r="Q59" s="10">
        <v>0.22</v>
      </c>
      <c r="R59" s="10">
        <f t="shared" si="6"/>
        <v>0.24068027210884355</v>
      </c>
      <c r="S59" s="26">
        <f t="shared" si="7"/>
        <v>4.2759961127308068E-4</v>
      </c>
    </row>
    <row r="60" spans="1:19" ht="17" thickTop="1">
      <c r="A60" s="102" t="s">
        <v>750</v>
      </c>
      <c r="B60" s="119" t="s">
        <v>1049</v>
      </c>
      <c r="C60" s="119"/>
      <c r="D60" s="119">
        <v>0.25</v>
      </c>
      <c r="E60" s="7">
        <v>18</v>
      </c>
      <c r="F60" s="7">
        <v>4</v>
      </c>
      <c r="G60" s="7">
        <v>21</v>
      </c>
      <c r="H60" s="119">
        <v>5.4366000000000003</v>
      </c>
      <c r="I60" s="7">
        <v>4.0000000000000002E-4</v>
      </c>
      <c r="J60" s="119">
        <v>-33.409199999999998</v>
      </c>
      <c r="K60" s="7">
        <v>6.9999999999999999E-4</v>
      </c>
      <c r="L60" s="7">
        <v>0.03</v>
      </c>
      <c r="M60" s="7">
        <v>2E-3</v>
      </c>
      <c r="N60" s="7">
        <v>-6.0000000000000001E-3</v>
      </c>
      <c r="O60" s="7">
        <v>2.0000000000000001E-4</v>
      </c>
      <c r="P60" s="7">
        <v>124.8</v>
      </c>
      <c r="Q60" s="7">
        <v>0.18</v>
      </c>
      <c r="R60" s="119">
        <f>P60*E60/G60^3</f>
        <v>0.24256559766763849</v>
      </c>
      <c r="S60" s="18">
        <f>Q60*E60/G60^3</f>
        <v>3.4985422740524776E-4</v>
      </c>
    </row>
    <row r="61" spans="1:19">
      <c r="A61" s="23" t="s">
        <v>750</v>
      </c>
      <c r="B61" s="4" t="s">
        <v>1049</v>
      </c>
      <c r="D61" s="4">
        <v>0.5</v>
      </c>
      <c r="E61" s="4">
        <v>18</v>
      </c>
      <c r="F61" s="4">
        <v>4</v>
      </c>
      <c r="G61" s="4">
        <v>21</v>
      </c>
      <c r="H61" s="4">
        <v>3.8637000000000001</v>
      </c>
      <c r="I61" s="4">
        <v>6.9999999999999999E-4</v>
      </c>
      <c r="J61" s="4">
        <v>-23.761900000000001</v>
      </c>
      <c r="K61" s="4">
        <v>8.9999999999999998E-4</v>
      </c>
      <c r="L61" s="4">
        <v>4.2999999999999997E-2</v>
      </c>
      <c r="M61" s="4">
        <v>1.4999999999999999E-2</v>
      </c>
      <c r="N61" s="4">
        <v>-9.2999999999999992E-3</v>
      </c>
      <c r="O61" s="4">
        <v>2.9999999999999997E-4</v>
      </c>
      <c r="P61" s="4">
        <v>122.6</v>
      </c>
      <c r="Q61" s="4">
        <v>0.13</v>
      </c>
      <c r="R61" s="4">
        <f t="shared" ref="R61:R74" si="8">P61*E61/G61^3</f>
        <v>0.23828960155490764</v>
      </c>
      <c r="S61" s="22">
        <f t="shared" ref="S61:S74" si="9">Q61*E61/G61^3</f>
        <v>2.5267249757045674E-4</v>
      </c>
    </row>
    <row r="62" spans="1:19">
      <c r="A62" s="28" t="s">
        <v>750</v>
      </c>
      <c r="B62" s="29" t="s">
        <v>1049</v>
      </c>
      <c r="C62" s="29"/>
      <c r="D62" s="29">
        <v>0.75</v>
      </c>
      <c r="E62" s="4">
        <v>18</v>
      </c>
      <c r="F62" s="4">
        <v>4</v>
      </c>
      <c r="G62" s="4">
        <v>21</v>
      </c>
      <c r="H62" s="29">
        <v>2.3384999999999998</v>
      </c>
      <c r="I62" s="4">
        <v>2.0000000000000001E-4</v>
      </c>
      <c r="J62" s="29">
        <v>-15.190799999999999</v>
      </c>
      <c r="K62" s="4">
        <v>1.6000000000000001E-3</v>
      </c>
      <c r="L62" s="4">
        <v>0.13300000000000001</v>
      </c>
      <c r="M62" s="4">
        <v>5.1999999999999998E-2</v>
      </c>
      <c r="N62" s="4">
        <v>-2.8299999999999999E-2</v>
      </c>
      <c r="O62" s="4">
        <v>1.5E-3</v>
      </c>
      <c r="P62" s="4">
        <v>96.92</v>
      </c>
      <c r="Q62" s="4">
        <v>1.65</v>
      </c>
      <c r="R62" s="29">
        <f t="shared" si="8"/>
        <v>0.18837706511175897</v>
      </c>
      <c r="S62" s="22">
        <f t="shared" si="9"/>
        <v>3.2069970845481047E-3</v>
      </c>
    </row>
    <row r="63" spans="1:19">
      <c r="A63" s="44" t="s">
        <v>751</v>
      </c>
      <c r="B63" s="132" t="s">
        <v>1050</v>
      </c>
      <c r="C63" s="132"/>
      <c r="D63" s="45">
        <v>0.25</v>
      </c>
      <c r="E63" s="4">
        <v>18</v>
      </c>
      <c r="F63" s="4">
        <v>4</v>
      </c>
      <c r="G63" s="4">
        <v>21</v>
      </c>
      <c r="H63" s="45">
        <v>5.4486999999999997</v>
      </c>
      <c r="I63" s="4">
        <v>5.0000000000000001E-4</v>
      </c>
      <c r="J63" s="45">
        <v>-33.460299999999997</v>
      </c>
      <c r="K63" s="4">
        <v>2.0999999999999999E-3</v>
      </c>
      <c r="L63" s="4">
        <v>2.7E-2</v>
      </c>
      <c r="M63" s="4">
        <v>1.2999999999999999E-2</v>
      </c>
      <c r="N63" s="4">
        <v>-6.0000000000000001E-3</v>
      </c>
      <c r="O63" s="4">
        <v>2.0000000000000001E-4</v>
      </c>
      <c r="P63" s="4">
        <v>124.75</v>
      </c>
      <c r="Q63" s="4">
        <v>0.19</v>
      </c>
      <c r="R63" s="45">
        <f>P63*E63/G63^3</f>
        <v>0.24246841593780369</v>
      </c>
      <c r="S63" s="22">
        <f>Q63*E63/G63^3</f>
        <v>3.6929057337220603E-4</v>
      </c>
    </row>
    <row r="64" spans="1:19">
      <c r="A64" s="23" t="s">
        <v>751</v>
      </c>
      <c r="B64" s="129" t="s">
        <v>1050</v>
      </c>
      <c r="C64" s="129"/>
      <c r="D64" s="4">
        <v>0.5</v>
      </c>
      <c r="E64" s="4">
        <v>18</v>
      </c>
      <c r="F64" s="4">
        <v>4</v>
      </c>
      <c r="G64" s="4">
        <v>21</v>
      </c>
      <c r="H64" s="4">
        <v>3.8849999999999998</v>
      </c>
      <c r="I64" s="4">
        <v>2.9999999999999997E-4</v>
      </c>
      <c r="J64" s="4">
        <v>-23.839200000000002</v>
      </c>
      <c r="K64" s="4">
        <v>2E-3</v>
      </c>
      <c r="L64" s="4">
        <v>2.8000000000000001E-2</v>
      </c>
      <c r="M64" s="4">
        <v>1.2E-2</v>
      </c>
      <c r="N64" s="4">
        <v>-8.9999999999999993E-3</v>
      </c>
      <c r="O64" s="4">
        <v>0</v>
      </c>
      <c r="P64" s="4">
        <v>123.05</v>
      </c>
      <c r="Q64" s="4">
        <v>0.12</v>
      </c>
      <c r="R64" s="4">
        <f t="shared" si="8"/>
        <v>0.2391642371234208</v>
      </c>
      <c r="S64" s="22">
        <f t="shared" si="9"/>
        <v>2.3323615160349855E-4</v>
      </c>
    </row>
    <row r="65" spans="1:19">
      <c r="A65" s="28" t="s">
        <v>751</v>
      </c>
      <c r="B65" s="130" t="s">
        <v>1050</v>
      </c>
      <c r="C65" s="130"/>
      <c r="D65" s="29">
        <v>0.75</v>
      </c>
      <c r="E65" s="4">
        <v>18</v>
      </c>
      <c r="F65" s="4">
        <v>4</v>
      </c>
      <c r="G65" s="4">
        <v>21</v>
      </c>
      <c r="H65" s="41">
        <v>2.363</v>
      </c>
      <c r="I65" s="4">
        <v>8.0000000000000004E-4</v>
      </c>
      <c r="J65" s="29">
        <v>-14.8643</v>
      </c>
      <c r="K65" s="4">
        <v>4.3E-3</v>
      </c>
      <c r="L65" s="4">
        <v>0.153</v>
      </c>
      <c r="M65" s="4">
        <v>3.3000000000000002E-2</v>
      </c>
      <c r="N65" s="4">
        <v>-2.52E-2</v>
      </c>
      <c r="O65" s="4">
        <v>1.4E-3</v>
      </c>
      <c r="P65" s="4">
        <v>104.86</v>
      </c>
      <c r="Q65" s="4">
        <v>1.06</v>
      </c>
      <c r="R65" s="29">
        <f t="shared" si="8"/>
        <v>0.2038095238095238</v>
      </c>
      <c r="S65" s="22">
        <f t="shared" si="9"/>
        <v>2.0602526724975705E-3</v>
      </c>
    </row>
    <row r="66" spans="1:19">
      <c r="A66" s="44" t="s">
        <v>752</v>
      </c>
      <c r="B66" s="132" t="s">
        <v>1051</v>
      </c>
      <c r="C66" s="132" t="s">
        <v>17</v>
      </c>
      <c r="D66" s="45">
        <v>0.25</v>
      </c>
      <c r="E66" s="4">
        <v>18</v>
      </c>
      <c r="F66" s="4">
        <v>4</v>
      </c>
      <c r="G66" s="4">
        <v>21</v>
      </c>
      <c r="H66" s="45">
        <v>5.4659000000000004</v>
      </c>
      <c r="I66" s="4">
        <v>4.0000000000000002E-4</v>
      </c>
      <c r="J66" s="45">
        <v>-33.617899999999999</v>
      </c>
      <c r="K66" s="4">
        <v>5.9999999999999995E-4</v>
      </c>
      <c r="L66" s="4">
        <v>2.7E-2</v>
      </c>
      <c r="M66" s="4">
        <v>2E-3</v>
      </c>
      <c r="N66" s="4">
        <v>-6.1999999999999998E-3</v>
      </c>
      <c r="O66" s="4">
        <v>1E-4</v>
      </c>
      <c r="P66" s="4">
        <v>124.21</v>
      </c>
      <c r="Q66" s="4">
        <v>0.13</v>
      </c>
      <c r="R66" s="45">
        <f>P66*E66/G66^3</f>
        <v>0.24141885325558793</v>
      </c>
      <c r="S66" s="22">
        <f>Q66*E66/G66^3</f>
        <v>2.5267249757045674E-4</v>
      </c>
    </row>
    <row r="67" spans="1:19">
      <c r="A67" s="23" t="s">
        <v>752</v>
      </c>
      <c r="B67" s="129" t="s">
        <v>1051</v>
      </c>
      <c r="C67" s="129" t="s">
        <v>17</v>
      </c>
      <c r="D67" s="4">
        <v>0.5</v>
      </c>
      <c r="E67" s="4">
        <v>18</v>
      </c>
      <c r="F67" s="4">
        <v>4</v>
      </c>
      <c r="G67" s="4">
        <v>21</v>
      </c>
      <c r="H67" s="39">
        <v>3.9676</v>
      </c>
      <c r="I67" s="39">
        <v>4.0000000000000002E-4</v>
      </c>
      <c r="J67" s="39">
        <v>-24.4834</v>
      </c>
      <c r="K67" s="39">
        <v>1.6999999999999999E-3</v>
      </c>
      <c r="L67" s="39">
        <v>5.1999999999999998E-2</v>
      </c>
      <c r="M67" s="39">
        <v>1.2E-2</v>
      </c>
      <c r="N67" s="39">
        <v>-9.7999999999999997E-3</v>
      </c>
      <c r="O67" s="39">
        <v>4.0000000000000002E-4</v>
      </c>
      <c r="P67" s="39">
        <v>119.17</v>
      </c>
      <c r="Q67" s="39">
        <v>0.45</v>
      </c>
      <c r="R67" s="4">
        <f t="shared" si="8"/>
        <v>0.23162293488824101</v>
      </c>
      <c r="S67" s="22">
        <f t="shared" si="9"/>
        <v>8.7463556851311952E-4</v>
      </c>
    </row>
    <row r="68" spans="1:19">
      <c r="A68" s="44" t="s">
        <v>753</v>
      </c>
      <c r="B68" s="132" t="s">
        <v>1052</v>
      </c>
      <c r="C68" s="132"/>
      <c r="D68" s="45">
        <v>0.25</v>
      </c>
      <c r="E68" s="4">
        <v>18</v>
      </c>
      <c r="F68" s="4">
        <v>4</v>
      </c>
      <c r="G68" s="4">
        <v>21</v>
      </c>
      <c r="H68" s="45">
        <v>5.4497999999999998</v>
      </c>
      <c r="I68" s="4">
        <v>2.0000000000000001E-4</v>
      </c>
      <c r="J68" s="45">
        <v>-33.364199999999997</v>
      </c>
      <c r="K68" s="4">
        <v>5.0000000000000001E-4</v>
      </c>
      <c r="L68" s="4">
        <v>2.9000000000000001E-2</v>
      </c>
      <c r="M68" s="4">
        <v>7.0000000000000001E-3</v>
      </c>
      <c r="N68" s="4">
        <v>-6.1999999999999998E-3</v>
      </c>
      <c r="O68" s="4">
        <v>2.0000000000000001E-4</v>
      </c>
      <c r="P68" s="4">
        <v>124.54</v>
      </c>
      <c r="Q68" s="4">
        <v>0.25</v>
      </c>
      <c r="R68" s="45">
        <f>P68*E68/G68^3</f>
        <v>0.24206025267249759</v>
      </c>
      <c r="S68" s="22">
        <f>Q68*E68/G68^3</f>
        <v>4.8590864917395527E-4</v>
      </c>
    </row>
    <row r="69" spans="1:19">
      <c r="A69" s="23" t="s">
        <v>753</v>
      </c>
      <c r="B69" s="129" t="s">
        <v>1052</v>
      </c>
      <c r="C69" s="129"/>
      <c r="D69" s="4">
        <v>0.5</v>
      </c>
      <c r="E69" s="4">
        <v>18</v>
      </c>
      <c r="F69" s="4">
        <v>4</v>
      </c>
      <c r="G69" s="4">
        <v>21</v>
      </c>
      <c r="H69" s="39">
        <v>3.8858000000000001</v>
      </c>
      <c r="I69" s="39">
        <v>8.0000000000000004E-4</v>
      </c>
      <c r="J69" s="39">
        <v>-23.602799999999998</v>
      </c>
      <c r="K69" s="39">
        <v>1.4E-3</v>
      </c>
      <c r="L69" s="39">
        <v>8.2000000000000003E-2</v>
      </c>
      <c r="M69" s="39">
        <v>2.5000000000000001E-2</v>
      </c>
      <c r="N69" s="39">
        <v>-8.8000000000000005E-3</v>
      </c>
      <c r="O69" s="39">
        <v>5.9999999999999995E-4</v>
      </c>
      <c r="P69" s="39">
        <v>123.78</v>
      </c>
      <c r="Q69" s="39">
        <v>0.24</v>
      </c>
      <c r="R69" s="4">
        <f t="shared" si="8"/>
        <v>0.24058309037900874</v>
      </c>
      <c r="S69" s="22">
        <f t="shared" si="9"/>
        <v>4.6647230320699711E-4</v>
      </c>
    </row>
    <row r="70" spans="1:19">
      <c r="A70" s="28" t="s">
        <v>753</v>
      </c>
      <c r="B70" s="130" t="s">
        <v>1052</v>
      </c>
      <c r="C70" s="130"/>
      <c r="D70" s="29">
        <v>0.75</v>
      </c>
      <c r="E70" s="4">
        <v>18</v>
      </c>
      <c r="F70" s="4">
        <v>4</v>
      </c>
      <c r="G70" s="4">
        <v>21</v>
      </c>
      <c r="H70" s="29">
        <v>2.3563999999999998</v>
      </c>
      <c r="I70" s="4">
        <v>5.9999999999999995E-4</v>
      </c>
      <c r="J70" s="29">
        <v>-14.157400000000001</v>
      </c>
      <c r="K70" s="4">
        <v>1.2999999999999999E-3</v>
      </c>
      <c r="L70" s="4">
        <v>0.04</v>
      </c>
      <c r="M70" s="4">
        <v>2.1000000000000001E-2</v>
      </c>
      <c r="N70" s="4">
        <v>-1.6500000000000001E-2</v>
      </c>
      <c r="O70" s="4">
        <v>5.0000000000000001E-4</v>
      </c>
      <c r="P70" s="4">
        <v>117.9</v>
      </c>
      <c r="Q70" s="4">
        <v>0.1</v>
      </c>
      <c r="R70" s="29">
        <f t="shared" si="8"/>
        <v>0.22915451895043734</v>
      </c>
      <c r="S70" s="22">
        <f t="shared" si="9"/>
        <v>1.9436345966958212E-4</v>
      </c>
    </row>
    <row r="71" spans="1:19">
      <c r="A71" s="44" t="s">
        <v>754</v>
      </c>
      <c r="B71" s="132" t="s">
        <v>1053</v>
      </c>
      <c r="C71" s="45" t="s">
        <v>30</v>
      </c>
      <c r="D71" s="45">
        <v>0.25</v>
      </c>
      <c r="E71" s="4">
        <v>18</v>
      </c>
      <c r="F71" s="4">
        <v>4</v>
      </c>
      <c r="G71" s="4">
        <v>21</v>
      </c>
      <c r="H71" s="45">
        <v>5.4760999999999997</v>
      </c>
      <c r="I71" s="4">
        <v>8.0000000000000004E-4</v>
      </c>
      <c r="J71" s="45">
        <v>-33.3521</v>
      </c>
      <c r="K71" s="4">
        <v>5.9999999999999995E-4</v>
      </c>
      <c r="L71" s="4">
        <v>2.5000000000000001E-2</v>
      </c>
      <c r="M71" s="4">
        <v>0.01</v>
      </c>
      <c r="N71" s="4">
        <v>-5.8999999999999999E-3</v>
      </c>
      <c r="O71" s="4">
        <v>1E-4</v>
      </c>
      <c r="P71" s="4">
        <v>124.61</v>
      </c>
      <c r="Q71" s="4">
        <v>0.25</v>
      </c>
      <c r="R71" s="45">
        <f>P71*E71/G71^3</f>
        <v>0.24219630709426629</v>
      </c>
      <c r="S71" s="22">
        <f>Q71*E71/G71^3</f>
        <v>4.8590864917395527E-4</v>
      </c>
    </row>
    <row r="72" spans="1:19">
      <c r="A72" s="23" t="s">
        <v>754</v>
      </c>
      <c r="B72" s="129" t="s">
        <v>1053</v>
      </c>
      <c r="C72" s="4" t="s">
        <v>30</v>
      </c>
      <c r="D72" s="4">
        <v>0.5</v>
      </c>
      <c r="E72" s="4">
        <v>18</v>
      </c>
      <c r="F72" s="4">
        <v>4</v>
      </c>
      <c r="G72" s="4">
        <v>21</v>
      </c>
      <c r="H72" s="4">
        <v>3.9512</v>
      </c>
      <c r="I72" s="4">
        <v>8.9999999999999998E-4</v>
      </c>
      <c r="J72" s="4">
        <v>-23.647099999999998</v>
      </c>
      <c r="K72" s="4">
        <v>1.9E-3</v>
      </c>
      <c r="L72" s="4">
        <v>0.03</v>
      </c>
      <c r="M72" s="4">
        <v>8.9999999999999993E-3</v>
      </c>
      <c r="N72" s="4">
        <v>-8.8000000000000005E-3</v>
      </c>
      <c r="O72" s="4">
        <v>1E-4</v>
      </c>
      <c r="P72" s="4">
        <v>122.62</v>
      </c>
      <c r="Q72" s="4">
        <v>7.0000000000000007E-2</v>
      </c>
      <c r="R72" s="4">
        <f t="shared" si="8"/>
        <v>0.23832847424684159</v>
      </c>
      <c r="S72" s="22">
        <f t="shared" si="9"/>
        <v>1.3605442176870751E-4</v>
      </c>
    </row>
    <row r="73" spans="1:19">
      <c r="A73" s="133" t="s">
        <v>755</v>
      </c>
      <c r="B73" s="132" t="s">
        <v>1054</v>
      </c>
      <c r="C73" s="45" t="s">
        <v>19</v>
      </c>
      <c r="D73" s="45">
        <v>0.25</v>
      </c>
      <c r="E73" s="4">
        <v>18</v>
      </c>
      <c r="F73" s="4">
        <v>4</v>
      </c>
      <c r="G73" s="4">
        <v>21</v>
      </c>
      <c r="H73" s="45">
        <v>5.4233000000000002</v>
      </c>
      <c r="I73" s="4">
        <v>5.9999999999999995E-4</v>
      </c>
      <c r="J73" s="45">
        <v>-33.535400000000003</v>
      </c>
      <c r="K73" s="4">
        <v>6.9999999999999999E-4</v>
      </c>
      <c r="L73" s="4">
        <v>4.1000000000000002E-2</v>
      </c>
      <c r="M73" s="4">
        <v>8.0000000000000002E-3</v>
      </c>
      <c r="N73" s="4">
        <v>-6.4000000000000003E-3</v>
      </c>
      <c r="O73" s="4">
        <v>2.0000000000000001E-4</v>
      </c>
      <c r="P73" s="4">
        <v>124.52</v>
      </c>
      <c r="Q73" s="4">
        <v>0.2</v>
      </c>
      <c r="R73" s="45">
        <f>P73*E73/G73^3</f>
        <v>0.24202137998056367</v>
      </c>
      <c r="S73" s="22">
        <f>Q73*E73/G73^3</f>
        <v>3.8872691933916425E-4</v>
      </c>
    </row>
    <row r="74" spans="1:19" ht="17" thickBot="1">
      <c r="A74" s="95" t="s">
        <v>755</v>
      </c>
      <c r="B74" s="121" t="s">
        <v>1054</v>
      </c>
      <c r="C74" s="10" t="s">
        <v>19</v>
      </c>
      <c r="D74" s="10">
        <v>0.5</v>
      </c>
      <c r="E74" s="10">
        <v>18</v>
      </c>
      <c r="F74" s="10">
        <v>4</v>
      </c>
      <c r="G74" s="10">
        <v>21</v>
      </c>
      <c r="H74" s="10">
        <v>3.8466999999999998</v>
      </c>
      <c r="I74" s="10">
        <v>8.0000000000000004E-4</v>
      </c>
      <c r="J74" s="10">
        <v>-24.146000000000001</v>
      </c>
      <c r="K74" s="10">
        <v>3.2000000000000002E-3</v>
      </c>
      <c r="L74" s="10">
        <v>7.2999999999999995E-2</v>
      </c>
      <c r="M74" s="10">
        <v>1.7999999999999999E-2</v>
      </c>
      <c r="N74" s="10">
        <v>-9.4999999999999998E-3</v>
      </c>
      <c r="O74" s="10">
        <v>5.9999999999999995E-4</v>
      </c>
      <c r="P74" s="10">
        <v>121.97</v>
      </c>
      <c r="Q74" s="10">
        <v>0.52</v>
      </c>
      <c r="R74" s="10">
        <f t="shared" si="8"/>
        <v>0.23706511175898931</v>
      </c>
      <c r="S74" s="26">
        <f t="shared" si="9"/>
        <v>1.010689990281827E-3</v>
      </c>
    </row>
    <row r="75" spans="1:19" ht="17" thickTop="1">
      <c r="A75" s="102" t="s">
        <v>756</v>
      </c>
      <c r="B75" s="119" t="s">
        <v>1055</v>
      </c>
      <c r="C75" s="119"/>
      <c r="D75" s="119">
        <v>0.25</v>
      </c>
      <c r="E75" s="7">
        <v>18</v>
      </c>
      <c r="F75" s="7">
        <v>5</v>
      </c>
      <c r="G75" s="7">
        <v>21</v>
      </c>
      <c r="H75" s="119">
        <v>5.5488999999999997</v>
      </c>
      <c r="I75" s="7">
        <v>5.9999999999999995E-4</v>
      </c>
      <c r="J75" s="119">
        <v>-34.021599999999999</v>
      </c>
      <c r="K75" s="7">
        <v>2.0999999999999999E-3</v>
      </c>
      <c r="L75" s="7">
        <v>3.2000000000000001E-2</v>
      </c>
      <c r="M75" s="7">
        <v>3.0000000000000001E-3</v>
      </c>
      <c r="N75" s="7">
        <v>-5.8999999999999999E-3</v>
      </c>
      <c r="O75" s="7">
        <v>2.0000000000000001E-4</v>
      </c>
      <c r="P75" s="7">
        <v>124.88</v>
      </c>
      <c r="Q75" s="7">
        <v>0.12</v>
      </c>
      <c r="R75" s="119">
        <f>P75*E75/G75^3</f>
        <v>0.24272108843537415</v>
      </c>
      <c r="S75" s="18">
        <f>Q75*E75/G75^3</f>
        <v>2.3323615160349855E-4</v>
      </c>
    </row>
    <row r="76" spans="1:19">
      <c r="A76" s="23" t="s">
        <v>756</v>
      </c>
      <c r="B76" s="4" t="s">
        <v>1055</v>
      </c>
      <c r="D76" s="4">
        <v>0.5</v>
      </c>
      <c r="E76" s="4">
        <v>18</v>
      </c>
      <c r="F76" s="4">
        <v>5</v>
      </c>
      <c r="G76" s="4">
        <v>21</v>
      </c>
      <c r="H76" s="4">
        <v>4.0812999999999997</v>
      </c>
      <c r="I76" s="4">
        <v>5.0000000000000001E-4</v>
      </c>
      <c r="J76" s="4">
        <v>-24.916</v>
      </c>
      <c r="K76" s="4">
        <v>2.0999999999999999E-3</v>
      </c>
      <c r="L76" s="4">
        <v>4.9000000000000002E-2</v>
      </c>
      <c r="M76" s="4">
        <v>4.0000000000000001E-3</v>
      </c>
      <c r="N76" s="4">
        <v>-7.9000000000000008E-3</v>
      </c>
      <c r="O76" s="4">
        <v>4.0000000000000002E-4</v>
      </c>
      <c r="P76" s="4">
        <v>124.11</v>
      </c>
      <c r="Q76" s="4">
        <v>0.4</v>
      </c>
      <c r="R76" s="4">
        <f t="shared" ref="R76:R77" si="10">P76*E76/G76^3</f>
        <v>0.24122448979591837</v>
      </c>
      <c r="S76" s="22">
        <f t="shared" ref="S76:S77" si="11">Q76*E76/G76^3</f>
        <v>7.774538386783285E-4</v>
      </c>
    </row>
    <row r="77" spans="1:19">
      <c r="A77" s="28" t="s">
        <v>756</v>
      </c>
      <c r="B77" s="29" t="s">
        <v>1055</v>
      </c>
      <c r="C77" s="29"/>
      <c r="D77" s="29">
        <v>0.75</v>
      </c>
      <c r="E77" s="4">
        <v>18</v>
      </c>
      <c r="F77" s="4">
        <v>5</v>
      </c>
      <c r="G77" s="4">
        <v>21</v>
      </c>
      <c r="H77" s="29">
        <v>2.6335000000000002</v>
      </c>
      <c r="I77" s="4">
        <v>5.9999999999999995E-4</v>
      </c>
      <c r="J77" s="29">
        <v>-16.043299999999999</v>
      </c>
      <c r="K77" s="4">
        <v>1E-3</v>
      </c>
      <c r="L77" s="4">
        <v>0.03</v>
      </c>
      <c r="M77" s="4">
        <v>5.0000000000000001E-3</v>
      </c>
      <c r="N77" s="4">
        <v>-1.3899999999999999E-2</v>
      </c>
      <c r="O77" s="4">
        <v>2.0000000000000001E-4</v>
      </c>
      <c r="P77" s="4">
        <v>119.45</v>
      </c>
      <c r="Q77" s="4">
        <v>7.0000000000000007E-2</v>
      </c>
      <c r="R77" s="4">
        <f t="shared" si="10"/>
        <v>0.23216715257531584</v>
      </c>
      <c r="S77" s="22">
        <f t="shared" si="11"/>
        <v>1.3605442176870751E-4</v>
      </c>
    </row>
    <row r="78" spans="1:19">
      <c r="A78" s="44" t="s">
        <v>757</v>
      </c>
      <c r="B78" s="45" t="s">
        <v>1056</v>
      </c>
      <c r="C78" s="45"/>
      <c r="D78" s="45">
        <v>0.25</v>
      </c>
      <c r="E78" s="4">
        <v>18</v>
      </c>
      <c r="F78" s="4">
        <v>5</v>
      </c>
      <c r="G78" s="4">
        <v>21</v>
      </c>
      <c r="H78" s="45">
        <v>5.5735000000000001</v>
      </c>
      <c r="I78" s="4">
        <v>5.9999999999999995E-4</v>
      </c>
      <c r="J78" s="45">
        <v>-33.960500000000003</v>
      </c>
      <c r="K78" s="4">
        <v>2.3E-3</v>
      </c>
      <c r="L78" s="4">
        <v>3.5000000000000003E-2</v>
      </c>
      <c r="M78" s="4">
        <v>8.0000000000000002E-3</v>
      </c>
      <c r="N78" s="4">
        <v>-5.5999999999999999E-3</v>
      </c>
      <c r="O78" s="4">
        <v>5.9999999999999995E-4</v>
      </c>
      <c r="P78" s="4">
        <v>124.52</v>
      </c>
      <c r="Q78" s="4">
        <v>0.5</v>
      </c>
      <c r="R78" s="45">
        <f>P78*E78/G78^3</f>
        <v>0.24202137998056367</v>
      </c>
      <c r="S78" s="22">
        <f>Q78*E78/G78^3</f>
        <v>9.7181729834791054E-4</v>
      </c>
    </row>
    <row r="79" spans="1:19">
      <c r="A79" s="23" t="s">
        <v>757</v>
      </c>
      <c r="B79" s="4" t="s">
        <v>1056</v>
      </c>
      <c r="D79" s="4">
        <v>0.5</v>
      </c>
      <c r="E79" s="4">
        <v>18</v>
      </c>
      <c r="F79" s="4">
        <v>5</v>
      </c>
      <c r="G79" s="4">
        <v>21</v>
      </c>
      <c r="H79" s="4">
        <v>4.1558999999999999</v>
      </c>
      <c r="I79" s="4">
        <v>5.0000000000000001E-4</v>
      </c>
      <c r="J79" s="4">
        <v>-24.966100000000001</v>
      </c>
      <c r="K79" s="4">
        <v>1.4E-3</v>
      </c>
      <c r="L79" s="4">
        <v>4.3999999999999997E-2</v>
      </c>
      <c r="M79" s="4">
        <v>1.4E-2</v>
      </c>
      <c r="N79" s="4">
        <v>-8.8000000000000005E-3</v>
      </c>
      <c r="O79" s="4">
        <v>5.9999999999999995E-4</v>
      </c>
      <c r="P79" s="4">
        <v>120.81</v>
      </c>
      <c r="Q79" s="4">
        <v>0.39</v>
      </c>
      <c r="R79" s="4">
        <f t="shared" ref="R79:R84" si="12">P79*E79/G79^3</f>
        <v>0.23481049562682216</v>
      </c>
      <c r="S79" s="22">
        <f t="shared" ref="S79:S84" si="13">Q79*E79/G79^3</f>
        <v>7.5801749271137034E-4</v>
      </c>
    </row>
    <row r="80" spans="1:19">
      <c r="A80" s="44" t="s">
        <v>758</v>
      </c>
      <c r="B80" s="45" t="s">
        <v>1057</v>
      </c>
      <c r="C80" s="45"/>
      <c r="D80" s="45">
        <v>0.25</v>
      </c>
      <c r="E80" s="4">
        <v>18</v>
      </c>
      <c r="F80" s="4">
        <v>5</v>
      </c>
      <c r="G80" s="4">
        <v>21</v>
      </c>
      <c r="H80" s="45">
        <v>5.5095999999999998</v>
      </c>
      <c r="I80" s="4">
        <v>4.0000000000000002E-4</v>
      </c>
      <c r="J80" s="45">
        <v>-34.257899999999999</v>
      </c>
      <c r="K80" s="4">
        <v>1.2999999999999999E-3</v>
      </c>
      <c r="L80" s="4">
        <v>3.7999999999999999E-2</v>
      </c>
      <c r="M80" s="4">
        <v>3.0000000000000001E-3</v>
      </c>
      <c r="N80" s="4">
        <v>-6.1999999999999998E-3</v>
      </c>
      <c r="O80" s="4">
        <v>2.0000000000000001E-4</v>
      </c>
      <c r="P80" s="4">
        <v>124.49</v>
      </c>
      <c r="Q80" s="4">
        <v>0.21</v>
      </c>
      <c r="R80" s="45">
        <f>P80*E80/G80^3</f>
        <v>0.24196307094266276</v>
      </c>
      <c r="S80" s="22">
        <f>Q80*E80/G80^3</f>
        <v>4.0816326530612241E-4</v>
      </c>
    </row>
    <row r="81" spans="1:19">
      <c r="A81" s="23" t="s">
        <v>758</v>
      </c>
      <c r="B81" s="4" t="s">
        <v>1057</v>
      </c>
      <c r="D81" s="4">
        <v>0.5</v>
      </c>
      <c r="E81" s="4">
        <v>18</v>
      </c>
      <c r="F81" s="4">
        <v>5</v>
      </c>
      <c r="G81" s="4">
        <v>21</v>
      </c>
      <c r="H81" s="4">
        <v>4.0110000000000001</v>
      </c>
      <c r="I81" s="4">
        <v>2.9999999999999997E-4</v>
      </c>
      <c r="J81" s="4">
        <v>-25.715900000000001</v>
      </c>
      <c r="K81" s="4">
        <v>2E-3</v>
      </c>
      <c r="L81" s="4">
        <v>9.6000000000000002E-2</v>
      </c>
      <c r="M81" s="4">
        <v>5.0000000000000001E-3</v>
      </c>
      <c r="N81" s="4">
        <v>-9.7999999999999997E-3</v>
      </c>
      <c r="O81" s="4">
        <v>8.0000000000000004E-4</v>
      </c>
      <c r="P81" s="4">
        <v>120.15</v>
      </c>
      <c r="Q81" s="4">
        <v>0.76</v>
      </c>
      <c r="R81" s="4">
        <f t="shared" si="12"/>
        <v>0.23352769679300295</v>
      </c>
      <c r="S81" s="22">
        <f t="shared" si="13"/>
        <v>1.4771622934888241E-3</v>
      </c>
    </row>
    <row r="82" spans="1:19">
      <c r="A82" s="44" t="s">
        <v>759</v>
      </c>
      <c r="B82" s="45" t="s">
        <v>1058</v>
      </c>
      <c r="C82" s="45"/>
      <c r="D82" s="45">
        <v>0.25</v>
      </c>
      <c r="E82" s="4">
        <v>18</v>
      </c>
      <c r="F82" s="4">
        <v>5</v>
      </c>
      <c r="G82" s="4">
        <v>21</v>
      </c>
      <c r="H82" s="45">
        <v>5.5365000000000002</v>
      </c>
      <c r="I82" s="4">
        <v>2.9999999999999997E-4</v>
      </c>
      <c r="J82" s="45">
        <v>-34.072099999999999</v>
      </c>
      <c r="K82" s="4">
        <v>1.6000000000000001E-3</v>
      </c>
      <c r="L82" s="4">
        <v>3.3000000000000002E-2</v>
      </c>
      <c r="M82" s="4">
        <v>4.0000000000000001E-3</v>
      </c>
      <c r="N82" s="4">
        <v>-5.7999999999999996E-3</v>
      </c>
      <c r="O82" s="4">
        <v>1E-4</v>
      </c>
      <c r="P82" s="4">
        <v>124.87</v>
      </c>
      <c r="Q82" s="4">
        <v>0.09</v>
      </c>
      <c r="R82" s="45">
        <f>P82*E82/G82^3</f>
        <v>0.24270165208940717</v>
      </c>
      <c r="S82" s="22">
        <f>Q82*E82/G82^3</f>
        <v>1.7492711370262388E-4</v>
      </c>
    </row>
    <row r="83" spans="1:19">
      <c r="A83" s="23" t="s">
        <v>759</v>
      </c>
      <c r="B83" s="4" t="s">
        <v>1058</v>
      </c>
      <c r="D83" s="4">
        <v>0.5</v>
      </c>
      <c r="E83" s="4">
        <v>18</v>
      </c>
      <c r="F83" s="4">
        <v>5</v>
      </c>
      <c r="G83" s="4">
        <v>21</v>
      </c>
      <c r="H83" s="4">
        <v>4.0587999999999997</v>
      </c>
      <c r="I83" s="4">
        <v>6.9999999999999999E-4</v>
      </c>
      <c r="J83" s="4">
        <v>-25.0731</v>
      </c>
      <c r="K83" s="4">
        <v>1.6999999999999999E-3</v>
      </c>
      <c r="L83" s="4">
        <v>4.8000000000000001E-2</v>
      </c>
      <c r="M83" s="4">
        <v>2.1000000000000001E-2</v>
      </c>
      <c r="N83" s="4">
        <v>-8.3000000000000001E-3</v>
      </c>
      <c r="O83" s="4">
        <v>5.0000000000000001E-4</v>
      </c>
      <c r="P83" s="4">
        <v>123.33</v>
      </c>
      <c r="Q83" s="4">
        <v>0.5</v>
      </c>
      <c r="R83" s="4">
        <f t="shared" si="12"/>
        <v>0.23970845481049563</v>
      </c>
      <c r="S83" s="22">
        <f t="shared" si="13"/>
        <v>9.7181729834791054E-4</v>
      </c>
    </row>
    <row r="84" spans="1:19">
      <c r="A84" s="28" t="s">
        <v>759</v>
      </c>
      <c r="B84" s="29" t="s">
        <v>1058</v>
      </c>
      <c r="C84" s="29"/>
      <c r="D84" s="29">
        <v>0.75</v>
      </c>
      <c r="E84" s="4">
        <v>18</v>
      </c>
      <c r="F84" s="4">
        <v>5</v>
      </c>
      <c r="G84" s="4">
        <v>21</v>
      </c>
      <c r="H84" s="29">
        <v>2.6061000000000001</v>
      </c>
      <c r="I84" s="4">
        <v>6.9999999999999999E-4</v>
      </c>
      <c r="J84" s="29">
        <v>-16.569400000000002</v>
      </c>
      <c r="K84" s="4">
        <v>2.5000000000000001E-3</v>
      </c>
      <c r="L84" s="4">
        <v>0.1</v>
      </c>
      <c r="M84" s="4">
        <v>0.02</v>
      </c>
      <c r="N84" s="4">
        <v>-1.7899999999999999E-2</v>
      </c>
      <c r="O84" s="4">
        <v>6.9999999999999999E-4</v>
      </c>
      <c r="P84" s="4">
        <v>113.05</v>
      </c>
      <c r="Q84" s="4">
        <v>0.51</v>
      </c>
      <c r="R84" s="29">
        <f t="shared" si="12"/>
        <v>0.21972789115646257</v>
      </c>
      <c r="S84" s="22">
        <f t="shared" si="13"/>
        <v>9.912536443148687E-4</v>
      </c>
    </row>
    <row r="85" spans="1:19">
      <c r="A85" s="44" t="s">
        <v>760</v>
      </c>
      <c r="B85" s="45" t="s">
        <v>1059</v>
      </c>
      <c r="C85" s="45"/>
      <c r="D85" s="45">
        <v>0.25</v>
      </c>
      <c r="E85" s="4">
        <v>18</v>
      </c>
      <c r="F85" s="4">
        <v>5</v>
      </c>
      <c r="G85" s="4">
        <v>21</v>
      </c>
      <c r="H85" s="45">
        <v>5.5484</v>
      </c>
      <c r="I85" s="4">
        <v>2.9999999999999997E-4</v>
      </c>
      <c r="J85" s="45">
        <v>-34.160800000000002</v>
      </c>
      <c r="K85" s="4">
        <v>4.0000000000000002E-4</v>
      </c>
      <c r="L85" s="4">
        <v>2.9000000000000001E-2</v>
      </c>
      <c r="M85" s="4">
        <v>0</v>
      </c>
      <c r="N85" s="4">
        <v>-5.8999999999999999E-3</v>
      </c>
      <c r="O85" s="4">
        <v>1E-4</v>
      </c>
      <c r="P85" s="4">
        <v>124.57</v>
      </c>
      <c r="Q85" s="4">
        <v>0.1</v>
      </c>
      <c r="R85" s="45">
        <f>P85*E85/G85^3</f>
        <v>0.24211856171039842</v>
      </c>
      <c r="S85" s="22">
        <f>Q85*E85/G85^3</f>
        <v>1.9436345966958212E-4</v>
      </c>
    </row>
    <row r="86" spans="1:19">
      <c r="A86" s="23" t="s">
        <v>760</v>
      </c>
      <c r="B86" s="4" t="s">
        <v>1059</v>
      </c>
      <c r="D86" s="4">
        <v>0.5</v>
      </c>
      <c r="E86" s="4">
        <v>18</v>
      </c>
      <c r="F86" s="4">
        <v>5</v>
      </c>
      <c r="G86" s="4">
        <v>21</v>
      </c>
      <c r="H86" s="4">
        <v>4.0831</v>
      </c>
      <c r="I86" s="4">
        <v>4.0000000000000002E-4</v>
      </c>
      <c r="J86" s="4">
        <v>-25.319099999999999</v>
      </c>
      <c r="K86" s="4">
        <v>1.4E-3</v>
      </c>
      <c r="L86" s="4">
        <v>3.9E-2</v>
      </c>
      <c r="M86" s="4">
        <v>1.2999999999999999E-2</v>
      </c>
      <c r="N86" s="4">
        <v>-9.1000000000000004E-3</v>
      </c>
      <c r="O86" s="4">
        <v>2.0000000000000001E-4</v>
      </c>
      <c r="P86" s="4">
        <v>121.35</v>
      </c>
      <c r="Q86" s="4">
        <v>0.06</v>
      </c>
      <c r="R86" s="4">
        <f t="shared" ref="R86" si="14">P86*E86/G86^3</f>
        <v>0.23586005830903786</v>
      </c>
      <c r="S86" s="22">
        <f t="shared" ref="S86" si="15">Q86*E86/G86^3</f>
        <v>1.1661807580174928E-4</v>
      </c>
    </row>
    <row r="87" spans="1:19">
      <c r="A87" s="44" t="s">
        <v>761</v>
      </c>
      <c r="B87" s="45" t="s">
        <v>1060</v>
      </c>
      <c r="C87" s="45"/>
      <c r="D87" s="45">
        <v>0.25</v>
      </c>
      <c r="E87" s="4">
        <v>18</v>
      </c>
      <c r="F87" s="4">
        <v>5</v>
      </c>
      <c r="G87" s="4">
        <v>21</v>
      </c>
      <c r="H87" s="45">
        <v>5.5194999999999999</v>
      </c>
      <c r="I87" s="4">
        <v>5.9999999999999995E-4</v>
      </c>
      <c r="J87" s="45">
        <v>-34.21</v>
      </c>
      <c r="K87" s="4">
        <v>1.4E-3</v>
      </c>
      <c r="L87" s="4">
        <v>3.4000000000000002E-2</v>
      </c>
      <c r="M87" s="4">
        <v>8.9999999999999993E-3</v>
      </c>
      <c r="N87" s="4">
        <v>-6.1999999999999998E-3</v>
      </c>
      <c r="O87" s="4">
        <v>1E-4</v>
      </c>
      <c r="P87" s="4">
        <v>124.36</v>
      </c>
      <c r="Q87" s="4">
        <v>0.13</v>
      </c>
      <c r="R87" s="45">
        <f>P87*E87/G87^3</f>
        <v>0.24171039844509232</v>
      </c>
      <c r="S87" s="22">
        <f>Q87*E87/G87^3</f>
        <v>2.5267249757045674E-4</v>
      </c>
    </row>
    <row r="88" spans="1:19">
      <c r="A88" s="23" t="s">
        <v>761</v>
      </c>
      <c r="B88" s="4" t="s">
        <v>1060</v>
      </c>
      <c r="D88" s="4">
        <v>0.5</v>
      </c>
      <c r="E88" s="4">
        <v>18</v>
      </c>
      <c r="F88" s="4">
        <v>5</v>
      </c>
      <c r="G88" s="4">
        <v>21</v>
      </c>
      <c r="H88" s="4">
        <v>4.0293000000000001</v>
      </c>
      <c r="I88" s="4">
        <v>4.0000000000000002E-4</v>
      </c>
      <c r="J88" s="4">
        <v>-25.608799999999999</v>
      </c>
      <c r="K88" s="4">
        <v>2.2000000000000001E-3</v>
      </c>
      <c r="L88" s="4">
        <v>7.4999999999999997E-2</v>
      </c>
      <c r="M88" s="4">
        <v>3.0000000000000001E-3</v>
      </c>
      <c r="N88" s="4">
        <v>-9.7999999999999997E-3</v>
      </c>
      <c r="O88" s="4">
        <v>4.0000000000000002E-4</v>
      </c>
      <c r="P88" s="4">
        <v>119.54</v>
      </c>
      <c r="Q88" s="4">
        <v>0.37</v>
      </c>
      <c r="R88" s="4">
        <f t="shared" ref="R88:R94" si="16">P88*E88/G88^3</f>
        <v>0.23234207968901849</v>
      </c>
      <c r="S88" s="22">
        <f t="shared" ref="S88:S94" si="17">Q88*E88/G88^3</f>
        <v>7.1914480077745391E-4</v>
      </c>
    </row>
    <row r="89" spans="1:19">
      <c r="A89" s="44" t="s">
        <v>762</v>
      </c>
      <c r="B89" s="45" t="s">
        <v>1061</v>
      </c>
      <c r="C89" s="45"/>
      <c r="D89" s="45">
        <v>0.25</v>
      </c>
      <c r="E89" s="4">
        <v>18</v>
      </c>
      <c r="F89" s="4">
        <v>5</v>
      </c>
      <c r="G89" s="4">
        <v>21</v>
      </c>
      <c r="H89" s="45">
        <v>5.5296000000000003</v>
      </c>
      <c r="I89" s="4">
        <v>8.0000000000000004E-4</v>
      </c>
      <c r="J89" s="45">
        <v>-34.036499999999997</v>
      </c>
      <c r="K89" s="4">
        <v>1.5E-3</v>
      </c>
      <c r="L89" s="4">
        <v>3.1E-2</v>
      </c>
      <c r="M89" s="4">
        <v>7.0000000000000001E-3</v>
      </c>
      <c r="N89" s="4">
        <v>-6.0000000000000001E-3</v>
      </c>
      <c r="O89" s="4">
        <v>1E-4</v>
      </c>
      <c r="P89" s="4">
        <v>124.74</v>
      </c>
      <c r="Q89" s="4">
        <v>0.1</v>
      </c>
      <c r="R89" s="45">
        <f>P89*E89/G89^3</f>
        <v>0.2424489795918367</v>
      </c>
      <c r="S89" s="22">
        <f>Q89*E89/G89^3</f>
        <v>1.9436345966958212E-4</v>
      </c>
    </row>
    <row r="90" spans="1:19">
      <c r="A90" s="23" t="s">
        <v>762</v>
      </c>
      <c r="B90" s="4" t="s">
        <v>1061</v>
      </c>
      <c r="D90" s="4">
        <v>0.5</v>
      </c>
      <c r="E90" s="4">
        <v>18</v>
      </c>
      <c r="F90" s="4">
        <v>5</v>
      </c>
      <c r="G90" s="4">
        <v>21</v>
      </c>
      <c r="H90" s="4">
        <v>4.0457000000000001</v>
      </c>
      <c r="I90" s="4">
        <v>2.9999999999999997E-4</v>
      </c>
      <c r="J90" s="4">
        <v>-24.983499999999999</v>
      </c>
      <c r="K90" s="4">
        <v>2.9999999999999997E-4</v>
      </c>
      <c r="L90" s="4">
        <v>4.8000000000000001E-2</v>
      </c>
      <c r="M90" s="4">
        <v>1.2E-2</v>
      </c>
      <c r="N90" s="4">
        <v>-8.6999999999999994E-3</v>
      </c>
      <c r="O90" s="4">
        <v>1E-4</v>
      </c>
      <c r="P90" s="4">
        <v>123.23</v>
      </c>
      <c r="Q90" s="4">
        <v>0.17</v>
      </c>
      <c r="R90" s="4">
        <f t="shared" si="16"/>
        <v>0.23951409135082602</v>
      </c>
      <c r="S90" s="22">
        <f t="shared" si="17"/>
        <v>3.304178814382896E-4</v>
      </c>
    </row>
    <row r="91" spans="1:19">
      <c r="A91" s="28" t="s">
        <v>762</v>
      </c>
      <c r="B91" s="29" t="s">
        <v>1061</v>
      </c>
      <c r="C91" s="29"/>
      <c r="D91" s="29">
        <v>0.75</v>
      </c>
      <c r="E91" s="4">
        <v>18</v>
      </c>
      <c r="F91" s="4">
        <v>5</v>
      </c>
      <c r="G91" s="4">
        <v>21</v>
      </c>
      <c r="H91" s="29">
        <v>2.5788000000000002</v>
      </c>
      <c r="I91" s="4">
        <v>5.0000000000000001E-4</v>
      </c>
      <c r="J91" s="29">
        <v>-16.365200000000002</v>
      </c>
      <c r="K91" s="4">
        <v>1.2999999999999999E-3</v>
      </c>
      <c r="L91" s="4">
        <v>9.4E-2</v>
      </c>
      <c r="M91" s="4">
        <v>6.0000000000000001E-3</v>
      </c>
      <c r="N91" s="4">
        <v>-1.6899999999999998E-2</v>
      </c>
      <c r="O91" s="4">
        <v>2.0000000000000001E-4</v>
      </c>
      <c r="P91" s="4">
        <v>114.54</v>
      </c>
      <c r="Q91" s="4">
        <v>0.16</v>
      </c>
      <c r="R91" s="29">
        <f t="shared" si="16"/>
        <v>0.22262390670553939</v>
      </c>
      <c r="S91" s="22">
        <f t="shared" si="17"/>
        <v>3.1098153547133139E-4</v>
      </c>
    </row>
    <row r="92" spans="1:19">
      <c r="A92" s="44" t="s">
        <v>763</v>
      </c>
      <c r="B92" s="45" t="s">
        <v>1062</v>
      </c>
      <c r="C92" s="45"/>
      <c r="D92" s="45">
        <v>0.25</v>
      </c>
      <c r="E92" s="4">
        <v>18</v>
      </c>
      <c r="F92" s="4">
        <v>5</v>
      </c>
      <c r="G92" s="4">
        <v>21</v>
      </c>
      <c r="H92" s="45">
        <v>5.5416999999999996</v>
      </c>
      <c r="I92" s="4">
        <v>1E-3</v>
      </c>
      <c r="J92" s="45">
        <v>-33.994900000000001</v>
      </c>
      <c r="K92" s="4">
        <v>5.4000000000000003E-3</v>
      </c>
      <c r="L92" s="4">
        <v>6.3E-2</v>
      </c>
      <c r="M92" s="4">
        <v>1.4999999999999999E-2</v>
      </c>
      <c r="N92" s="4">
        <v>-5.7999999999999996E-3</v>
      </c>
      <c r="O92" s="4">
        <v>2.0000000000000001E-4</v>
      </c>
      <c r="P92" s="4">
        <v>125.08</v>
      </c>
      <c r="Q92" s="4">
        <v>0.32</v>
      </c>
      <c r="R92" s="45">
        <f>P92*E92/G92^3</f>
        <v>0.24310981535471332</v>
      </c>
      <c r="S92" s="22">
        <f>Q92*E92/G92^3</f>
        <v>6.2196307094266278E-4</v>
      </c>
    </row>
    <row r="93" spans="1:19">
      <c r="A93" s="23" t="s">
        <v>763</v>
      </c>
      <c r="B93" s="4" t="s">
        <v>1062</v>
      </c>
      <c r="D93" s="4">
        <v>0.5</v>
      </c>
      <c r="E93" s="4">
        <v>18</v>
      </c>
      <c r="F93" s="4">
        <v>5</v>
      </c>
      <c r="G93" s="4">
        <v>21</v>
      </c>
      <c r="H93" s="4">
        <v>4.0690999999999997</v>
      </c>
      <c r="I93" s="4">
        <v>6.9999999999999999E-4</v>
      </c>
      <c r="J93" s="4">
        <v>-24.8964</v>
      </c>
      <c r="K93" s="4">
        <v>1.1999999999999999E-3</v>
      </c>
      <c r="L93" s="4">
        <v>3.9E-2</v>
      </c>
      <c r="M93" s="4">
        <v>4.0000000000000001E-3</v>
      </c>
      <c r="N93" s="4">
        <v>-8.2000000000000007E-3</v>
      </c>
      <c r="O93" s="4">
        <v>4.0000000000000002E-4</v>
      </c>
      <c r="P93" s="4">
        <v>123.72</v>
      </c>
      <c r="Q93" s="4">
        <v>0.35</v>
      </c>
      <c r="R93" s="4">
        <f t="shared" si="16"/>
        <v>0.240466472303207</v>
      </c>
      <c r="S93" s="22">
        <f t="shared" si="17"/>
        <v>6.8027210884353737E-4</v>
      </c>
    </row>
    <row r="94" spans="1:19">
      <c r="A94" s="28" t="s">
        <v>763</v>
      </c>
      <c r="B94" s="29" t="s">
        <v>1062</v>
      </c>
      <c r="C94" s="29"/>
      <c r="D94" s="29">
        <v>0.75</v>
      </c>
      <c r="E94" s="4">
        <v>18</v>
      </c>
      <c r="F94" s="4">
        <v>5</v>
      </c>
      <c r="G94" s="4">
        <v>21</v>
      </c>
      <c r="H94" s="29">
        <v>2.6206</v>
      </c>
      <c r="I94" s="4">
        <v>5.0000000000000001E-4</v>
      </c>
      <c r="J94" s="29">
        <v>-16.1629</v>
      </c>
      <c r="K94" s="4">
        <v>1.4E-3</v>
      </c>
      <c r="L94" s="4">
        <v>7.5999999999999998E-2</v>
      </c>
      <c r="M94" s="4">
        <v>4.1000000000000002E-2</v>
      </c>
      <c r="N94" s="4">
        <v>-1.5900000000000001E-2</v>
      </c>
      <c r="O94" s="4">
        <v>5.9999999999999995E-4</v>
      </c>
      <c r="P94" s="4">
        <v>116.64</v>
      </c>
      <c r="Q94" s="4">
        <v>0.39</v>
      </c>
      <c r="R94" s="29">
        <f t="shared" si="16"/>
        <v>0.22670553935860058</v>
      </c>
      <c r="S94" s="22">
        <f t="shared" si="17"/>
        <v>7.5801749271137034E-4</v>
      </c>
    </row>
    <row r="95" spans="1:19">
      <c r="A95" s="44" t="s">
        <v>764</v>
      </c>
      <c r="B95" s="132" t="s">
        <v>1063</v>
      </c>
      <c r="C95" s="45" t="s">
        <v>765</v>
      </c>
      <c r="D95" s="45">
        <v>0.25</v>
      </c>
      <c r="E95" s="4">
        <v>18</v>
      </c>
      <c r="F95" s="4">
        <v>5</v>
      </c>
      <c r="G95" s="4">
        <v>21</v>
      </c>
      <c r="H95" s="45">
        <v>5.569</v>
      </c>
      <c r="I95" s="4">
        <v>8.9999999999999998E-4</v>
      </c>
      <c r="J95" s="45">
        <v>-34.369</v>
      </c>
      <c r="K95" s="4">
        <v>3.0000000000000001E-3</v>
      </c>
      <c r="L95" s="4">
        <v>3.7999999999999999E-2</v>
      </c>
      <c r="M95" s="4">
        <v>0.01</v>
      </c>
      <c r="N95" s="4">
        <v>-6.1000000000000004E-3</v>
      </c>
      <c r="O95" s="4">
        <v>2.9999999999999997E-4</v>
      </c>
      <c r="P95" s="4">
        <v>123.76</v>
      </c>
      <c r="Q95" s="4">
        <v>0.26</v>
      </c>
      <c r="R95" s="45">
        <f>P95*E95/G95^3</f>
        <v>0.24054421768707487</v>
      </c>
      <c r="S95" s="22">
        <f>Q95*E95/G95^3</f>
        <v>5.0534499514091349E-4</v>
      </c>
    </row>
    <row r="96" spans="1:19" ht="17" thickBot="1">
      <c r="A96" s="37" t="s">
        <v>764</v>
      </c>
      <c r="B96" s="121" t="s">
        <v>1063</v>
      </c>
      <c r="C96" s="10" t="s">
        <v>765</v>
      </c>
      <c r="D96" s="10">
        <v>0.5</v>
      </c>
      <c r="E96" s="10">
        <v>18</v>
      </c>
      <c r="F96" s="10">
        <v>5</v>
      </c>
      <c r="G96" s="10">
        <v>21</v>
      </c>
      <c r="H96" s="10">
        <v>4.2093999999999996</v>
      </c>
      <c r="I96" s="10">
        <v>8.9999999999999998E-4</v>
      </c>
      <c r="J96" s="10">
        <v>-26.4587</v>
      </c>
      <c r="K96" s="10">
        <v>3.0000000000000001E-3</v>
      </c>
      <c r="L96" s="10">
        <v>0.113</v>
      </c>
      <c r="M96" s="10">
        <v>0.01</v>
      </c>
      <c r="N96" s="10">
        <v>-1.2999999999999999E-2</v>
      </c>
      <c r="O96" s="10">
        <v>2.0000000000000001E-4</v>
      </c>
      <c r="P96" s="10">
        <v>109.47</v>
      </c>
      <c r="Q96" s="10">
        <v>0.34</v>
      </c>
      <c r="R96" s="10">
        <f t="shared" ref="R96" si="18">P96*E96/G96^3</f>
        <v>0.21276967930029156</v>
      </c>
      <c r="S96" s="26">
        <f t="shared" ref="S96" si="19">Q96*E96/G96^3</f>
        <v>6.6083576287657921E-4</v>
      </c>
    </row>
    <row r="97" spans="1:19" ht="17" thickTop="1">
      <c r="A97" s="102" t="s">
        <v>766</v>
      </c>
      <c r="B97" s="119" t="s">
        <v>1064</v>
      </c>
      <c r="C97" s="119"/>
      <c r="D97" s="119">
        <v>0.25</v>
      </c>
      <c r="E97" s="7">
        <v>18</v>
      </c>
      <c r="F97" s="7">
        <v>6</v>
      </c>
      <c r="G97" s="7">
        <v>21</v>
      </c>
      <c r="H97" s="119">
        <v>5.6767000000000003</v>
      </c>
      <c r="I97" s="7">
        <v>5.0000000000000001E-4</v>
      </c>
      <c r="J97" s="119">
        <v>-34.726399999999998</v>
      </c>
      <c r="K97" s="7">
        <v>2.0999999999999999E-3</v>
      </c>
      <c r="L97" s="7">
        <v>0.03</v>
      </c>
      <c r="M97" s="7">
        <v>6.0000000000000001E-3</v>
      </c>
      <c r="N97" s="7">
        <v>-5.7999999999999996E-3</v>
      </c>
      <c r="O97" s="7">
        <v>2.0000000000000001E-4</v>
      </c>
      <c r="P97" s="7">
        <v>124.68</v>
      </c>
      <c r="Q97" s="7">
        <v>0.23</v>
      </c>
      <c r="R97" s="119">
        <f>P97*E97/G97^3</f>
        <v>0.24233236151603502</v>
      </c>
      <c r="S97" s="18">
        <f>Q97*E97/G97^3</f>
        <v>4.4703595724003895E-4</v>
      </c>
    </row>
    <row r="98" spans="1:19">
      <c r="A98" s="23" t="s">
        <v>766</v>
      </c>
      <c r="B98" s="4" t="s">
        <v>1064</v>
      </c>
      <c r="D98" s="4">
        <v>0.5</v>
      </c>
      <c r="E98" s="4">
        <v>18</v>
      </c>
      <c r="F98" s="4">
        <v>6</v>
      </c>
      <c r="G98" s="4">
        <v>21</v>
      </c>
      <c r="H98" s="4">
        <v>4.3388</v>
      </c>
      <c r="I98" s="4">
        <v>5.9999999999999995E-4</v>
      </c>
      <c r="J98" s="4">
        <v>-26.374600000000001</v>
      </c>
      <c r="K98" s="4">
        <v>1.1000000000000001E-3</v>
      </c>
      <c r="L98" s="4">
        <v>2.8000000000000001E-2</v>
      </c>
      <c r="M98" s="4">
        <v>6.0000000000000001E-3</v>
      </c>
      <c r="N98" s="4">
        <v>-7.7999999999999996E-3</v>
      </c>
      <c r="O98" s="4">
        <v>4.0000000000000002E-4</v>
      </c>
      <c r="P98" s="4">
        <v>123.28</v>
      </c>
      <c r="Q98" s="4">
        <v>0.32</v>
      </c>
      <c r="R98" s="4">
        <f t="shared" ref="R98:R144" si="20">P98*E98/G98^3</f>
        <v>0.23961127308066082</v>
      </c>
      <c r="S98" s="22">
        <f t="shared" ref="S98:S144" si="21">Q98*E98/G98^3</f>
        <v>6.2196307094266278E-4</v>
      </c>
    </row>
    <row r="99" spans="1:19">
      <c r="A99" s="28" t="s">
        <v>766</v>
      </c>
      <c r="B99" s="29" t="s">
        <v>1064</v>
      </c>
      <c r="C99" s="29"/>
      <c r="D99" s="29">
        <v>0.75</v>
      </c>
      <c r="E99" s="4">
        <v>18</v>
      </c>
      <c r="F99" s="4">
        <v>6</v>
      </c>
      <c r="G99" s="4">
        <v>21</v>
      </c>
      <c r="H99" s="29">
        <v>3.0215999999999998</v>
      </c>
      <c r="I99" s="4">
        <v>1E-3</v>
      </c>
      <c r="J99" s="29">
        <v>-18.3672</v>
      </c>
      <c r="K99" s="4">
        <v>2.8E-3</v>
      </c>
      <c r="L99" s="4">
        <v>0.05</v>
      </c>
      <c r="M99" s="4">
        <v>1.4E-2</v>
      </c>
      <c r="N99" s="4">
        <v>-1.23E-2</v>
      </c>
      <c r="O99" s="4">
        <v>5.9999999999999995E-4</v>
      </c>
      <c r="P99" s="4">
        <v>117.08</v>
      </c>
      <c r="Q99" s="4">
        <v>0.24</v>
      </c>
      <c r="R99" s="29">
        <f t="shared" si="20"/>
        <v>0.22756073858114675</v>
      </c>
      <c r="S99" s="22">
        <f t="shared" si="21"/>
        <v>4.6647230320699711E-4</v>
      </c>
    </row>
    <row r="100" spans="1:19">
      <c r="A100" s="44" t="s">
        <v>767</v>
      </c>
      <c r="B100" s="45" t="s">
        <v>1065</v>
      </c>
      <c r="C100" s="45"/>
      <c r="D100" s="45">
        <v>0.25</v>
      </c>
      <c r="E100" s="4">
        <v>18</v>
      </c>
      <c r="F100" s="4">
        <v>6</v>
      </c>
      <c r="G100" s="4">
        <v>21</v>
      </c>
      <c r="H100" s="45">
        <v>5.6776999999999997</v>
      </c>
      <c r="I100" s="4">
        <v>2.0000000000000001E-4</v>
      </c>
      <c r="J100" s="45">
        <v>-34.788899999999998</v>
      </c>
      <c r="K100" s="4">
        <v>2.0999999999999999E-3</v>
      </c>
      <c r="L100" s="4">
        <v>2.8000000000000001E-2</v>
      </c>
      <c r="M100" s="4">
        <v>1.2E-2</v>
      </c>
      <c r="N100" s="4">
        <v>-5.8999999999999999E-3</v>
      </c>
      <c r="O100" s="4">
        <v>1E-4</v>
      </c>
      <c r="P100" s="4">
        <v>124.05</v>
      </c>
      <c r="Q100" s="4">
        <v>0.09</v>
      </c>
      <c r="R100" s="45">
        <f>P100*E100/G100^3</f>
        <v>0.24110787172011663</v>
      </c>
      <c r="S100" s="22">
        <f>Q100*E100/G100^3</f>
        <v>1.7492711370262388E-4</v>
      </c>
    </row>
    <row r="101" spans="1:19">
      <c r="A101" s="23" t="s">
        <v>767</v>
      </c>
      <c r="B101" s="4" t="s">
        <v>1065</v>
      </c>
      <c r="D101" s="4">
        <v>0.5</v>
      </c>
      <c r="E101" s="4">
        <v>18</v>
      </c>
      <c r="F101" s="4">
        <v>6</v>
      </c>
      <c r="G101" s="4">
        <v>21</v>
      </c>
      <c r="H101" s="4">
        <v>4.3482000000000003</v>
      </c>
      <c r="I101" s="4">
        <v>4.0000000000000002E-4</v>
      </c>
      <c r="J101" s="4">
        <v>-26.702000000000002</v>
      </c>
      <c r="K101" s="4">
        <v>1.6999999999999999E-3</v>
      </c>
      <c r="L101" s="4">
        <v>4.5999999999999999E-2</v>
      </c>
      <c r="M101" s="4">
        <v>3.0000000000000001E-3</v>
      </c>
      <c r="N101" s="4">
        <v>-8.9999999999999993E-3</v>
      </c>
      <c r="O101" s="4">
        <v>2.0000000000000001E-4</v>
      </c>
      <c r="P101" s="4">
        <v>119.2</v>
      </c>
      <c r="Q101" s="4">
        <v>0.21</v>
      </c>
      <c r="R101" s="4">
        <f t="shared" si="20"/>
        <v>0.23168124392614187</v>
      </c>
      <c r="S101" s="22">
        <f t="shared" si="21"/>
        <v>4.0816326530612241E-4</v>
      </c>
    </row>
    <row r="102" spans="1:19">
      <c r="A102" s="44" t="s">
        <v>768</v>
      </c>
      <c r="B102" s="45" t="s">
        <v>1066</v>
      </c>
      <c r="C102" s="45"/>
      <c r="D102" s="45">
        <v>0.25</v>
      </c>
      <c r="E102" s="4">
        <v>18</v>
      </c>
      <c r="F102" s="4">
        <v>6</v>
      </c>
      <c r="G102" s="4">
        <v>21</v>
      </c>
      <c r="H102" s="45">
        <v>5.66</v>
      </c>
      <c r="I102" s="4">
        <v>4.0000000000000002E-4</v>
      </c>
      <c r="J102" s="45">
        <v>-34.8003</v>
      </c>
      <c r="K102" s="4">
        <v>5.9999999999999995E-4</v>
      </c>
      <c r="L102" s="4">
        <v>2.4E-2</v>
      </c>
      <c r="M102" s="4">
        <v>4.0000000000000001E-3</v>
      </c>
      <c r="N102" s="4">
        <v>-5.7999999999999996E-3</v>
      </c>
      <c r="O102" s="4">
        <v>1E-4</v>
      </c>
      <c r="P102" s="4">
        <v>124.5</v>
      </c>
      <c r="Q102" s="4">
        <v>0.11</v>
      </c>
      <c r="R102" s="45">
        <f>P102*E102/G102^3</f>
        <v>0.24198250728862974</v>
      </c>
      <c r="S102" s="22">
        <f>Q102*E102/G102^3</f>
        <v>2.1379980563654034E-4</v>
      </c>
    </row>
    <row r="103" spans="1:19">
      <c r="A103" s="23" t="s">
        <v>768</v>
      </c>
      <c r="B103" s="4" t="s">
        <v>1066</v>
      </c>
      <c r="D103" s="4">
        <v>0.5</v>
      </c>
      <c r="E103" s="4">
        <v>18</v>
      </c>
      <c r="F103" s="4">
        <v>6</v>
      </c>
      <c r="G103" s="4">
        <v>21</v>
      </c>
      <c r="H103" s="4">
        <v>4.3022</v>
      </c>
      <c r="I103" s="4">
        <v>8.0000000000000004E-4</v>
      </c>
      <c r="J103" s="4">
        <v>-26.6294</v>
      </c>
      <c r="K103" s="4">
        <v>1.2999999999999999E-3</v>
      </c>
      <c r="L103" s="4">
        <v>5.8999999999999997E-2</v>
      </c>
      <c r="M103" s="4">
        <v>1.0999999999999999E-2</v>
      </c>
      <c r="N103" s="4">
        <v>-8.8000000000000005E-3</v>
      </c>
      <c r="O103" s="4">
        <v>1E-4</v>
      </c>
      <c r="P103" s="4">
        <v>121.08</v>
      </c>
      <c r="Q103" s="4">
        <v>0.14000000000000001</v>
      </c>
      <c r="R103" s="4">
        <f t="shared" si="20"/>
        <v>0.23533527696793002</v>
      </c>
      <c r="S103" s="22">
        <f t="shared" si="21"/>
        <v>2.7210884353741501E-4</v>
      </c>
    </row>
    <row r="104" spans="1:19">
      <c r="A104" s="28" t="s">
        <v>768</v>
      </c>
      <c r="B104" s="29" t="s">
        <v>1066</v>
      </c>
      <c r="C104" s="29"/>
      <c r="D104" s="29">
        <v>0.75</v>
      </c>
      <c r="E104" s="4">
        <v>18</v>
      </c>
      <c r="F104" s="4">
        <v>6</v>
      </c>
      <c r="G104" s="4">
        <v>21</v>
      </c>
      <c r="H104" s="29">
        <v>2.9596</v>
      </c>
      <c r="I104" s="4">
        <v>5.9999999999999995E-4</v>
      </c>
      <c r="J104" s="29">
        <v>-19.284800000000001</v>
      </c>
      <c r="K104" s="4">
        <v>1.5E-3</v>
      </c>
      <c r="L104" s="4">
        <v>0.14699999999999999</v>
      </c>
      <c r="M104" s="4">
        <v>0.01</v>
      </c>
      <c r="N104" s="4">
        <v>-2.2499999999999999E-2</v>
      </c>
      <c r="O104" s="4">
        <v>2.9999999999999997E-4</v>
      </c>
      <c r="P104" s="4">
        <v>98.65</v>
      </c>
      <c r="Q104" s="4">
        <v>0.3</v>
      </c>
      <c r="R104" s="29">
        <f t="shared" si="20"/>
        <v>0.19173955296404277</v>
      </c>
      <c r="S104" s="22">
        <f t="shared" si="21"/>
        <v>5.8309037900874635E-4</v>
      </c>
    </row>
    <row r="105" spans="1:19">
      <c r="A105" s="44" t="s">
        <v>769</v>
      </c>
      <c r="B105" s="45" t="s">
        <v>1067</v>
      </c>
      <c r="C105" s="45"/>
      <c r="D105" s="45">
        <v>0.25</v>
      </c>
      <c r="E105" s="4">
        <v>18</v>
      </c>
      <c r="F105" s="4">
        <v>6</v>
      </c>
      <c r="G105" s="4">
        <v>21</v>
      </c>
      <c r="H105" s="45">
        <v>5.6569000000000003</v>
      </c>
      <c r="I105" s="4">
        <v>6.9999999999999999E-4</v>
      </c>
      <c r="J105" s="45">
        <v>-34.641800000000003</v>
      </c>
      <c r="K105" s="4">
        <v>4.7999999999999996E-3</v>
      </c>
      <c r="L105" s="4">
        <v>7.5999999999999998E-2</v>
      </c>
      <c r="M105" s="4">
        <v>2.1999999999999999E-2</v>
      </c>
      <c r="N105" s="4">
        <v>-6.0000000000000001E-3</v>
      </c>
      <c r="O105" s="4">
        <v>5.9999999999999995E-4</v>
      </c>
      <c r="P105" s="4">
        <v>124.83</v>
      </c>
      <c r="Q105" s="4">
        <v>0.8</v>
      </c>
      <c r="R105" s="45">
        <f>P105*E105/G105^3</f>
        <v>0.24262390670553938</v>
      </c>
      <c r="S105" s="22">
        <f>Q105*E105/G105^3</f>
        <v>1.554907677356657E-3</v>
      </c>
    </row>
    <row r="106" spans="1:19">
      <c r="A106" s="23" t="s">
        <v>769</v>
      </c>
      <c r="B106" s="4" t="s">
        <v>1067</v>
      </c>
      <c r="D106" s="4">
        <v>0.5</v>
      </c>
      <c r="E106" s="4">
        <v>18</v>
      </c>
      <c r="F106" s="4">
        <v>6</v>
      </c>
      <c r="G106" s="4">
        <v>21</v>
      </c>
      <c r="H106" s="4">
        <v>4.3003999999999998</v>
      </c>
      <c r="I106" s="4">
        <v>6.9999999999999999E-4</v>
      </c>
      <c r="J106" s="4">
        <v>-26.299199999999999</v>
      </c>
      <c r="K106" s="4">
        <v>1.6999999999999999E-3</v>
      </c>
      <c r="L106" s="4">
        <v>3.7999999999999999E-2</v>
      </c>
      <c r="M106" s="4">
        <v>8.9999999999999993E-3</v>
      </c>
      <c r="N106" s="4">
        <v>-8.3999999999999995E-3</v>
      </c>
      <c r="O106" s="4">
        <v>1E-4</v>
      </c>
      <c r="P106" s="4">
        <v>121.81</v>
      </c>
      <c r="Q106" s="4">
        <v>0.12</v>
      </c>
      <c r="R106" s="4">
        <f t="shared" si="20"/>
        <v>0.23675413022351796</v>
      </c>
      <c r="S106" s="22">
        <f t="shared" si="21"/>
        <v>2.3323615160349855E-4</v>
      </c>
    </row>
    <row r="107" spans="1:19">
      <c r="A107" s="28" t="s">
        <v>769</v>
      </c>
      <c r="B107" s="29" t="s">
        <v>1067</v>
      </c>
      <c r="C107" s="29" t="s">
        <v>770</v>
      </c>
      <c r="D107" s="29">
        <v>0.75</v>
      </c>
      <c r="E107" s="4">
        <v>18</v>
      </c>
      <c r="F107" s="4">
        <v>6</v>
      </c>
      <c r="G107" s="4">
        <v>21</v>
      </c>
      <c r="H107" s="29">
        <v>2.9857999999999998</v>
      </c>
      <c r="I107" s="4">
        <v>5.9999999999999995E-4</v>
      </c>
      <c r="J107" s="29">
        <v>-18.669499999999999</v>
      </c>
      <c r="K107" s="4">
        <v>1.6999999999999999E-3</v>
      </c>
      <c r="L107" s="4">
        <v>0.122</v>
      </c>
      <c r="M107" s="4">
        <v>1.4999999999999999E-2</v>
      </c>
      <c r="N107" s="4">
        <v>-1.7299999999999999E-2</v>
      </c>
      <c r="O107" s="4">
        <v>6.9999999999999999E-4</v>
      </c>
      <c r="P107" s="4">
        <v>107.11</v>
      </c>
      <c r="Q107" s="4">
        <v>0.52</v>
      </c>
      <c r="R107" s="29">
        <f t="shared" si="20"/>
        <v>0.20818270165208941</v>
      </c>
      <c r="S107" s="22">
        <f t="shared" si="21"/>
        <v>1.010689990281827E-3</v>
      </c>
    </row>
    <row r="108" spans="1:19">
      <c r="A108" s="44" t="s">
        <v>771</v>
      </c>
      <c r="B108" s="45" t="s">
        <v>1068</v>
      </c>
      <c r="C108" s="45"/>
      <c r="D108" s="45">
        <v>0.25</v>
      </c>
      <c r="E108" s="4">
        <v>18</v>
      </c>
      <c r="F108" s="4">
        <v>6</v>
      </c>
      <c r="G108" s="4">
        <v>21</v>
      </c>
      <c r="H108" s="45">
        <v>5.6605999999999996</v>
      </c>
      <c r="I108" s="4">
        <v>2.0000000000000001E-4</v>
      </c>
      <c r="J108" s="45">
        <v>-34.957299999999996</v>
      </c>
      <c r="K108" s="4">
        <v>4.0000000000000001E-3</v>
      </c>
      <c r="L108" s="4">
        <v>4.1000000000000002E-2</v>
      </c>
      <c r="M108" s="4">
        <v>1.2E-2</v>
      </c>
      <c r="N108" s="4">
        <v>-6.0000000000000001E-3</v>
      </c>
      <c r="O108" s="4">
        <v>2.9999999999999997E-4</v>
      </c>
      <c r="P108" s="4">
        <v>124.43</v>
      </c>
      <c r="Q108" s="4">
        <v>0.49</v>
      </c>
      <c r="R108" s="45">
        <f>P108*E108/G108^3</f>
        <v>0.24184645286686104</v>
      </c>
      <c r="S108" s="22">
        <f>Q108*E108/G108^3</f>
        <v>9.5238095238095238E-4</v>
      </c>
    </row>
    <row r="109" spans="1:19">
      <c r="A109" s="23" t="s">
        <v>771</v>
      </c>
      <c r="B109" s="4" t="s">
        <v>1068</v>
      </c>
      <c r="D109" s="4">
        <v>0.5</v>
      </c>
      <c r="E109" s="4">
        <v>18</v>
      </c>
      <c r="F109" s="4">
        <v>6</v>
      </c>
      <c r="G109" s="4">
        <v>21</v>
      </c>
      <c r="H109" s="4">
        <v>4.3068</v>
      </c>
      <c r="I109" s="4">
        <v>5.0000000000000001E-4</v>
      </c>
      <c r="J109" s="4">
        <v>-26.865200000000002</v>
      </c>
      <c r="K109" s="4">
        <v>1.6000000000000001E-3</v>
      </c>
      <c r="L109" s="4">
        <v>0.05</v>
      </c>
      <c r="M109" s="4">
        <v>1.2E-2</v>
      </c>
      <c r="N109" s="4">
        <v>-8.5000000000000006E-3</v>
      </c>
      <c r="O109" s="4">
        <v>2.9999999999999997E-4</v>
      </c>
      <c r="P109" s="4">
        <v>122.25</v>
      </c>
      <c r="Q109" s="4">
        <v>0.22</v>
      </c>
      <c r="R109" s="4">
        <f t="shared" si="20"/>
        <v>0.23760932944606414</v>
      </c>
      <c r="S109" s="22">
        <f t="shared" si="21"/>
        <v>4.2759961127308068E-4</v>
      </c>
    </row>
    <row r="110" spans="1:19">
      <c r="A110" s="28" t="s">
        <v>771</v>
      </c>
      <c r="B110" s="29" t="s">
        <v>1068</v>
      </c>
      <c r="C110" s="29"/>
      <c r="D110" s="29">
        <v>0.75</v>
      </c>
      <c r="E110" s="4">
        <v>18</v>
      </c>
      <c r="F110" s="4">
        <v>6</v>
      </c>
      <c r="G110" s="4">
        <v>21</v>
      </c>
      <c r="H110" s="29">
        <v>2.9630999999999998</v>
      </c>
      <c r="I110" s="4">
        <v>6.9999999999999999E-4</v>
      </c>
      <c r="J110" s="29">
        <v>-19.254300000000001</v>
      </c>
      <c r="K110" s="4">
        <v>2.9999999999999997E-4</v>
      </c>
      <c r="L110" s="4">
        <v>9.1999999999999998E-2</v>
      </c>
      <c r="M110" s="4">
        <v>2.4E-2</v>
      </c>
      <c r="N110" s="4">
        <v>-1.6799999999999999E-2</v>
      </c>
      <c r="O110" s="4">
        <v>2.9999999999999997E-4</v>
      </c>
      <c r="P110" s="4">
        <v>110.6</v>
      </c>
      <c r="Q110" s="4">
        <v>0.34</v>
      </c>
      <c r="R110" s="29">
        <f t="shared" si="20"/>
        <v>0.21496598639455783</v>
      </c>
      <c r="S110" s="22">
        <f t="shared" si="21"/>
        <v>6.6083576287657921E-4</v>
      </c>
    </row>
    <row r="111" spans="1:19">
      <c r="A111" s="44" t="s">
        <v>772</v>
      </c>
      <c r="B111" s="45" t="s">
        <v>1069</v>
      </c>
      <c r="C111" s="45"/>
      <c r="D111" s="45">
        <v>0.25</v>
      </c>
      <c r="E111" s="4">
        <v>18</v>
      </c>
      <c r="F111" s="4">
        <v>6</v>
      </c>
      <c r="G111" s="4">
        <v>21</v>
      </c>
      <c r="H111" s="45">
        <v>5.6611000000000002</v>
      </c>
      <c r="I111" s="4">
        <v>5.9999999999999995E-4</v>
      </c>
      <c r="J111" s="45">
        <v>-34.597000000000001</v>
      </c>
      <c r="K111" s="4">
        <v>1.2999999999999999E-3</v>
      </c>
      <c r="L111" s="4">
        <v>2.5999999999999999E-2</v>
      </c>
      <c r="M111" s="4">
        <v>3.0000000000000001E-3</v>
      </c>
      <c r="N111" s="4">
        <v>-5.8999999999999999E-3</v>
      </c>
      <c r="O111" s="4">
        <v>1E-4</v>
      </c>
      <c r="P111" s="4">
        <v>124.4</v>
      </c>
      <c r="Q111" s="4">
        <v>0.11</v>
      </c>
      <c r="R111" s="45">
        <f>P111*E111/G111^3</f>
        <v>0.24178814382896019</v>
      </c>
      <c r="S111" s="22">
        <f>Q111*E111/G111^3</f>
        <v>2.1379980563654034E-4</v>
      </c>
    </row>
    <row r="112" spans="1:19">
      <c r="A112" s="23" t="s">
        <v>772</v>
      </c>
      <c r="B112" s="4" t="s">
        <v>1069</v>
      </c>
      <c r="D112" s="4">
        <v>0.5</v>
      </c>
      <c r="E112" s="4">
        <v>18</v>
      </c>
      <c r="F112" s="4">
        <v>6</v>
      </c>
      <c r="G112" s="4">
        <v>21</v>
      </c>
      <c r="H112" s="4">
        <v>4.3113999999999999</v>
      </c>
      <c r="I112" s="4">
        <v>5.0000000000000001E-4</v>
      </c>
      <c r="J112" s="4">
        <v>-26.179200000000002</v>
      </c>
      <c r="K112" s="4">
        <v>1.2999999999999999E-3</v>
      </c>
      <c r="L112" s="4">
        <v>0.04</v>
      </c>
      <c r="M112" s="4">
        <v>1.4E-2</v>
      </c>
      <c r="N112" s="4">
        <v>-8.5000000000000006E-3</v>
      </c>
      <c r="O112" s="4">
        <v>2.9999999999999997E-4</v>
      </c>
      <c r="P112" s="4">
        <v>121.95</v>
      </c>
      <c r="Q112" s="4">
        <v>0.3</v>
      </c>
      <c r="R112" s="4">
        <f t="shared" si="20"/>
        <v>0.23702623906705539</v>
      </c>
      <c r="S112" s="22">
        <f t="shared" si="21"/>
        <v>5.8309037900874635E-4</v>
      </c>
    </row>
    <row r="113" spans="1:19">
      <c r="A113" s="28" t="s">
        <v>772</v>
      </c>
      <c r="B113" s="29" t="s">
        <v>1069</v>
      </c>
      <c r="C113" s="29"/>
      <c r="D113" s="29">
        <v>0.75</v>
      </c>
      <c r="E113" s="4">
        <v>18</v>
      </c>
      <c r="F113" s="4">
        <v>6</v>
      </c>
      <c r="G113" s="4">
        <v>21</v>
      </c>
      <c r="H113" s="29">
        <v>2.9984999999999999</v>
      </c>
      <c r="I113" s="4">
        <v>6.9999999999999999E-4</v>
      </c>
      <c r="J113" s="29">
        <v>-18.370999999999999</v>
      </c>
      <c r="K113" s="4">
        <v>2E-3</v>
      </c>
      <c r="L113" s="4">
        <v>8.1000000000000003E-2</v>
      </c>
      <c r="M113" s="4">
        <v>1.7999999999999999E-2</v>
      </c>
      <c r="N113" s="4">
        <v>-1.5900000000000001E-2</v>
      </c>
      <c r="O113" s="4">
        <v>4.0000000000000002E-4</v>
      </c>
      <c r="P113" s="4">
        <v>109.62</v>
      </c>
      <c r="Q113" s="4">
        <v>0.23</v>
      </c>
      <c r="R113" s="29">
        <f t="shared" si="20"/>
        <v>0.21306122448979592</v>
      </c>
      <c r="S113" s="22">
        <f t="shared" si="21"/>
        <v>4.4703595724003895E-4</v>
      </c>
    </row>
    <row r="114" spans="1:19">
      <c r="A114" s="44" t="s">
        <v>773</v>
      </c>
      <c r="B114" s="45" t="s">
        <v>1070</v>
      </c>
      <c r="C114" s="45"/>
      <c r="D114" s="45">
        <v>0.25</v>
      </c>
      <c r="E114" s="4">
        <v>18</v>
      </c>
      <c r="F114" s="4">
        <v>6</v>
      </c>
      <c r="G114" s="4">
        <v>21</v>
      </c>
      <c r="H114" s="45">
        <v>5.6829000000000001</v>
      </c>
      <c r="I114" s="4">
        <v>2.0000000000000001E-4</v>
      </c>
      <c r="J114" s="45">
        <v>-34.713299999999997</v>
      </c>
      <c r="K114" s="4">
        <v>2.2000000000000001E-3</v>
      </c>
      <c r="L114" s="4">
        <v>2.3E-2</v>
      </c>
      <c r="M114" s="4">
        <v>5.0000000000000001E-3</v>
      </c>
      <c r="N114" s="4">
        <v>-6.0000000000000001E-3</v>
      </c>
      <c r="O114" s="4">
        <v>1E-4</v>
      </c>
      <c r="P114" s="4">
        <v>124.27</v>
      </c>
      <c r="Q114" s="4">
        <v>0.24</v>
      </c>
      <c r="R114" s="45">
        <f>P114*E114/G114^3</f>
        <v>0.24153547133138972</v>
      </c>
      <c r="S114" s="22">
        <f>Q114*E114/G114^3</f>
        <v>4.6647230320699711E-4</v>
      </c>
    </row>
    <row r="115" spans="1:19">
      <c r="A115" s="23" t="s">
        <v>773</v>
      </c>
      <c r="B115" s="4" t="s">
        <v>1070</v>
      </c>
      <c r="D115" s="4">
        <v>0.5</v>
      </c>
      <c r="E115" s="4">
        <v>18</v>
      </c>
      <c r="F115" s="4">
        <v>6</v>
      </c>
      <c r="G115" s="4">
        <v>21</v>
      </c>
      <c r="H115" s="4">
        <v>4.3570000000000002</v>
      </c>
      <c r="I115" s="4">
        <v>5.9999999999999995E-4</v>
      </c>
      <c r="J115" s="4">
        <v>-26.413399999999999</v>
      </c>
      <c r="K115" s="4">
        <v>1.1000000000000001E-3</v>
      </c>
      <c r="L115" s="4">
        <v>2.9000000000000001E-2</v>
      </c>
      <c r="M115" s="4">
        <v>1.2E-2</v>
      </c>
      <c r="N115" s="4">
        <v>-8.0999999999999996E-3</v>
      </c>
      <c r="O115" s="4">
        <v>1E-4</v>
      </c>
      <c r="P115" s="4">
        <v>121.6</v>
      </c>
      <c r="Q115" s="4">
        <v>0.14000000000000001</v>
      </c>
      <c r="R115" s="4">
        <f t="shared" si="20"/>
        <v>0.23634596695821183</v>
      </c>
      <c r="S115" s="22">
        <f t="shared" si="21"/>
        <v>2.7210884353741501E-4</v>
      </c>
    </row>
    <row r="116" spans="1:19">
      <c r="A116" s="44" t="s">
        <v>774</v>
      </c>
      <c r="B116" s="45" t="s">
        <v>1071</v>
      </c>
      <c r="C116" s="45"/>
      <c r="D116" s="45">
        <v>0.25</v>
      </c>
      <c r="E116" s="4">
        <v>18</v>
      </c>
      <c r="F116" s="4">
        <v>6</v>
      </c>
      <c r="G116" s="4">
        <v>21</v>
      </c>
      <c r="H116" s="45">
        <v>5.6486999999999998</v>
      </c>
      <c r="I116" s="4">
        <v>6.9999999999999999E-4</v>
      </c>
      <c r="J116" s="45">
        <v>-34.722700000000003</v>
      </c>
      <c r="K116" s="4">
        <v>1.2999999999999999E-3</v>
      </c>
      <c r="L116" s="4">
        <v>2.9000000000000001E-2</v>
      </c>
      <c r="M116" s="4">
        <v>1.9E-2</v>
      </c>
      <c r="N116" s="4">
        <v>-6.0000000000000001E-3</v>
      </c>
      <c r="O116" s="4">
        <v>4.0000000000000002E-4</v>
      </c>
      <c r="P116" s="4">
        <v>124.34</v>
      </c>
      <c r="Q116" s="4">
        <v>0.37</v>
      </c>
      <c r="R116" s="45">
        <f>P116*E116/G116^3</f>
        <v>0.24167152575315839</v>
      </c>
      <c r="S116" s="22">
        <f>Q116*E116/G116^3</f>
        <v>7.1914480077745391E-4</v>
      </c>
    </row>
    <row r="117" spans="1:19">
      <c r="A117" s="23" t="s">
        <v>774</v>
      </c>
      <c r="B117" s="4" t="s">
        <v>1071</v>
      </c>
      <c r="D117" s="4">
        <v>0.5</v>
      </c>
      <c r="E117" s="4">
        <v>18</v>
      </c>
      <c r="F117" s="4">
        <v>6</v>
      </c>
      <c r="G117" s="4">
        <v>21</v>
      </c>
      <c r="H117" s="4">
        <v>4.2858999999999998</v>
      </c>
      <c r="I117" s="4">
        <v>8.9999999999999998E-4</v>
      </c>
      <c r="J117" s="4">
        <v>-26.481400000000001</v>
      </c>
      <c r="K117" s="4">
        <v>8.0000000000000004E-4</v>
      </c>
      <c r="L117" s="4">
        <v>4.7E-2</v>
      </c>
      <c r="M117" s="4">
        <v>1.2E-2</v>
      </c>
      <c r="N117" s="4">
        <v>-8.8000000000000005E-3</v>
      </c>
      <c r="O117" s="4">
        <v>2.9999999999999997E-4</v>
      </c>
      <c r="P117" s="4">
        <v>121.15</v>
      </c>
      <c r="Q117" s="4">
        <v>0.37</v>
      </c>
      <c r="R117" s="4">
        <f t="shared" si="20"/>
        <v>0.23547133138969878</v>
      </c>
      <c r="S117" s="22">
        <f t="shared" si="21"/>
        <v>7.1914480077745391E-4</v>
      </c>
    </row>
    <row r="118" spans="1:19">
      <c r="A118" s="44" t="s">
        <v>775</v>
      </c>
      <c r="B118" s="45" t="s">
        <v>1072</v>
      </c>
      <c r="C118" s="45"/>
      <c r="D118" s="45">
        <v>0.25</v>
      </c>
      <c r="E118" s="4">
        <v>18</v>
      </c>
      <c r="F118" s="4">
        <v>6</v>
      </c>
      <c r="G118" s="4">
        <v>21</v>
      </c>
      <c r="H118" s="45">
        <v>5.6711</v>
      </c>
      <c r="I118" s="4">
        <v>5.0000000000000001E-4</v>
      </c>
      <c r="J118" s="45">
        <v>-34.838099999999997</v>
      </c>
      <c r="K118" s="4">
        <v>1.6999999999999999E-3</v>
      </c>
      <c r="L118" s="4">
        <v>3.2000000000000001E-2</v>
      </c>
      <c r="M118" s="4">
        <v>4.0000000000000001E-3</v>
      </c>
      <c r="N118" s="4">
        <v>-5.7999999999999996E-3</v>
      </c>
      <c r="O118" s="4">
        <v>2.9999999999999997E-4</v>
      </c>
      <c r="P118" s="4">
        <v>124.77</v>
      </c>
      <c r="Q118" s="4">
        <v>0.23</v>
      </c>
      <c r="R118" s="45">
        <f>P118*E118/G118^3</f>
        <v>0.24250728862973761</v>
      </c>
      <c r="S118" s="22">
        <f>Q118*E118/G118^3</f>
        <v>4.4703595724003895E-4</v>
      </c>
    </row>
    <row r="119" spans="1:19">
      <c r="A119" s="23" t="s">
        <v>775</v>
      </c>
      <c r="B119" s="4" t="s">
        <v>1072</v>
      </c>
      <c r="D119" s="4">
        <v>0.5</v>
      </c>
      <c r="E119" s="4">
        <v>18</v>
      </c>
      <c r="F119" s="4">
        <v>6</v>
      </c>
      <c r="G119" s="4">
        <v>21</v>
      </c>
      <c r="H119" s="4">
        <v>4.3265000000000002</v>
      </c>
      <c r="I119" s="4">
        <v>8.0000000000000004E-4</v>
      </c>
      <c r="J119" s="4">
        <v>-26.585100000000001</v>
      </c>
      <c r="K119" s="4">
        <v>2.0999999999999999E-3</v>
      </c>
      <c r="L119" s="4">
        <v>2.5999999999999999E-2</v>
      </c>
      <c r="M119" s="4">
        <v>2.8000000000000001E-2</v>
      </c>
      <c r="N119" s="4">
        <v>-7.7000000000000002E-3</v>
      </c>
      <c r="O119" s="4">
        <v>1E-4</v>
      </c>
      <c r="P119" s="4">
        <v>123.41</v>
      </c>
      <c r="Q119" s="4">
        <v>0.06</v>
      </c>
      <c r="R119" s="4">
        <f t="shared" si="20"/>
        <v>0.23986394557823129</v>
      </c>
      <c r="S119" s="22">
        <f t="shared" si="21"/>
        <v>1.1661807580174928E-4</v>
      </c>
    </row>
    <row r="120" spans="1:19">
      <c r="A120" s="44" t="s">
        <v>776</v>
      </c>
      <c r="B120" s="45" t="s">
        <v>1073</v>
      </c>
      <c r="C120" s="45"/>
      <c r="D120" s="45">
        <v>0.25</v>
      </c>
      <c r="E120" s="4">
        <v>18</v>
      </c>
      <c r="F120" s="4">
        <v>6</v>
      </c>
      <c r="G120" s="4">
        <v>21</v>
      </c>
      <c r="H120" s="45">
        <v>5.6581000000000001</v>
      </c>
      <c r="I120" s="4">
        <v>6.9999999999999999E-4</v>
      </c>
      <c r="J120" s="45">
        <v>-34.783999999999999</v>
      </c>
      <c r="K120" s="4">
        <v>1.6000000000000001E-3</v>
      </c>
      <c r="L120" s="4">
        <v>0.03</v>
      </c>
      <c r="M120" s="4">
        <v>6.0000000000000001E-3</v>
      </c>
      <c r="N120" s="4">
        <v>-6.0000000000000001E-3</v>
      </c>
      <c r="O120" s="4">
        <v>2.0000000000000001E-4</v>
      </c>
      <c r="P120" s="4">
        <v>124.42</v>
      </c>
      <c r="Q120" s="4">
        <v>0.22</v>
      </c>
      <c r="R120" s="45">
        <f>P120*E120/G120^3</f>
        <v>0.24182701652089406</v>
      </c>
      <c r="S120" s="22">
        <f>Q120*E120/G120^3</f>
        <v>4.2759961127308068E-4</v>
      </c>
    </row>
    <row r="121" spans="1:19">
      <c r="A121" s="23" t="s">
        <v>776</v>
      </c>
      <c r="B121" s="4" t="s">
        <v>1073</v>
      </c>
      <c r="D121" s="4">
        <v>0.5</v>
      </c>
      <c r="E121" s="4">
        <v>18</v>
      </c>
      <c r="F121" s="4">
        <v>6</v>
      </c>
      <c r="G121" s="4">
        <v>21</v>
      </c>
      <c r="H121" s="4">
        <v>4.2995000000000001</v>
      </c>
      <c r="I121" s="4">
        <v>6.9999999999999999E-4</v>
      </c>
      <c r="J121" s="4">
        <v>-26.587399999999999</v>
      </c>
      <c r="K121" s="4">
        <v>1.2999999999999999E-3</v>
      </c>
      <c r="L121" s="4">
        <v>7.9000000000000001E-2</v>
      </c>
      <c r="M121" s="4">
        <v>8.0000000000000002E-3</v>
      </c>
      <c r="N121" s="4">
        <v>-8.8000000000000005E-3</v>
      </c>
      <c r="O121" s="4">
        <v>2.9999999999999997E-4</v>
      </c>
      <c r="P121" s="4">
        <v>121.16</v>
      </c>
      <c r="Q121" s="4">
        <v>0.32</v>
      </c>
      <c r="R121" s="4">
        <f t="shared" si="20"/>
        <v>0.23549076773566571</v>
      </c>
      <c r="S121" s="22">
        <f t="shared" si="21"/>
        <v>6.2196307094266278E-4</v>
      </c>
    </row>
    <row r="122" spans="1:19">
      <c r="A122" s="44" t="s">
        <v>777</v>
      </c>
      <c r="B122" s="45" t="s">
        <v>1074</v>
      </c>
      <c r="C122" s="45"/>
      <c r="D122" s="45">
        <v>0.25</v>
      </c>
      <c r="E122" s="4">
        <v>18</v>
      </c>
      <c r="F122" s="4">
        <v>6</v>
      </c>
      <c r="G122" s="4">
        <v>21</v>
      </c>
      <c r="H122" s="45">
        <v>5.6794000000000002</v>
      </c>
      <c r="I122" s="4">
        <v>8.9999999999999998E-4</v>
      </c>
      <c r="J122" s="45">
        <v>-34.766300000000001</v>
      </c>
      <c r="K122" s="4">
        <v>1.4E-3</v>
      </c>
      <c r="L122" s="4">
        <v>3.3000000000000002E-2</v>
      </c>
      <c r="M122" s="4">
        <v>3.0000000000000001E-3</v>
      </c>
      <c r="N122" s="4">
        <v>-5.7999999999999996E-3</v>
      </c>
      <c r="O122" s="4">
        <v>1E-4</v>
      </c>
      <c r="P122" s="4">
        <v>124.24</v>
      </c>
      <c r="Q122" s="4">
        <v>0.15</v>
      </c>
      <c r="R122" s="45">
        <f>P122*E122/G122^3</f>
        <v>0.24147716229348878</v>
      </c>
      <c r="S122" s="22">
        <f>Q122*E122/G122^3</f>
        <v>2.9154518950437317E-4</v>
      </c>
    </row>
    <row r="123" spans="1:19">
      <c r="A123" s="23" t="s">
        <v>777</v>
      </c>
      <c r="B123" s="4" t="s">
        <v>1074</v>
      </c>
      <c r="D123" s="4">
        <v>0.5</v>
      </c>
      <c r="E123" s="4">
        <v>18</v>
      </c>
      <c r="F123" s="4">
        <v>6</v>
      </c>
      <c r="G123" s="4">
        <v>21</v>
      </c>
      <c r="H123" s="4">
        <v>4.3544999999999998</v>
      </c>
      <c r="I123" s="4">
        <v>5.9999999999999995E-4</v>
      </c>
      <c r="J123" s="4">
        <v>-26.631599999999999</v>
      </c>
      <c r="K123" s="4">
        <v>2.2000000000000001E-3</v>
      </c>
      <c r="L123" s="4">
        <v>0.03</v>
      </c>
      <c r="M123" s="4">
        <v>8.0000000000000002E-3</v>
      </c>
      <c r="N123" s="4">
        <v>-8.6999999999999994E-3</v>
      </c>
      <c r="O123" s="4">
        <v>2.9999999999999997E-4</v>
      </c>
      <c r="P123" s="4">
        <v>119.78</v>
      </c>
      <c r="Q123" s="4">
        <v>0.23</v>
      </c>
      <c r="R123" s="4">
        <f t="shared" si="20"/>
        <v>0.23280855199222547</v>
      </c>
      <c r="S123" s="22">
        <f t="shared" si="21"/>
        <v>4.4703595724003895E-4</v>
      </c>
    </row>
    <row r="124" spans="1:19">
      <c r="A124" s="44" t="s">
        <v>778</v>
      </c>
      <c r="B124" s="45" t="s">
        <v>1075</v>
      </c>
      <c r="C124" s="45"/>
      <c r="D124" s="45">
        <v>0.25</v>
      </c>
      <c r="E124" s="4">
        <v>18</v>
      </c>
      <c r="F124" s="4">
        <v>6</v>
      </c>
      <c r="G124" s="4">
        <v>21</v>
      </c>
      <c r="H124" s="45">
        <v>5.6662999999999997</v>
      </c>
      <c r="I124" s="4">
        <v>6.9999999999999999E-4</v>
      </c>
      <c r="J124" s="45">
        <v>-34.736400000000003</v>
      </c>
      <c r="K124" s="4">
        <v>1.8E-3</v>
      </c>
      <c r="L124" s="4">
        <v>3.1E-2</v>
      </c>
      <c r="M124" s="4">
        <v>1E-3</v>
      </c>
      <c r="N124" s="4">
        <v>-5.7999999999999996E-3</v>
      </c>
      <c r="O124" s="4">
        <v>2.0000000000000001E-4</v>
      </c>
      <c r="P124" s="4">
        <v>124.55</v>
      </c>
      <c r="Q124" s="4">
        <v>0.31</v>
      </c>
      <c r="R124" s="45">
        <f>P124*E124/G124^3</f>
        <v>0.24207968901846455</v>
      </c>
      <c r="S124" s="22">
        <f>Q124*E124/G124^3</f>
        <v>6.0252672497570462E-4</v>
      </c>
    </row>
    <row r="125" spans="1:19">
      <c r="A125" s="23" t="s">
        <v>778</v>
      </c>
      <c r="B125" s="4" t="s">
        <v>1075</v>
      </c>
      <c r="D125" s="4">
        <v>0.5</v>
      </c>
      <c r="E125" s="4">
        <v>18</v>
      </c>
      <c r="F125" s="4">
        <v>6</v>
      </c>
      <c r="G125" s="4">
        <v>21</v>
      </c>
      <c r="H125" s="4">
        <v>4.3194999999999997</v>
      </c>
      <c r="I125" s="4">
        <v>8.9999999999999998E-4</v>
      </c>
      <c r="J125" s="4">
        <v>-26.457699999999999</v>
      </c>
      <c r="K125" s="4">
        <v>1.8E-3</v>
      </c>
      <c r="L125" s="4">
        <v>3.9E-2</v>
      </c>
      <c r="M125" s="4">
        <v>0.01</v>
      </c>
      <c r="N125" s="4">
        <v>-8.5000000000000006E-3</v>
      </c>
      <c r="O125" s="4">
        <v>2.0000000000000001E-4</v>
      </c>
      <c r="P125" s="4">
        <v>122.01</v>
      </c>
      <c r="Q125" s="4">
        <v>0.23</v>
      </c>
      <c r="R125" s="4">
        <f t="shared" si="20"/>
        <v>0.23714285714285718</v>
      </c>
      <c r="S125" s="22">
        <f t="shared" si="21"/>
        <v>4.4703595724003895E-4</v>
      </c>
    </row>
    <row r="126" spans="1:19">
      <c r="A126" s="28" t="s">
        <v>778</v>
      </c>
      <c r="B126" s="29" t="s">
        <v>1075</v>
      </c>
      <c r="C126" s="29"/>
      <c r="D126" s="29">
        <v>0.75</v>
      </c>
      <c r="E126" s="4">
        <v>18</v>
      </c>
      <c r="F126" s="4">
        <v>6</v>
      </c>
      <c r="G126" s="4">
        <v>21</v>
      </c>
      <c r="H126" s="29">
        <v>3.0005999999999999</v>
      </c>
      <c r="I126" s="4">
        <v>6.9999999999999999E-4</v>
      </c>
      <c r="J126" s="29">
        <v>-18.772099999999998</v>
      </c>
      <c r="K126" s="4">
        <v>2.2000000000000001E-3</v>
      </c>
      <c r="L126" s="4">
        <v>9.9000000000000005E-2</v>
      </c>
      <c r="M126" s="4">
        <v>1.4E-2</v>
      </c>
      <c r="N126" s="4">
        <v>-1.61E-2</v>
      </c>
      <c r="O126" s="4">
        <v>2.0000000000000001E-4</v>
      </c>
      <c r="P126" s="4">
        <v>110.15</v>
      </c>
      <c r="Q126" s="4">
        <v>0.14000000000000001</v>
      </c>
      <c r="R126" s="29">
        <f t="shared" si="20"/>
        <v>0.21409135082604472</v>
      </c>
      <c r="S126" s="22">
        <f t="shared" si="21"/>
        <v>2.7210884353741501E-4</v>
      </c>
    </row>
    <row r="127" spans="1:19">
      <c r="A127" s="44" t="s">
        <v>779</v>
      </c>
      <c r="B127" s="45" t="s">
        <v>1076</v>
      </c>
      <c r="C127" s="45"/>
      <c r="D127" s="45">
        <v>0.25</v>
      </c>
      <c r="E127" s="4">
        <v>18</v>
      </c>
      <c r="F127" s="4">
        <v>6</v>
      </c>
      <c r="G127" s="4">
        <v>21</v>
      </c>
      <c r="H127" s="45">
        <v>5.6684000000000001</v>
      </c>
      <c r="I127" s="4">
        <v>8.9999999999999998E-4</v>
      </c>
      <c r="J127" s="45">
        <v>-34.737400000000001</v>
      </c>
      <c r="K127" s="4">
        <v>1E-3</v>
      </c>
      <c r="L127" s="4">
        <v>0.03</v>
      </c>
      <c r="M127" s="4">
        <v>4.0000000000000001E-3</v>
      </c>
      <c r="N127" s="4">
        <v>-5.7999999999999996E-3</v>
      </c>
      <c r="O127" s="4">
        <v>2.0000000000000001E-4</v>
      </c>
      <c r="P127" s="4">
        <v>124.79</v>
      </c>
      <c r="Q127" s="4">
        <v>0.23</v>
      </c>
      <c r="R127" s="45">
        <f>P127*E127/G127^3</f>
        <v>0.24254616132167156</v>
      </c>
      <c r="S127" s="22">
        <f>Q127*E127/G127^3</f>
        <v>4.4703595724003895E-4</v>
      </c>
    </row>
    <row r="128" spans="1:19">
      <c r="A128" s="23" t="s">
        <v>779</v>
      </c>
      <c r="B128" s="4" t="s">
        <v>1076</v>
      </c>
      <c r="D128" s="4">
        <v>0.5</v>
      </c>
      <c r="E128" s="4">
        <v>18</v>
      </c>
      <c r="F128" s="4">
        <v>6</v>
      </c>
      <c r="G128" s="4">
        <v>21</v>
      </c>
      <c r="H128" s="4">
        <v>4.3219000000000003</v>
      </c>
      <c r="I128" s="4">
        <v>2.0000000000000001E-4</v>
      </c>
      <c r="J128" s="4">
        <v>-26.400099999999998</v>
      </c>
      <c r="K128" s="4">
        <v>6.9999999999999999E-4</v>
      </c>
      <c r="L128" s="4">
        <v>2.8000000000000001E-2</v>
      </c>
      <c r="M128" s="4">
        <v>4.0000000000000001E-3</v>
      </c>
      <c r="N128" s="4">
        <v>-7.7999999999999996E-3</v>
      </c>
      <c r="O128" s="4">
        <v>1E-4</v>
      </c>
      <c r="P128" s="4">
        <v>123.22</v>
      </c>
      <c r="Q128" s="4">
        <v>0.09</v>
      </c>
      <c r="R128" s="4">
        <f t="shared" si="20"/>
        <v>0.23949465500485909</v>
      </c>
      <c r="S128" s="22">
        <f t="shared" si="21"/>
        <v>1.7492711370262388E-4</v>
      </c>
    </row>
    <row r="129" spans="1:19">
      <c r="A129" s="28" t="s">
        <v>779</v>
      </c>
      <c r="B129" s="29" t="s">
        <v>1076</v>
      </c>
      <c r="C129" s="29"/>
      <c r="D129" s="29">
        <v>0.75</v>
      </c>
      <c r="E129" s="4">
        <v>18</v>
      </c>
      <c r="F129" s="4">
        <v>6</v>
      </c>
      <c r="G129" s="4">
        <v>21</v>
      </c>
      <c r="H129" s="29">
        <v>2.9958</v>
      </c>
      <c r="I129" s="4">
        <v>1E-3</v>
      </c>
      <c r="J129" s="29">
        <v>-18.415600000000001</v>
      </c>
      <c r="K129" s="4">
        <v>2.5000000000000001E-3</v>
      </c>
      <c r="L129" s="4">
        <v>4.9000000000000002E-2</v>
      </c>
      <c r="M129" s="4">
        <v>3.5000000000000003E-2</v>
      </c>
      <c r="N129" s="4">
        <v>-1.3599999999999999E-2</v>
      </c>
      <c r="O129" s="4">
        <v>8.0000000000000004E-4</v>
      </c>
      <c r="P129" s="4">
        <v>116.29</v>
      </c>
      <c r="Q129" s="4">
        <v>0.43</v>
      </c>
      <c r="R129" s="29">
        <f t="shared" si="20"/>
        <v>0.22602526724975708</v>
      </c>
      <c r="S129" s="22">
        <f t="shared" si="21"/>
        <v>8.3576287657920309E-4</v>
      </c>
    </row>
    <row r="130" spans="1:19">
      <c r="A130" s="44" t="s">
        <v>780</v>
      </c>
      <c r="B130" s="45" t="s">
        <v>1077</v>
      </c>
      <c r="C130" s="45"/>
      <c r="D130" s="45">
        <v>0.25</v>
      </c>
      <c r="E130" s="4">
        <v>18</v>
      </c>
      <c r="F130" s="4">
        <v>6</v>
      </c>
      <c r="G130" s="4">
        <v>21</v>
      </c>
      <c r="H130" s="45">
        <v>5.6473000000000004</v>
      </c>
      <c r="I130" s="4">
        <v>8.9999999999999998E-4</v>
      </c>
      <c r="J130" s="45">
        <v>-34.636000000000003</v>
      </c>
      <c r="K130" s="4">
        <v>2.3E-3</v>
      </c>
      <c r="L130" s="4">
        <v>3.5000000000000003E-2</v>
      </c>
      <c r="M130" s="4">
        <v>7.0000000000000001E-3</v>
      </c>
      <c r="N130" s="4">
        <v>-6.0000000000000001E-3</v>
      </c>
      <c r="O130" s="4">
        <v>2.9999999999999997E-4</v>
      </c>
      <c r="P130" s="4">
        <v>124.55</v>
      </c>
      <c r="Q130" s="4">
        <v>0.46</v>
      </c>
      <c r="R130" s="45">
        <f>P130*E130/G130^3</f>
        <v>0.24207968901846455</v>
      </c>
      <c r="S130" s="22">
        <f>Q130*E130/G130^3</f>
        <v>8.940719144800779E-4</v>
      </c>
    </row>
    <row r="131" spans="1:19">
      <c r="A131" s="23" t="s">
        <v>780</v>
      </c>
      <c r="B131" s="4" t="s">
        <v>1077</v>
      </c>
      <c r="D131" s="4">
        <v>0.5</v>
      </c>
      <c r="E131" s="4">
        <v>18</v>
      </c>
      <c r="F131" s="4">
        <v>6</v>
      </c>
      <c r="G131" s="4">
        <v>21</v>
      </c>
      <c r="H131" s="4">
        <v>4.2826000000000004</v>
      </c>
      <c r="I131" s="4">
        <v>1E-3</v>
      </c>
      <c r="J131" s="4">
        <v>-26.263300000000001</v>
      </c>
      <c r="K131" s="4">
        <v>2.7000000000000001E-3</v>
      </c>
      <c r="L131" s="4">
        <v>4.5999999999999999E-2</v>
      </c>
      <c r="M131" s="4">
        <v>1.6E-2</v>
      </c>
      <c r="N131" s="4">
        <v>-8.3000000000000001E-3</v>
      </c>
      <c r="O131" s="4">
        <v>4.0000000000000002E-4</v>
      </c>
      <c r="P131" s="4">
        <v>122.32</v>
      </c>
      <c r="Q131" s="4">
        <v>0.26</v>
      </c>
      <c r="R131" s="4">
        <f t="shared" si="20"/>
        <v>0.23774538386783281</v>
      </c>
      <c r="S131" s="22">
        <f t="shared" si="21"/>
        <v>5.0534499514091349E-4</v>
      </c>
    </row>
    <row r="132" spans="1:19">
      <c r="A132" s="28" t="s">
        <v>780</v>
      </c>
      <c r="B132" s="29" t="s">
        <v>1077</v>
      </c>
      <c r="C132" s="29"/>
      <c r="D132" s="29">
        <v>0.75</v>
      </c>
      <c r="E132" s="4">
        <v>18</v>
      </c>
      <c r="F132" s="4">
        <v>6</v>
      </c>
      <c r="G132" s="4">
        <v>21</v>
      </c>
      <c r="H132" s="29">
        <v>2.9474999999999998</v>
      </c>
      <c r="I132" s="4">
        <v>6.9999999999999999E-4</v>
      </c>
      <c r="J132" s="29">
        <v>-18.564800000000002</v>
      </c>
      <c r="K132" s="4">
        <v>2.5000000000000001E-3</v>
      </c>
      <c r="L132" s="4">
        <v>0.129</v>
      </c>
      <c r="M132" s="4">
        <v>0.01</v>
      </c>
      <c r="N132" s="4">
        <v>-1.7299999999999999E-2</v>
      </c>
      <c r="O132" s="4">
        <v>5.0000000000000001E-4</v>
      </c>
      <c r="P132" s="4">
        <v>109.48</v>
      </c>
      <c r="Q132" s="4">
        <v>0.43</v>
      </c>
      <c r="R132" s="29">
        <f t="shared" si="20"/>
        <v>0.21278911564625852</v>
      </c>
      <c r="S132" s="22">
        <f t="shared" si="21"/>
        <v>8.3576287657920309E-4</v>
      </c>
    </row>
    <row r="133" spans="1:19">
      <c r="A133" s="44" t="s">
        <v>781</v>
      </c>
      <c r="B133" s="45" t="s">
        <v>1078</v>
      </c>
      <c r="C133" s="45"/>
      <c r="D133" s="45">
        <v>0.25</v>
      </c>
      <c r="E133" s="4">
        <v>18</v>
      </c>
      <c r="F133" s="4">
        <v>6</v>
      </c>
      <c r="G133" s="4">
        <v>21</v>
      </c>
      <c r="H133" s="45">
        <v>5.6585000000000001</v>
      </c>
      <c r="I133" s="4">
        <v>6.9999999999999999E-4</v>
      </c>
      <c r="J133" s="45">
        <v>-34.788600000000002</v>
      </c>
      <c r="K133" s="4">
        <v>1.9E-3</v>
      </c>
      <c r="L133" s="4">
        <v>4.3999999999999997E-2</v>
      </c>
      <c r="M133" s="4">
        <v>2E-3</v>
      </c>
      <c r="N133" s="4">
        <v>-5.4999999999999997E-3</v>
      </c>
      <c r="O133" s="4">
        <v>2.0000000000000001E-4</v>
      </c>
      <c r="P133" s="4">
        <v>124.85</v>
      </c>
      <c r="Q133" s="4">
        <v>0.17</v>
      </c>
      <c r="R133" s="45">
        <f>P133*E133/G133^3</f>
        <v>0.24266277939747324</v>
      </c>
      <c r="S133" s="22">
        <f>Q133*E133/G133^3</f>
        <v>3.304178814382896E-4</v>
      </c>
    </row>
    <row r="134" spans="1:19">
      <c r="A134" s="23" t="s">
        <v>781</v>
      </c>
      <c r="B134" s="4" t="s">
        <v>1078</v>
      </c>
      <c r="D134" s="4">
        <v>0.5</v>
      </c>
      <c r="E134" s="4">
        <v>18</v>
      </c>
      <c r="F134" s="4">
        <v>6</v>
      </c>
      <c r="G134" s="4">
        <v>21</v>
      </c>
      <c r="H134" s="4">
        <v>4.3007</v>
      </c>
      <c r="I134" s="4">
        <v>8.9999999999999998E-4</v>
      </c>
      <c r="J134" s="4">
        <v>-26.520900000000001</v>
      </c>
      <c r="K134" s="4">
        <v>2.5000000000000001E-3</v>
      </c>
      <c r="L134" s="4">
        <v>3.5000000000000003E-2</v>
      </c>
      <c r="M134" s="4">
        <v>8.9999999999999993E-3</v>
      </c>
      <c r="N134" s="4">
        <v>-8.6E-3</v>
      </c>
      <c r="O134" s="4">
        <v>4.0000000000000002E-4</v>
      </c>
      <c r="P134" s="4">
        <v>122.33</v>
      </c>
      <c r="Q134" s="4">
        <v>0.26</v>
      </c>
      <c r="R134" s="4">
        <f t="shared" si="20"/>
        <v>0.2377648202137998</v>
      </c>
      <c r="S134" s="22">
        <f t="shared" si="21"/>
        <v>5.0534499514091349E-4</v>
      </c>
    </row>
    <row r="135" spans="1:19">
      <c r="A135" s="28" t="s">
        <v>781</v>
      </c>
      <c r="B135" s="29" t="s">
        <v>1078</v>
      </c>
      <c r="C135" s="29"/>
      <c r="D135" s="29">
        <v>0.75</v>
      </c>
      <c r="E135" s="4">
        <v>18</v>
      </c>
      <c r="F135" s="4">
        <v>6</v>
      </c>
      <c r="G135" s="4">
        <v>21</v>
      </c>
      <c r="H135" s="29">
        <v>2.9533999999999998</v>
      </c>
      <c r="I135" s="4">
        <v>4.0000000000000002E-4</v>
      </c>
      <c r="J135" s="29">
        <v>-18.699000000000002</v>
      </c>
      <c r="K135" s="4">
        <v>8.0000000000000004E-4</v>
      </c>
      <c r="L135" s="4">
        <v>9.6000000000000002E-2</v>
      </c>
      <c r="M135" s="4">
        <v>2.1000000000000001E-2</v>
      </c>
      <c r="N135" s="4">
        <v>-1.61E-2</v>
      </c>
      <c r="O135" s="4">
        <v>4.0000000000000002E-4</v>
      </c>
      <c r="P135" s="4">
        <v>112.22</v>
      </c>
      <c r="Q135" s="4">
        <v>0.21</v>
      </c>
      <c r="R135" s="29">
        <f t="shared" si="20"/>
        <v>0.21811467444120505</v>
      </c>
      <c r="S135" s="22">
        <f t="shared" si="21"/>
        <v>4.0816326530612241E-4</v>
      </c>
    </row>
    <row r="136" spans="1:19">
      <c r="A136" s="44" t="s">
        <v>782</v>
      </c>
      <c r="B136" s="45" t="s">
        <v>1079</v>
      </c>
      <c r="C136" s="45"/>
      <c r="D136" s="45">
        <v>0.25</v>
      </c>
      <c r="E136" s="4">
        <v>18</v>
      </c>
      <c r="F136" s="4">
        <v>6</v>
      </c>
      <c r="G136" s="4">
        <v>21</v>
      </c>
      <c r="H136" s="45">
        <v>5.6529999999999996</v>
      </c>
      <c r="I136" s="4">
        <v>8.0000000000000004E-4</v>
      </c>
      <c r="J136" s="45">
        <v>-34.822800000000001</v>
      </c>
      <c r="K136" s="4">
        <v>2.3999999999999998E-3</v>
      </c>
      <c r="L136" s="4">
        <v>3.4000000000000002E-2</v>
      </c>
      <c r="M136" s="4">
        <v>6.0000000000000001E-3</v>
      </c>
      <c r="N136" s="4">
        <v>-5.7999999999999996E-3</v>
      </c>
      <c r="O136" s="4">
        <v>2.0000000000000001E-4</v>
      </c>
      <c r="P136" s="4">
        <v>124.61</v>
      </c>
      <c r="Q136" s="4">
        <v>0.17</v>
      </c>
      <c r="R136" s="45">
        <f>P136*E136/G136^3</f>
        <v>0.24219630709426629</v>
      </c>
      <c r="S136" s="22">
        <f>Q136*E136/G136^3</f>
        <v>3.304178814382896E-4</v>
      </c>
    </row>
    <row r="137" spans="1:19">
      <c r="A137" s="23" t="s">
        <v>782</v>
      </c>
      <c r="B137" s="4" t="s">
        <v>1079</v>
      </c>
      <c r="D137" s="4">
        <v>0.5</v>
      </c>
      <c r="E137" s="4">
        <v>18</v>
      </c>
      <c r="F137" s="4">
        <v>6</v>
      </c>
      <c r="G137" s="4">
        <v>21</v>
      </c>
      <c r="H137" s="4">
        <v>4.2910000000000004</v>
      </c>
      <c r="I137" s="4">
        <v>6.9999999999999999E-4</v>
      </c>
      <c r="J137" s="4">
        <v>-26.657299999999999</v>
      </c>
      <c r="K137" s="4">
        <v>1.6000000000000001E-3</v>
      </c>
      <c r="L137" s="4">
        <v>0.05</v>
      </c>
      <c r="M137" s="4">
        <v>8.0000000000000002E-3</v>
      </c>
      <c r="N137" s="4">
        <v>-8.6E-3</v>
      </c>
      <c r="O137" s="4">
        <v>0</v>
      </c>
      <c r="P137" s="4">
        <v>122.02</v>
      </c>
      <c r="Q137" s="4">
        <v>0.12</v>
      </c>
      <c r="R137" s="4">
        <f t="shared" si="20"/>
        <v>0.23716229348882412</v>
      </c>
      <c r="S137" s="22">
        <f t="shared" si="21"/>
        <v>2.3323615160349855E-4</v>
      </c>
    </row>
    <row r="138" spans="1:19">
      <c r="A138" s="28" t="s">
        <v>782</v>
      </c>
      <c r="B138" s="29" t="s">
        <v>1079</v>
      </c>
      <c r="C138" s="29"/>
      <c r="D138" s="29">
        <v>0.75</v>
      </c>
      <c r="E138" s="4">
        <v>18</v>
      </c>
      <c r="F138" s="4">
        <v>6</v>
      </c>
      <c r="G138" s="4">
        <v>21</v>
      </c>
      <c r="H138" s="41">
        <v>2.9495</v>
      </c>
      <c r="I138" s="4">
        <v>2.9999999999999997E-4</v>
      </c>
      <c r="J138" s="29">
        <v>-19.2469</v>
      </c>
      <c r="K138" s="4">
        <v>1.4E-3</v>
      </c>
      <c r="L138" s="4">
        <v>0.153</v>
      </c>
      <c r="M138" s="4">
        <v>5.0000000000000001E-3</v>
      </c>
      <c r="N138" s="4">
        <v>-1.7299999999999999E-2</v>
      </c>
      <c r="O138" s="4">
        <v>1E-4</v>
      </c>
      <c r="P138" s="4">
        <v>108</v>
      </c>
      <c r="Q138" s="4">
        <v>0.05</v>
      </c>
      <c r="R138" s="29">
        <f t="shared" si="20"/>
        <v>0.2099125364431487</v>
      </c>
      <c r="S138" s="22">
        <f t="shared" si="21"/>
        <v>9.7181729834791062E-5</v>
      </c>
    </row>
    <row r="139" spans="1:19">
      <c r="A139" s="44" t="s">
        <v>783</v>
      </c>
      <c r="B139" s="45" t="s">
        <v>1080</v>
      </c>
      <c r="C139" s="45"/>
      <c r="D139" s="45">
        <v>0.25</v>
      </c>
      <c r="E139" s="4">
        <v>18</v>
      </c>
      <c r="F139" s="4">
        <v>6</v>
      </c>
      <c r="G139" s="4">
        <v>21</v>
      </c>
      <c r="H139" s="45">
        <v>5.6669999999999998</v>
      </c>
      <c r="I139" s="4">
        <v>4.0000000000000002E-4</v>
      </c>
      <c r="J139" s="45">
        <v>-34.694699999999997</v>
      </c>
      <c r="K139" s="4">
        <v>1.9E-3</v>
      </c>
      <c r="L139" s="4">
        <v>3.1E-2</v>
      </c>
      <c r="M139" s="4">
        <v>0.01</v>
      </c>
      <c r="N139" s="4">
        <v>-5.7000000000000002E-3</v>
      </c>
      <c r="O139" s="4">
        <v>1E-4</v>
      </c>
      <c r="P139" s="4">
        <v>124.78</v>
      </c>
      <c r="Q139" s="4">
        <v>0.32</v>
      </c>
      <c r="R139" s="45">
        <f>P139*E139/G139^3</f>
        <v>0.24252672497570457</v>
      </c>
      <c r="S139" s="22">
        <f>Q139*E139/G139^3</f>
        <v>6.2196307094266278E-4</v>
      </c>
    </row>
    <row r="140" spans="1:19">
      <c r="A140" s="23" t="s">
        <v>783</v>
      </c>
      <c r="B140" s="4" t="s">
        <v>1080</v>
      </c>
      <c r="D140" s="4">
        <v>0.5</v>
      </c>
      <c r="E140" s="4">
        <v>18</v>
      </c>
      <c r="F140" s="4">
        <v>6</v>
      </c>
      <c r="G140" s="4">
        <v>21</v>
      </c>
      <c r="H140" s="4">
        <v>4.3197000000000001</v>
      </c>
      <c r="I140" s="4">
        <v>4.0000000000000002E-4</v>
      </c>
      <c r="J140" s="4">
        <v>-26.363299999999999</v>
      </c>
      <c r="K140" s="4">
        <v>1.1999999999999999E-3</v>
      </c>
      <c r="L140" s="4">
        <v>3.6999999999999998E-2</v>
      </c>
      <c r="M140" s="4">
        <v>2E-3</v>
      </c>
      <c r="N140" s="4">
        <v>-8.2000000000000007E-3</v>
      </c>
      <c r="O140" s="4">
        <v>2.9999999999999997E-4</v>
      </c>
      <c r="P140" s="4">
        <v>122.35</v>
      </c>
      <c r="Q140" s="4">
        <v>0.27</v>
      </c>
      <c r="R140" s="4">
        <f t="shared" si="20"/>
        <v>0.23780369290573369</v>
      </c>
      <c r="S140" s="22">
        <f t="shared" si="21"/>
        <v>5.2478134110787176E-4</v>
      </c>
    </row>
    <row r="141" spans="1:19">
      <c r="A141" s="28" t="s">
        <v>783</v>
      </c>
      <c r="B141" s="29" t="s">
        <v>1080</v>
      </c>
      <c r="C141" s="29"/>
      <c r="D141" s="29">
        <v>0.75</v>
      </c>
      <c r="E141" s="4">
        <v>18</v>
      </c>
      <c r="F141" s="4">
        <v>6</v>
      </c>
      <c r="G141" s="4">
        <v>21</v>
      </c>
      <c r="H141" s="29">
        <v>3.0053000000000001</v>
      </c>
      <c r="I141" s="4">
        <v>4.0000000000000002E-4</v>
      </c>
      <c r="J141" s="29">
        <v>-18.558399999999999</v>
      </c>
      <c r="K141" s="4">
        <v>1.2999999999999999E-3</v>
      </c>
      <c r="L141" s="4">
        <v>0.08</v>
      </c>
      <c r="M141" s="4">
        <v>7.0000000000000001E-3</v>
      </c>
      <c r="N141" s="4">
        <v>-1.5299999999999999E-2</v>
      </c>
      <c r="O141" s="4">
        <v>4.0000000000000002E-4</v>
      </c>
      <c r="P141" s="4">
        <v>111.96</v>
      </c>
      <c r="Q141" s="4">
        <v>0.23</v>
      </c>
      <c r="R141" s="29">
        <f t="shared" si="20"/>
        <v>0.21760932944606415</v>
      </c>
      <c r="S141" s="22">
        <f t="shared" si="21"/>
        <v>4.4703595724003895E-4</v>
      </c>
    </row>
    <row r="142" spans="1:19">
      <c r="A142" s="44" t="s">
        <v>784</v>
      </c>
      <c r="B142" s="45" t="s">
        <v>1081</v>
      </c>
      <c r="C142" s="45"/>
      <c r="D142" s="45">
        <v>0.25</v>
      </c>
      <c r="E142" s="4">
        <v>18</v>
      </c>
      <c r="F142" s="4">
        <v>6</v>
      </c>
      <c r="G142" s="4">
        <v>21</v>
      </c>
      <c r="H142" s="45">
        <v>5.6414</v>
      </c>
      <c r="I142" s="4">
        <v>2.9999999999999997E-4</v>
      </c>
      <c r="J142" s="45">
        <v>-34.657400000000003</v>
      </c>
      <c r="K142" s="4">
        <v>8.0000000000000004E-4</v>
      </c>
      <c r="L142" s="4">
        <v>3.7999999999999999E-2</v>
      </c>
      <c r="M142" s="4">
        <v>1.9E-2</v>
      </c>
      <c r="N142" s="4">
        <v>-5.8999999999999999E-3</v>
      </c>
      <c r="O142" s="4">
        <v>2.9999999999999997E-4</v>
      </c>
      <c r="P142" s="4">
        <v>124.81</v>
      </c>
      <c r="Q142" s="4">
        <v>0.16</v>
      </c>
      <c r="R142" s="45">
        <f>P142*E142/G142^3</f>
        <v>0.24258503401360543</v>
      </c>
      <c r="S142" s="22">
        <f>Q142*E142/G142^3</f>
        <v>3.1098153547133139E-4</v>
      </c>
    </row>
    <row r="143" spans="1:19">
      <c r="A143" s="23" t="s">
        <v>784</v>
      </c>
      <c r="B143" s="4" t="s">
        <v>1081</v>
      </c>
      <c r="D143" s="4">
        <v>0.5</v>
      </c>
      <c r="E143" s="4">
        <v>18</v>
      </c>
      <c r="F143" s="4">
        <v>6</v>
      </c>
      <c r="G143" s="4">
        <v>21</v>
      </c>
      <c r="H143" s="4">
        <v>4.2678000000000003</v>
      </c>
      <c r="I143" s="4">
        <v>8.9999999999999998E-4</v>
      </c>
      <c r="J143" s="4">
        <v>-26.244700000000002</v>
      </c>
      <c r="K143" s="4">
        <v>2.5000000000000001E-3</v>
      </c>
      <c r="L143" s="4">
        <v>4.8000000000000001E-2</v>
      </c>
      <c r="M143" s="4">
        <v>0.02</v>
      </c>
      <c r="N143" s="4">
        <v>-8.0999999999999996E-3</v>
      </c>
      <c r="O143" s="4">
        <v>5.9999999999999995E-4</v>
      </c>
      <c r="P143" s="4">
        <v>123.43</v>
      </c>
      <c r="Q143" s="4">
        <v>0.36</v>
      </c>
      <c r="R143" s="4">
        <f t="shared" si="20"/>
        <v>0.23990281827016524</v>
      </c>
      <c r="S143" s="22">
        <f t="shared" si="21"/>
        <v>6.9970845481049553E-4</v>
      </c>
    </row>
    <row r="144" spans="1:19">
      <c r="A144" s="28" t="s">
        <v>784</v>
      </c>
      <c r="B144" s="29" t="s">
        <v>1081</v>
      </c>
      <c r="C144" s="29"/>
      <c r="D144" s="29">
        <v>0.75</v>
      </c>
      <c r="E144" s="4">
        <v>18</v>
      </c>
      <c r="F144" s="4">
        <v>6</v>
      </c>
      <c r="G144" s="4">
        <v>21</v>
      </c>
      <c r="H144" s="29">
        <v>2.9070999999999998</v>
      </c>
      <c r="I144" s="4">
        <v>8.9999999999999998E-4</v>
      </c>
      <c r="J144" s="29">
        <v>-18.245999999999999</v>
      </c>
      <c r="K144" s="4">
        <v>1.6999999999999999E-3</v>
      </c>
      <c r="L144" s="4">
        <v>9.0999999999999998E-2</v>
      </c>
      <c r="M144" s="4">
        <v>1.2999999999999999E-2</v>
      </c>
      <c r="N144" s="4">
        <v>-1.49E-2</v>
      </c>
      <c r="O144" s="4">
        <v>2.9999999999999997E-4</v>
      </c>
      <c r="P144" s="4">
        <v>115.97</v>
      </c>
      <c r="Q144" s="4">
        <v>0.21</v>
      </c>
      <c r="R144" s="29">
        <f t="shared" si="20"/>
        <v>0.22540330417881438</v>
      </c>
      <c r="S144" s="22">
        <f t="shared" si="21"/>
        <v>4.0816326530612241E-4</v>
      </c>
    </row>
    <row r="145" spans="1:19" ht="17" thickBot="1">
      <c r="A145" s="134" t="s">
        <v>785</v>
      </c>
      <c r="B145" s="122" t="s">
        <v>1082</v>
      </c>
      <c r="C145" s="123" t="s">
        <v>17</v>
      </c>
      <c r="D145" s="123">
        <v>0.25</v>
      </c>
      <c r="E145" s="10">
        <v>18</v>
      </c>
      <c r="F145" s="10">
        <v>6</v>
      </c>
      <c r="G145" s="10">
        <v>21</v>
      </c>
      <c r="H145" s="123">
        <v>5.6877000000000004</v>
      </c>
      <c r="I145" s="10">
        <v>5.0000000000000001E-4</v>
      </c>
      <c r="J145" s="123">
        <v>-35.2727</v>
      </c>
      <c r="K145" s="10">
        <v>1.2999999999999999E-3</v>
      </c>
      <c r="L145" s="10">
        <v>3.7999999999999999E-2</v>
      </c>
      <c r="M145" s="10">
        <v>5.0000000000000001E-3</v>
      </c>
      <c r="N145" s="10">
        <v>-6.3E-3</v>
      </c>
      <c r="O145" s="10">
        <v>2.0000000000000001E-4</v>
      </c>
      <c r="P145" s="10">
        <v>122.74</v>
      </c>
      <c r="Q145" s="10">
        <v>0.21</v>
      </c>
      <c r="R145" s="123">
        <f>P145*E145/G145^3</f>
        <v>0.23856171039844506</v>
      </c>
      <c r="S145" s="26">
        <f>Q145*E145/G145^3</f>
        <v>4.0816326530612241E-4</v>
      </c>
    </row>
    <row r="146" spans="1:19" ht="17" thickTop="1">
      <c r="A146" s="102" t="s">
        <v>786</v>
      </c>
      <c r="B146" s="119" t="s">
        <v>1083</v>
      </c>
      <c r="C146" s="119"/>
      <c r="D146" s="119">
        <v>0.25</v>
      </c>
      <c r="E146" s="7">
        <v>18</v>
      </c>
      <c r="F146" s="7">
        <v>7</v>
      </c>
      <c r="G146" s="7">
        <v>21</v>
      </c>
      <c r="H146" s="119">
        <v>5.8167999999999997</v>
      </c>
      <c r="I146" s="7">
        <v>4.0000000000000002E-4</v>
      </c>
      <c r="J146" s="119">
        <v>-35.741100000000003</v>
      </c>
      <c r="K146" s="7">
        <v>6.9999999999999999E-4</v>
      </c>
      <c r="L146" s="7">
        <v>2.7E-2</v>
      </c>
      <c r="M146" s="7">
        <v>3.0000000000000001E-3</v>
      </c>
      <c r="N146" s="7">
        <v>-5.4999999999999997E-3</v>
      </c>
      <c r="O146" s="7">
        <v>2.0000000000000001E-4</v>
      </c>
      <c r="P146" s="7">
        <v>124.98</v>
      </c>
      <c r="Q146" s="7">
        <v>0.24</v>
      </c>
      <c r="R146" s="119">
        <f>P146*E146/G146^3</f>
        <v>0.24291545189504371</v>
      </c>
      <c r="S146" s="18">
        <f>Q146*E146/G146^3</f>
        <v>4.6647230320699711E-4</v>
      </c>
    </row>
    <row r="147" spans="1:19">
      <c r="A147" s="23" t="s">
        <v>786</v>
      </c>
      <c r="B147" s="4" t="s">
        <v>1083</v>
      </c>
      <c r="D147" s="4">
        <v>0.5</v>
      </c>
      <c r="E147" s="4">
        <v>18</v>
      </c>
      <c r="F147" s="4">
        <v>7</v>
      </c>
      <c r="G147" s="4">
        <v>21</v>
      </c>
      <c r="H147" s="4">
        <v>4.6173999999999999</v>
      </c>
      <c r="I147" s="4">
        <v>8.9999999999999998E-4</v>
      </c>
      <c r="J147" s="4">
        <v>-28.398399999999999</v>
      </c>
      <c r="K147" s="4">
        <v>1.4E-3</v>
      </c>
      <c r="L147" s="4">
        <v>3.7999999999999999E-2</v>
      </c>
      <c r="M147" s="4">
        <v>1.0999999999999999E-2</v>
      </c>
      <c r="N147" s="4">
        <v>-7.1999999999999998E-3</v>
      </c>
      <c r="O147" s="4">
        <v>1E-4</v>
      </c>
      <c r="P147" s="4">
        <v>123.51</v>
      </c>
      <c r="Q147" s="4">
        <v>0.12</v>
      </c>
      <c r="R147" s="4">
        <f t="shared" ref="R147:R217" si="22">P147*E147/G147^3</f>
        <v>0.2400583090379009</v>
      </c>
      <c r="S147" s="22">
        <f t="shared" ref="S147:S217" si="23">Q147*E147/G147^3</f>
        <v>2.3323615160349855E-4</v>
      </c>
    </row>
    <row r="148" spans="1:19">
      <c r="A148" s="28" t="s">
        <v>786</v>
      </c>
      <c r="B148" s="29" t="s">
        <v>1083</v>
      </c>
      <c r="C148" s="29"/>
      <c r="D148" s="29">
        <v>0.75</v>
      </c>
      <c r="E148" s="4">
        <v>18</v>
      </c>
      <c r="F148" s="4">
        <v>7</v>
      </c>
      <c r="G148" s="4">
        <v>21</v>
      </c>
      <c r="H148" s="29">
        <v>3.4298999999999999</v>
      </c>
      <c r="I148" s="4">
        <v>5.9999999999999995E-4</v>
      </c>
      <c r="J148" s="29">
        <v>-21.320399999999999</v>
      </c>
      <c r="K148" s="4">
        <v>5.0000000000000001E-4</v>
      </c>
      <c r="L148" s="4">
        <v>3.4000000000000002E-2</v>
      </c>
      <c r="M148" s="4">
        <v>8.0000000000000002E-3</v>
      </c>
      <c r="N148" s="4">
        <v>-1.12E-2</v>
      </c>
      <c r="O148" s="4">
        <v>2.0000000000000001E-4</v>
      </c>
      <c r="P148" s="4">
        <v>118.61</v>
      </c>
      <c r="Q148" s="4">
        <v>0.17</v>
      </c>
      <c r="R148" s="29">
        <f t="shared" si="22"/>
        <v>0.23053449951409136</v>
      </c>
      <c r="S148" s="22">
        <f t="shared" si="23"/>
        <v>3.304178814382896E-4</v>
      </c>
    </row>
    <row r="149" spans="1:19">
      <c r="A149" s="44" t="s">
        <v>787</v>
      </c>
      <c r="B149" s="45" t="s">
        <v>1084</v>
      </c>
      <c r="C149" s="45"/>
      <c r="D149" s="45">
        <v>0.25</v>
      </c>
      <c r="E149" s="4">
        <v>18</v>
      </c>
      <c r="F149" s="4">
        <v>7</v>
      </c>
      <c r="G149" s="4">
        <v>21</v>
      </c>
      <c r="H149" s="45">
        <v>5.8282999999999996</v>
      </c>
      <c r="I149" s="4">
        <v>8.0000000000000004E-4</v>
      </c>
      <c r="J149" s="45">
        <v>-35.650599999999997</v>
      </c>
      <c r="K149" s="4">
        <v>8.0000000000000004E-4</v>
      </c>
      <c r="L149" s="4">
        <v>2.7E-2</v>
      </c>
      <c r="M149" s="4">
        <v>6.0000000000000001E-3</v>
      </c>
      <c r="N149" s="4">
        <v>-5.5999999999999999E-3</v>
      </c>
      <c r="O149" s="4">
        <v>1E-4</v>
      </c>
      <c r="P149" s="4">
        <v>124.41</v>
      </c>
      <c r="Q149" s="4">
        <v>0.12</v>
      </c>
      <c r="R149" s="45">
        <f>P149*E149/G149^3</f>
        <v>0.24180758017492712</v>
      </c>
      <c r="S149" s="22">
        <f>Q149*E149/G149^3</f>
        <v>2.3323615160349855E-4</v>
      </c>
    </row>
    <row r="150" spans="1:19">
      <c r="A150" s="23" t="s">
        <v>787</v>
      </c>
      <c r="B150" s="4" t="s">
        <v>1084</v>
      </c>
      <c r="D150" s="4">
        <v>0.5</v>
      </c>
      <c r="E150" s="4">
        <v>18</v>
      </c>
      <c r="F150" s="4">
        <v>7</v>
      </c>
      <c r="G150" s="4">
        <v>21</v>
      </c>
      <c r="H150" s="4">
        <v>4.6436000000000002</v>
      </c>
      <c r="I150" s="4">
        <v>5.0000000000000001E-4</v>
      </c>
      <c r="J150" s="4">
        <v>-28.316500000000001</v>
      </c>
      <c r="K150" s="4">
        <v>1.6999999999999999E-3</v>
      </c>
      <c r="L150" s="4">
        <v>2.9000000000000001E-2</v>
      </c>
      <c r="M150" s="4">
        <v>8.0000000000000002E-3</v>
      </c>
      <c r="N150" s="4">
        <v>-7.4999999999999997E-3</v>
      </c>
      <c r="O150" s="4">
        <v>1E-4</v>
      </c>
      <c r="P150" s="4">
        <v>121.49</v>
      </c>
      <c r="Q150" s="4">
        <v>0.05</v>
      </c>
      <c r="R150" s="4">
        <f t="shared" si="22"/>
        <v>0.23613216715257529</v>
      </c>
      <c r="S150" s="22">
        <f t="shared" si="23"/>
        <v>9.7181729834791062E-5</v>
      </c>
    </row>
    <row r="151" spans="1:19">
      <c r="A151" s="28" t="s">
        <v>787</v>
      </c>
      <c r="B151" s="29" t="s">
        <v>1084</v>
      </c>
      <c r="C151" s="29"/>
      <c r="D151" s="29">
        <v>0.75</v>
      </c>
      <c r="E151" s="4">
        <v>18</v>
      </c>
      <c r="F151" s="4">
        <v>7</v>
      </c>
      <c r="G151" s="4">
        <v>21</v>
      </c>
      <c r="H151" s="29">
        <v>3.4897</v>
      </c>
      <c r="I151" s="4">
        <v>1E-3</v>
      </c>
      <c r="J151" s="29">
        <v>-21.529800000000002</v>
      </c>
      <c r="K151" s="4">
        <v>1.8E-3</v>
      </c>
      <c r="L151" s="4">
        <v>5.3999999999999999E-2</v>
      </c>
      <c r="M151" s="4">
        <v>1.7999999999999999E-2</v>
      </c>
      <c r="N151" s="4">
        <v>-1.2999999999999999E-2</v>
      </c>
      <c r="O151" s="4">
        <v>2.0000000000000001E-4</v>
      </c>
      <c r="P151" s="4">
        <v>110.72</v>
      </c>
      <c r="Q151" s="4">
        <v>0.35</v>
      </c>
      <c r="R151" s="29">
        <f t="shared" si="22"/>
        <v>0.21519922254616133</v>
      </c>
      <c r="S151" s="22">
        <f t="shared" si="23"/>
        <v>6.8027210884353737E-4</v>
      </c>
    </row>
    <row r="152" spans="1:19">
      <c r="A152" s="44" t="s">
        <v>788</v>
      </c>
      <c r="B152" s="45" t="s">
        <v>1085</v>
      </c>
      <c r="C152" s="45"/>
      <c r="D152" s="45">
        <v>0.25</v>
      </c>
      <c r="E152" s="4">
        <v>18</v>
      </c>
      <c r="F152" s="4">
        <v>7</v>
      </c>
      <c r="G152" s="4">
        <v>21</v>
      </c>
      <c r="H152" s="45">
        <v>5.7737999999999996</v>
      </c>
      <c r="I152" s="4">
        <v>8.0000000000000004E-4</v>
      </c>
      <c r="J152" s="45">
        <v>-35.704099999999997</v>
      </c>
      <c r="K152" s="4">
        <v>2.5000000000000001E-3</v>
      </c>
      <c r="L152" s="4">
        <v>3.9E-2</v>
      </c>
      <c r="M152" s="4">
        <v>8.9999999999999993E-3</v>
      </c>
      <c r="N152" s="4">
        <v>-5.7000000000000002E-3</v>
      </c>
      <c r="O152" s="4">
        <v>1E-4</v>
      </c>
      <c r="P152" s="4">
        <v>124.58</v>
      </c>
      <c r="Q152" s="4">
        <v>0.19</v>
      </c>
      <c r="R152" s="45">
        <f>P152*E152/G152^3</f>
        <v>0.24213799805636541</v>
      </c>
      <c r="S152" s="22">
        <f>Q152*E152/G152^3</f>
        <v>3.6929057337220603E-4</v>
      </c>
    </row>
    <row r="153" spans="1:19">
      <c r="A153" s="23" t="s">
        <v>788</v>
      </c>
      <c r="B153" s="4" t="s">
        <v>1085</v>
      </c>
      <c r="D153" s="4">
        <v>0.5</v>
      </c>
      <c r="E153" s="4">
        <v>18</v>
      </c>
      <c r="F153" s="4">
        <v>7</v>
      </c>
      <c r="G153" s="4">
        <v>21</v>
      </c>
      <c r="H153" s="4">
        <v>4.6433999999999997</v>
      </c>
      <c r="I153" s="4">
        <v>5.9999999999999995E-4</v>
      </c>
      <c r="J153" s="4">
        <v>-28.316199999999998</v>
      </c>
      <c r="K153" s="4">
        <v>1.4E-3</v>
      </c>
      <c r="L153" s="4">
        <v>2.8000000000000001E-2</v>
      </c>
      <c r="M153" s="4">
        <v>5.0000000000000001E-3</v>
      </c>
      <c r="N153" s="4">
        <v>-7.6E-3</v>
      </c>
      <c r="O153" s="4">
        <v>2.0000000000000001E-4</v>
      </c>
      <c r="P153" s="4">
        <v>121.46</v>
      </c>
      <c r="Q153" s="4">
        <v>0.14000000000000001</v>
      </c>
      <c r="R153" s="4">
        <f t="shared" si="22"/>
        <v>0.23607385811467441</v>
      </c>
      <c r="S153" s="22">
        <f t="shared" si="23"/>
        <v>2.7210884353741501E-4</v>
      </c>
    </row>
    <row r="154" spans="1:19">
      <c r="A154" s="44" t="s">
        <v>789</v>
      </c>
      <c r="B154" s="45" t="s">
        <v>1086</v>
      </c>
      <c r="C154" s="45"/>
      <c r="D154" s="45">
        <v>0.25</v>
      </c>
      <c r="E154" s="4">
        <v>18</v>
      </c>
      <c r="F154" s="4">
        <v>7</v>
      </c>
      <c r="G154" s="4">
        <v>21</v>
      </c>
      <c r="H154" s="45">
        <v>5.8296000000000001</v>
      </c>
      <c r="I154" s="4">
        <v>4.0000000000000002E-4</v>
      </c>
      <c r="J154" s="45">
        <v>-35.761899999999997</v>
      </c>
      <c r="K154" s="4">
        <v>1.1000000000000001E-3</v>
      </c>
      <c r="L154" s="4">
        <v>0.03</v>
      </c>
      <c r="M154" s="4">
        <v>3.0000000000000001E-3</v>
      </c>
      <c r="N154" s="4">
        <v>-5.7999999999999996E-3</v>
      </c>
      <c r="O154" s="4">
        <v>1E-4</v>
      </c>
      <c r="P154" s="4">
        <v>124.1</v>
      </c>
      <c r="Q154" s="4">
        <v>0.11</v>
      </c>
      <c r="R154" s="45">
        <f>P154*E154/G154^3</f>
        <v>0.24120505344995138</v>
      </c>
      <c r="S154" s="22">
        <f>Q154*E154/G154^3</f>
        <v>2.1379980563654034E-4</v>
      </c>
    </row>
    <row r="155" spans="1:19">
      <c r="A155" s="23" t="s">
        <v>789</v>
      </c>
      <c r="B155" s="4" t="s">
        <v>1086</v>
      </c>
      <c r="D155" s="4">
        <v>0.5</v>
      </c>
      <c r="E155" s="4">
        <v>18</v>
      </c>
      <c r="F155" s="4">
        <v>7</v>
      </c>
      <c r="G155" s="4">
        <v>21</v>
      </c>
      <c r="H155" s="4">
        <v>4.6436999999999999</v>
      </c>
      <c r="I155" s="4">
        <v>1E-3</v>
      </c>
      <c r="J155" s="4">
        <v>-28.627300000000002</v>
      </c>
      <c r="K155" s="4">
        <v>2.3E-3</v>
      </c>
      <c r="L155" s="4">
        <v>7.1999999999999995E-2</v>
      </c>
      <c r="M155" s="4">
        <v>8.0000000000000002E-3</v>
      </c>
      <c r="N155" s="4">
        <v>-8.3999999999999995E-3</v>
      </c>
      <c r="O155" s="4">
        <v>1E-4</v>
      </c>
      <c r="P155" s="4">
        <v>119.48</v>
      </c>
      <c r="Q155" s="4">
        <v>0.11</v>
      </c>
      <c r="R155" s="4">
        <f t="shared" si="22"/>
        <v>0.23222546161321669</v>
      </c>
      <c r="S155" s="22">
        <f t="shared" si="23"/>
        <v>2.1379980563654034E-4</v>
      </c>
    </row>
    <row r="156" spans="1:19">
      <c r="A156" s="28" t="s">
        <v>789</v>
      </c>
      <c r="B156" s="29" t="s">
        <v>1086</v>
      </c>
      <c r="C156" s="29"/>
      <c r="D156" s="29">
        <v>0.75</v>
      </c>
      <c r="E156" s="4">
        <v>18</v>
      </c>
      <c r="F156" s="4">
        <v>7</v>
      </c>
      <c r="G156" s="4">
        <v>21</v>
      </c>
      <c r="H156" s="29">
        <v>3.4619</v>
      </c>
      <c r="I156" s="4">
        <v>6.9999999999999999E-4</v>
      </c>
      <c r="J156" s="29">
        <v>-22.5212</v>
      </c>
      <c r="K156" s="4">
        <v>2E-3</v>
      </c>
      <c r="L156" s="4">
        <v>0.122</v>
      </c>
      <c r="M156" s="4">
        <v>2.3E-2</v>
      </c>
      <c r="N156" s="4">
        <v>-2.1299999999999999E-2</v>
      </c>
      <c r="O156" s="4">
        <v>2.9999999999999997E-4</v>
      </c>
      <c r="P156" s="4">
        <v>92.89</v>
      </c>
      <c r="Q156" s="4">
        <v>0.27</v>
      </c>
      <c r="R156" s="29">
        <f t="shared" si="22"/>
        <v>0.18054421768707482</v>
      </c>
      <c r="S156" s="22">
        <f t="shared" si="23"/>
        <v>5.2478134110787176E-4</v>
      </c>
    </row>
    <row r="157" spans="1:19">
      <c r="A157" s="44" t="s">
        <v>790</v>
      </c>
      <c r="B157" s="45" t="s">
        <v>1087</v>
      </c>
      <c r="C157" s="45"/>
      <c r="D157" s="45">
        <v>0.25</v>
      </c>
      <c r="E157" s="4">
        <v>18</v>
      </c>
      <c r="F157" s="4">
        <v>7</v>
      </c>
      <c r="G157" s="4">
        <v>21</v>
      </c>
      <c r="H157" s="45">
        <v>5.8042999999999996</v>
      </c>
      <c r="I157" s="4">
        <v>8.9999999999999998E-4</v>
      </c>
      <c r="J157" s="45">
        <v>-35.709200000000003</v>
      </c>
      <c r="K157" s="4">
        <v>1.6999999999999999E-3</v>
      </c>
      <c r="L157" s="4">
        <v>2.9000000000000001E-2</v>
      </c>
      <c r="M157" s="4">
        <v>5.0000000000000001E-3</v>
      </c>
      <c r="N157" s="4">
        <v>-5.5999999999999999E-3</v>
      </c>
      <c r="O157" s="4">
        <v>2.0000000000000001E-4</v>
      </c>
      <c r="P157" s="4">
        <v>124.71</v>
      </c>
      <c r="Q157" s="4">
        <v>0.28999999999999998</v>
      </c>
      <c r="R157" s="45">
        <f>P157*E157/G157^3</f>
        <v>0.24239067055393584</v>
      </c>
      <c r="S157" s="22">
        <f>Q157*E157/G157^3</f>
        <v>5.6365403304178808E-4</v>
      </c>
    </row>
    <row r="158" spans="1:19">
      <c r="A158" s="23" t="s">
        <v>790</v>
      </c>
      <c r="B158" s="4" t="s">
        <v>1087</v>
      </c>
      <c r="D158" s="4">
        <v>0.5</v>
      </c>
      <c r="E158" s="4">
        <v>18</v>
      </c>
      <c r="F158" s="4">
        <v>7</v>
      </c>
      <c r="G158" s="4">
        <v>21</v>
      </c>
      <c r="H158" s="4">
        <v>4.5932000000000004</v>
      </c>
      <c r="I158" s="4">
        <v>5.9999999999999995E-4</v>
      </c>
      <c r="J158" s="4">
        <v>-28.369</v>
      </c>
      <c r="K158" s="4">
        <v>1.8E-3</v>
      </c>
      <c r="L158" s="4">
        <v>3.5999999999999997E-2</v>
      </c>
      <c r="M158" s="4">
        <v>8.0000000000000002E-3</v>
      </c>
      <c r="N158" s="4">
        <v>-7.1999999999999998E-3</v>
      </c>
      <c r="O158" s="4">
        <v>2.0000000000000001E-4</v>
      </c>
      <c r="P158" s="4">
        <v>123.02</v>
      </c>
      <c r="Q158" s="4">
        <v>0.28999999999999998</v>
      </c>
      <c r="R158" s="4">
        <f t="shared" si="22"/>
        <v>0.23910592808551995</v>
      </c>
      <c r="S158" s="22">
        <f t="shared" si="23"/>
        <v>5.6365403304178808E-4</v>
      </c>
    </row>
    <row r="159" spans="1:19">
      <c r="A159" s="28" t="s">
        <v>790</v>
      </c>
      <c r="B159" s="29" t="s">
        <v>1087</v>
      </c>
      <c r="C159" s="29"/>
      <c r="D159" s="29">
        <v>0.75</v>
      </c>
      <c r="E159" s="4">
        <v>18</v>
      </c>
      <c r="F159" s="4">
        <v>7</v>
      </c>
      <c r="G159" s="4">
        <v>21</v>
      </c>
      <c r="H159" s="29">
        <v>3.3980999999999999</v>
      </c>
      <c r="I159" s="4">
        <v>5.0000000000000001E-4</v>
      </c>
      <c r="J159" s="29">
        <v>-21.405799999999999</v>
      </c>
      <c r="K159" s="4">
        <v>8.9999999999999998E-4</v>
      </c>
      <c r="L159" s="4">
        <v>5.8000000000000003E-2</v>
      </c>
      <c r="M159" s="4">
        <v>3.0000000000000001E-3</v>
      </c>
      <c r="N159" s="4">
        <v>-1.2E-2</v>
      </c>
      <c r="O159" s="4">
        <v>4.0000000000000002E-4</v>
      </c>
      <c r="P159" s="4">
        <v>115.51</v>
      </c>
      <c r="Q159" s="4">
        <v>0.2</v>
      </c>
      <c r="R159" s="29">
        <f t="shared" si="22"/>
        <v>0.22450923226433434</v>
      </c>
      <c r="S159" s="22">
        <f t="shared" si="23"/>
        <v>3.8872691933916425E-4</v>
      </c>
    </row>
    <row r="160" spans="1:19">
      <c r="A160" s="44" t="s">
        <v>791</v>
      </c>
      <c r="B160" s="45" t="s">
        <v>1088</v>
      </c>
      <c r="C160" s="45"/>
      <c r="D160" s="45">
        <v>0.25</v>
      </c>
      <c r="E160" s="4">
        <v>18</v>
      </c>
      <c r="F160" s="4">
        <v>7</v>
      </c>
      <c r="G160" s="4">
        <v>21</v>
      </c>
      <c r="H160" s="45">
        <v>5.8106</v>
      </c>
      <c r="I160" s="4">
        <v>5.9999999999999995E-4</v>
      </c>
      <c r="J160" s="45">
        <v>-35.589799999999997</v>
      </c>
      <c r="K160" s="4">
        <v>6.9999999999999999E-4</v>
      </c>
      <c r="L160" s="4">
        <v>2.4E-2</v>
      </c>
      <c r="M160" s="4">
        <v>3.0000000000000001E-3</v>
      </c>
      <c r="N160" s="4">
        <v>-5.7000000000000002E-3</v>
      </c>
      <c r="O160" s="4">
        <v>1E-4</v>
      </c>
      <c r="P160" s="4">
        <v>124.52</v>
      </c>
      <c r="Q160" s="4">
        <v>0.14000000000000001</v>
      </c>
      <c r="R160" s="45">
        <f>P160*E160/G160^3</f>
        <v>0.24202137998056367</v>
      </c>
      <c r="S160" s="22">
        <f>Q160*E160/G160^3</f>
        <v>2.7210884353741501E-4</v>
      </c>
    </row>
    <row r="161" spans="1:19">
      <c r="A161" s="23" t="s">
        <v>791</v>
      </c>
      <c r="B161" s="4" t="s">
        <v>1088</v>
      </c>
      <c r="D161" s="4">
        <v>0.5</v>
      </c>
      <c r="E161" s="4">
        <v>18</v>
      </c>
      <c r="F161" s="4">
        <v>7</v>
      </c>
      <c r="G161" s="4">
        <v>21</v>
      </c>
      <c r="H161" s="4">
        <v>4.6052</v>
      </c>
      <c r="I161" s="4">
        <v>4.0000000000000002E-4</v>
      </c>
      <c r="J161" s="4">
        <v>-28.156700000000001</v>
      </c>
      <c r="K161" s="4">
        <v>1.2999999999999999E-3</v>
      </c>
      <c r="L161" s="4">
        <v>2.9000000000000001E-2</v>
      </c>
      <c r="M161" s="4">
        <v>8.0000000000000002E-3</v>
      </c>
      <c r="N161" s="4">
        <v>-7.6E-3</v>
      </c>
      <c r="O161" s="4">
        <v>2.0000000000000001E-4</v>
      </c>
      <c r="P161" s="4">
        <v>121.97</v>
      </c>
      <c r="Q161" s="4">
        <v>0.15</v>
      </c>
      <c r="R161" s="4">
        <f t="shared" si="22"/>
        <v>0.23706511175898931</v>
      </c>
      <c r="S161" s="22">
        <f t="shared" si="23"/>
        <v>2.9154518950437317E-4</v>
      </c>
    </row>
    <row r="162" spans="1:19">
      <c r="A162" s="28" t="s">
        <v>791</v>
      </c>
      <c r="B162" s="29" t="s">
        <v>1088</v>
      </c>
      <c r="C162" s="29"/>
      <c r="D162" s="29">
        <v>0.75</v>
      </c>
      <c r="E162" s="4">
        <v>18</v>
      </c>
      <c r="F162" s="4">
        <v>7</v>
      </c>
      <c r="G162" s="4">
        <v>21</v>
      </c>
      <c r="H162" s="29">
        <v>3.4192</v>
      </c>
      <c r="I162" s="4">
        <v>1E-3</v>
      </c>
      <c r="J162" s="29">
        <v>-21.164400000000001</v>
      </c>
      <c r="K162" s="4">
        <v>1.9E-3</v>
      </c>
      <c r="L162" s="4">
        <v>5.2999999999999999E-2</v>
      </c>
      <c r="M162" s="4">
        <v>1.9E-2</v>
      </c>
      <c r="N162" s="4">
        <v>-1.2999999999999999E-2</v>
      </c>
      <c r="O162" s="4">
        <v>2.9999999999999997E-4</v>
      </c>
      <c r="P162" s="4">
        <v>112.77</v>
      </c>
      <c r="Q162" s="4">
        <v>0.18</v>
      </c>
      <c r="R162" s="29">
        <f t="shared" si="22"/>
        <v>0.21918367346938775</v>
      </c>
      <c r="S162" s="22">
        <f t="shared" si="23"/>
        <v>3.4985422740524776E-4</v>
      </c>
    </row>
    <row r="163" spans="1:19">
      <c r="A163" s="44" t="s">
        <v>792</v>
      </c>
      <c r="B163" s="45" t="s">
        <v>1089</v>
      </c>
      <c r="C163" s="45"/>
      <c r="D163" s="45">
        <v>0.25</v>
      </c>
      <c r="E163" s="4">
        <v>18</v>
      </c>
      <c r="F163" s="4">
        <v>7</v>
      </c>
      <c r="G163" s="4">
        <v>21</v>
      </c>
      <c r="H163" s="45">
        <v>5.7990000000000004</v>
      </c>
      <c r="I163" s="4">
        <v>5.0000000000000001E-4</v>
      </c>
      <c r="J163" s="45">
        <v>-35.612900000000003</v>
      </c>
      <c r="K163" s="4">
        <v>1.6999999999999999E-3</v>
      </c>
      <c r="L163" s="4">
        <v>3.5999999999999997E-2</v>
      </c>
      <c r="M163" s="4">
        <v>5.0000000000000001E-3</v>
      </c>
      <c r="N163" s="4">
        <v>-5.5999999999999999E-3</v>
      </c>
      <c r="O163" s="4">
        <v>2.9999999999999997E-4</v>
      </c>
      <c r="P163" s="4">
        <v>124.64</v>
      </c>
      <c r="Q163" s="4">
        <v>0.28999999999999998</v>
      </c>
      <c r="R163" s="45">
        <f>P163*E163/G163^3</f>
        <v>0.24225461613216714</v>
      </c>
      <c r="S163" s="22">
        <f>Q163*E163/G163^3</f>
        <v>5.6365403304178808E-4</v>
      </c>
    </row>
    <row r="164" spans="1:19">
      <c r="A164" s="23" t="s">
        <v>792</v>
      </c>
      <c r="B164" s="4" t="s">
        <v>1089</v>
      </c>
      <c r="D164" s="4">
        <v>0.5</v>
      </c>
      <c r="E164" s="4">
        <v>18</v>
      </c>
      <c r="F164" s="4">
        <v>7</v>
      </c>
      <c r="G164" s="4">
        <v>21</v>
      </c>
      <c r="H164" s="4">
        <v>4.5846</v>
      </c>
      <c r="I164" s="4">
        <v>0</v>
      </c>
      <c r="J164" s="4">
        <v>-28.1874</v>
      </c>
      <c r="K164" s="4">
        <v>1E-3</v>
      </c>
      <c r="L164" s="4">
        <v>4.7E-2</v>
      </c>
      <c r="M164" s="4">
        <v>8.0000000000000002E-3</v>
      </c>
      <c r="N164" s="4">
        <v>-7.6E-3</v>
      </c>
      <c r="O164" s="4">
        <v>1E-4</v>
      </c>
      <c r="P164" s="4">
        <v>122.96</v>
      </c>
      <c r="Q164" s="4">
        <v>0.15</v>
      </c>
      <c r="R164" s="4">
        <f t="shared" si="22"/>
        <v>0.23898931000971815</v>
      </c>
      <c r="S164" s="22">
        <f t="shared" si="23"/>
        <v>2.9154518950437317E-4</v>
      </c>
    </row>
    <row r="165" spans="1:19">
      <c r="A165" s="28" t="s">
        <v>792</v>
      </c>
      <c r="B165" s="29" t="s">
        <v>1089</v>
      </c>
      <c r="C165" s="29"/>
      <c r="D165" s="29">
        <v>0.75</v>
      </c>
      <c r="E165" s="4">
        <v>18</v>
      </c>
      <c r="F165" s="4">
        <v>7</v>
      </c>
      <c r="G165" s="4">
        <v>21</v>
      </c>
      <c r="H165" s="29">
        <v>3.3887</v>
      </c>
      <c r="I165" s="4">
        <v>1E-3</v>
      </c>
      <c r="J165" s="29">
        <v>-21.1938</v>
      </c>
      <c r="K165" s="4">
        <v>4.3E-3</v>
      </c>
      <c r="L165" s="4">
        <v>9.9000000000000005E-2</v>
      </c>
      <c r="M165" s="4">
        <v>0.03</v>
      </c>
      <c r="N165" s="4">
        <v>-1.3299999999999999E-2</v>
      </c>
      <c r="O165" s="4">
        <v>5.9999999999999995E-4</v>
      </c>
      <c r="P165" s="4">
        <v>114.51</v>
      </c>
      <c r="Q165" s="4">
        <v>0.52</v>
      </c>
      <c r="R165" s="29">
        <f t="shared" si="22"/>
        <v>0.2225655976676385</v>
      </c>
      <c r="S165" s="22">
        <f t="shared" si="23"/>
        <v>1.010689990281827E-3</v>
      </c>
    </row>
    <row r="166" spans="1:19">
      <c r="A166" s="44" t="s">
        <v>793</v>
      </c>
      <c r="B166" s="45" t="s">
        <v>1090</v>
      </c>
      <c r="C166" s="45"/>
      <c r="D166" s="45">
        <v>0.25</v>
      </c>
      <c r="E166" s="4">
        <v>18</v>
      </c>
      <c r="F166" s="4">
        <v>7</v>
      </c>
      <c r="G166" s="4">
        <v>21</v>
      </c>
      <c r="H166" s="45">
        <v>5.8018000000000001</v>
      </c>
      <c r="I166" s="4">
        <v>1E-3</v>
      </c>
      <c r="J166" s="45">
        <v>-35.7194</v>
      </c>
      <c r="K166" s="4">
        <v>1.6999999999999999E-3</v>
      </c>
      <c r="L166" s="4">
        <v>0.03</v>
      </c>
      <c r="M166" s="4">
        <v>6.0000000000000001E-3</v>
      </c>
      <c r="N166" s="4">
        <v>-5.7999999999999996E-3</v>
      </c>
      <c r="O166" s="4">
        <v>1E-4</v>
      </c>
      <c r="P166" s="4">
        <v>124.22</v>
      </c>
      <c r="Q166" s="4">
        <v>0.12</v>
      </c>
      <c r="R166" s="45">
        <f>P166*E166/G166^3</f>
        <v>0.24143828960155492</v>
      </c>
      <c r="S166" s="22">
        <f>Q166*E166/G166^3</f>
        <v>2.3323615160349855E-4</v>
      </c>
    </row>
    <row r="167" spans="1:19">
      <c r="A167" s="23" t="s">
        <v>793</v>
      </c>
      <c r="B167" s="4" t="s">
        <v>1090</v>
      </c>
      <c r="D167" s="4">
        <v>0.5</v>
      </c>
      <c r="E167" s="4">
        <v>18</v>
      </c>
      <c r="F167" s="4">
        <v>7</v>
      </c>
      <c r="G167" s="4">
        <v>21</v>
      </c>
      <c r="H167" s="4">
        <v>4.5819999999999999</v>
      </c>
      <c r="I167" s="4">
        <v>2.9999999999999997E-4</v>
      </c>
      <c r="J167" s="4">
        <v>-28.503299999999999</v>
      </c>
      <c r="K167" s="4">
        <v>1.2999999999999999E-3</v>
      </c>
      <c r="L167" s="4">
        <v>5.8000000000000003E-2</v>
      </c>
      <c r="M167" s="4">
        <v>1.7000000000000001E-2</v>
      </c>
      <c r="N167" s="4">
        <v>-8.6E-3</v>
      </c>
      <c r="O167" s="4">
        <v>2.0000000000000001E-4</v>
      </c>
      <c r="P167" s="4">
        <v>119.75</v>
      </c>
      <c r="Q167" s="4">
        <v>0.34</v>
      </c>
      <c r="R167" s="4">
        <f t="shared" si="22"/>
        <v>0.23275024295432459</v>
      </c>
      <c r="S167" s="22">
        <f t="shared" si="23"/>
        <v>6.6083576287657921E-4</v>
      </c>
    </row>
    <row r="168" spans="1:19">
      <c r="A168" s="28" t="s">
        <v>793</v>
      </c>
      <c r="B168" s="29" t="s">
        <v>1090</v>
      </c>
      <c r="C168" s="29"/>
      <c r="D168" s="29">
        <v>0.75</v>
      </c>
      <c r="E168" s="4">
        <v>18</v>
      </c>
      <c r="F168" s="4">
        <v>7</v>
      </c>
      <c r="G168" s="4">
        <v>21</v>
      </c>
      <c r="H168" s="29">
        <v>3.3374000000000001</v>
      </c>
      <c r="I168" s="4">
        <v>1E-3</v>
      </c>
      <c r="J168" s="29">
        <v>-22.162500000000001</v>
      </c>
      <c r="K168" s="4">
        <v>1.9E-3</v>
      </c>
      <c r="L168" s="4">
        <v>0.121</v>
      </c>
      <c r="M168" s="4">
        <v>8.9999999999999993E-3</v>
      </c>
      <c r="N168" s="4">
        <v>-2.29E-2</v>
      </c>
      <c r="O168" s="4">
        <v>2.9999999999999997E-4</v>
      </c>
      <c r="P168" s="4">
        <v>93.78</v>
      </c>
      <c r="Q168" s="4">
        <v>0.26</v>
      </c>
      <c r="R168" s="29">
        <f t="shared" si="22"/>
        <v>0.18227405247813411</v>
      </c>
      <c r="S168" s="22">
        <f t="shared" si="23"/>
        <v>5.0534499514091349E-4</v>
      </c>
    </row>
    <row r="169" spans="1:19">
      <c r="A169" s="44" t="s">
        <v>794</v>
      </c>
      <c r="B169" s="45" t="s">
        <v>1091</v>
      </c>
      <c r="C169" s="45"/>
      <c r="D169" s="45">
        <v>0.25</v>
      </c>
      <c r="E169" s="4">
        <v>18</v>
      </c>
      <c r="F169" s="4">
        <v>7</v>
      </c>
      <c r="G169" s="4">
        <v>21</v>
      </c>
      <c r="H169" s="45">
        <v>5.8151000000000002</v>
      </c>
      <c r="I169" s="4">
        <v>2.0000000000000001E-4</v>
      </c>
      <c r="J169" s="45">
        <v>-35.680799999999998</v>
      </c>
      <c r="K169" s="4">
        <v>1.1000000000000001E-3</v>
      </c>
      <c r="L169" s="4">
        <v>3.1E-2</v>
      </c>
      <c r="M169" s="4">
        <v>8.0000000000000002E-3</v>
      </c>
      <c r="N169" s="4">
        <v>-5.7999999999999996E-3</v>
      </c>
      <c r="O169" s="4">
        <v>2.0000000000000001E-4</v>
      </c>
      <c r="P169" s="4">
        <v>124.11</v>
      </c>
      <c r="Q169" s="4">
        <v>0.13</v>
      </c>
      <c r="R169" s="45">
        <f>P169*E169/G169^3</f>
        <v>0.24122448979591837</v>
      </c>
      <c r="S169" s="22">
        <f>Q169*E169/G169^3</f>
        <v>2.5267249757045674E-4</v>
      </c>
    </row>
    <row r="170" spans="1:19">
      <c r="A170" s="23" t="s">
        <v>794</v>
      </c>
      <c r="B170" s="4" t="s">
        <v>1091</v>
      </c>
      <c r="D170" s="4">
        <v>0.5</v>
      </c>
      <c r="E170" s="4">
        <v>18</v>
      </c>
      <c r="F170" s="4">
        <v>7</v>
      </c>
      <c r="G170" s="4">
        <v>21</v>
      </c>
      <c r="H170" s="4">
        <v>4.6128999999999998</v>
      </c>
      <c r="I170" s="4">
        <v>1E-3</v>
      </c>
      <c r="J170" s="4">
        <v>-28.516999999999999</v>
      </c>
      <c r="K170" s="4">
        <v>2.8999999999999998E-3</v>
      </c>
      <c r="L170" s="4">
        <v>5.8999999999999997E-2</v>
      </c>
      <c r="M170" s="4">
        <v>8.9999999999999993E-3</v>
      </c>
      <c r="N170" s="4">
        <v>-8.9999999999999993E-3</v>
      </c>
      <c r="O170" s="4">
        <v>2.9999999999999997E-4</v>
      </c>
      <c r="P170" s="4">
        <v>118.06</v>
      </c>
      <c r="Q170" s="4">
        <v>0.18</v>
      </c>
      <c r="R170" s="4">
        <f t="shared" si="22"/>
        <v>0.22946550048590864</v>
      </c>
      <c r="S170" s="22">
        <f t="shared" si="23"/>
        <v>3.4985422740524776E-4</v>
      </c>
    </row>
    <row r="171" spans="1:19">
      <c r="A171" s="44" t="s">
        <v>795</v>
      </c>
      <c r="B171" s="45" t="s">
        <v>1092</v>
      </c>
      <c r="C171" s="45"/>
      <c r="D171" s="45">
        <v>0.25</v>
      </c>
      <c r="E171" s="4">
        <v>18</v>
      </c>
      <c r="F171" s="4">
        <v>7</v>
      </c>
      <c r="G171" s="4">
        <v>21</v>
      </c>
      <c r="H171" s="45">
        <v>5.8082000000000003</v>
      </c>
      <c r="I171" s="4">
        <v>8.9999999999999998E-4</v>
      </c>
      <c r="J171" s="45">
        <v>-35.641800000000003</v>
      </c>
      <c r="K171" s="4">
        <v>2.5000000000000001E-3</v>
      </c>
      <c r="L171" s="4">
        <v>0.03</v>
      </c>
      <c r="M171" s="4">
        <v>6.0000000000000001E-3</v>
      </c>
      <c r="N171" s="4">
        <v>-5.7000000000000002E-3</v>
      </c>
      <c r="O171" s="4">
        <v>2.0000000000000001E-4</v>
      </c>
      <c r="P171" s="4">
        <v>124.4</v>
      </c>
      <c r="Q171" s="4">
        <v>0.22</v>
      </c>
      <c r="R171" s="45">
        <f>P171*E171/G171^3</f>
        <v>0.24178814382896019</v>
      </c>
      <c r="S171" s="22">
        <f>Q171*E171/G171^3</f>
        <v>4.2759961127308068E-4</v>
      </c>
    </row>
    <row r="172" spans="1:19">
      <c r="A172" s="23" t="s">
        <v>795</v>
      </c>
      <c r="B172" s="4" t="s">
        <v>1092</v>
      </c>
      <c r="D172" s="4">
        <v>0.5</v>
      </c>
      <c r="E172" s="4">
        <v>18</v>
      </c>
      <c r="F172" s="4">
        <v>7</v>
      </c>
      <c r="G172" s="4">
        <v>21</v>
      </c>
      <c r="H172" s="4">
        <v>4.5979000000000001</v>
      </c>
      <c r="I172" s="4">
        <v>2.9999999999999997E-4</v>
      </c>
      <c r="J172" s="4">
        <v>-28.2883</v>
      </c>
      <c r="K172" s="4">
        <v>8.0000000000000004E-4</v>
      </c>
      <c r="L172" s="4">
        <v>4.8000000000000001E-2</v>
      </c>
      <c r="M172" s="4">
        <v>1.0999999999999999E-2</v>
      </c>
      <c r="N172" s="4">
        <v>-8.0000000000000002E-3</v>
      </c>
      <c r="O172" s="4">
        <v>2.9999999999999997E-4</v>
      </c>
      <c r="P172" s="4">
        <v>121.69</v>
      </c>
      <c r="Q172" s="4">
        <v>0.19</v>
      </c>
      <c r="R172" s="4">
        <f t="shared" si="22"/>
        <v>0.23652089407191448</v>
      </c>
      <c r="S172" s="22">
        <f t="shared" si="23"/>
        <v>3.6929057337220603E-4</v>
      </c>
    </row>
    <row r="173" spans="1:19">
      <c r="A173" s="28" t="s">
        <v>795</v>
      </c>
      <c r="B173" s="29" t="s">
        <v>1092</v>
      </c>
      <c r="C173" s="29"/>
      <c r="D173" s="29">
        <v>0.75</v>
      </c>
      <c r="E173" s="4">
        <v>18</v>
      </c>
      <c r="F173" s="4">
        <v>7</v>
      </c>
      <c r="G173" s="4">
        <v>21</v>
      </c>
      <c r="H173" s="29">
        <v>3.4013</v>
      </c>
      <c r="I173" s="4">
        <v>4.0000000000000002E-4</v>
      </c>
      <c r="J173" s="29">
        <v>-21.475899999999999</v>
      </c>
      <c r="K173" s="4">
        <v>8.0000000000000004E-4</v>
      </c>
      <c r="L173" s="4">
        <v>9.6000000000000002E-2</v>
      </c>
      <c r="M173" s="4">
        <v>8.9999999999999993E-3</v>
      </c>
      <c r="N173" s="4">
        <v>-1.44E-2</v>
      </c>
      <c r="O173" s="4">
        <v>6.9999999999999999E-4</v>
      </c>
      <c r="P173" s="4">
        <v>109.95</v>
      </c>
      <c r="Q173" s="4">
        <v>0.54</v>
      </c>
      <c r="R173" s="29">
        <f t="shared" si="22"/>
        <v>0.21370262390670555</v>
      </c>
      <c r="S173" s="22">
        <f t="shared" si="23"/>
        <v>1.0495626822157435E-3</v>
      </c>
    </row>
    <row r="174" spans="1:19">
      <c r="A174" s="44" t="s">
        <v>796</v>
      </c>
      <c r="B174" s="45" t="s">
        <v>1093</v>
      </c>
      <c r="C174" s="45"/>
      <c r="D174" s="45">
        <v>0.25</v>
      </c>
      <c r="E174" s="4">
        <v>18</v>
      </c>
      <c r="F174" s="4">
        <v>7</v>
      </c>
      <c r="G174" s="4">
        <v>21</v>
      </c>
      <c r="H174" s="45">
        <v>5.7998000000000003</v>
      </c>
      <c r="I174" s="4">
        <v>8.0000000000000004E-4</v>
      </c>
      <c r="J174" s="45">
        <v>-35.600200000000001</v>
      </c>
      <c r="K174" s="4">
        <v>1.6999999999999999E-3</v>
      </c>
      <c r="L174" s="4">
        <v>3.7999999999999999E-2</v>
      </c>
      <c r="M174" s="4">
        <v>8.9999999999999993E-3</v>
      </c>
      <c r="N174" s="4">
        <v>-5.7000000000000002E-3</v>
      </c>
      <c r="O174" s="4">
        <v>2.9999999999999997E-4</v>
      </c>
      <c r="P174" s="4">
        <v>124.61</v>
      </c>
      <c r="Q174" s="4">
        <v>0.23</v>
      </c>
      <c r="R174" s="45">
        <f>P174*E174/G174^3</f>
        <v>0.24219630709426629</v>
      </c>
      <c r="S174" s="22">
        <f>Q174*E174/G174^3</f>
        <v>4.4703595724003895E-4</v>
      </c>
    </row>
    <row r="175" spans="1:19">
      <c r="A175" s="23" t="s">
        <v>796</v>
      </c>
      <c r="B175" s="4" t="s">
        <v>1093</v>
      </c>
      <c r="D175" s="4">
        <v>0.5</v>
      </c>
      <c r="E175" s="4">
        <v>18</v>
      </c>
      <c r="F175" s="4">
        <v>7</v>
      </c>
      <c r="G175" s="4">
        <v>21</v>
      </c>
      <c r="H175" s="4">
        <v>4.5872000000000002</v>
      </c>
      <c r="I175" s="4">
        <v>1E-3</v>
      </c>
      <c r="J175" s="4">
        <v>-28.1693</v>
      </c>
      <c r="K175" s="4">
        <v>1.2999999999999999E-3</v>
      </c>
      <c r="L175" s="4">
        <v>2.8000000000000001E-2</v>
      </c>
      <c r="M175" s="4">
        <v>8.0000000000000002E-3</v>
      </c>
      <c r="N175" s="4">
        <v>-7.7999999999999996E-3</v>
      </c>
      <c r="O175" s="4">
        <v>2.9999999999999997E-4</v>
      </c>
      <c r="P175" s="4">
        <v>122.1</v>
      </c>
      <c r="Q175" s="4">
        <v>0.12</v>
      </c>
      <c r="R175" s="4">
        <f t="shared" si="22"/>
        <v>0.23731778425655975</v>
      </c>
      <c r="S175" s="22">
        <f t="shared" si="23"/>
        <v>2.3323615160349855E-4</v>
      </c>
    </row>
    <row r="176" spans="1:19">
      <c r="A176" s="28" t="s">
        <v>796</v>
      </c>
      <c r="B176" s="29" t="s">
        <v>1093</v>
      </c>
      <c r="C176" s="29"/>
      <c r="D176" s="29">
        <v>0.75</v>
      </c>
      <c r="E176" s="4">
        <v>18</v>
      </c>
      <c r="F176" s="4">
        <v>7</v>
      </c>
      <c r="G176" s="4">
        <v>21</v>
      </c>
      <c r="H176" s="29">
        <v>3.3914</v>
      </c>
      <c r="I176" s="4">
        <v>2.5000000000000001E-3</v>
      </c>
      <c r="J176" s="29">
        <v>-21.175699999999999</v>
      </c>
      <c r="K176" s="4">
        <v>4.4999999999999997E-3</v>
      </c>
      <c r="L176" s="4">
        <v>6.0999999999999999E-2</v>
      </c>
      <c r="M176" s="4">
        <v>9.7000000000000003E-2</v>
      </c>
      <c r="N176" s="4">
        <v>-1.26E-2</v>
      </c>
      <c r="O176" s="4">
        <v>6.9999999999999999E-4</v>
      </c>
      <c r="P176" s="4">
        <v>113.83</v>
      </c>
      <c r="Q176" s="4">
        <v>0.31</v>
      </c>
      <c r="R176" s="29">
        <f t="shared" si="22"/>
        <v>0.22124392614188534</v>
      </c>
      <c r="S176" s="22">
        <f t="shared" si="23"/>
        <v>6.0252672497570462E-4</v>
      </c>
    </row>
    <row r="177" spans="1:19">
      <c r="A177" s="44" t="s">
        <v>797</v>
      </c>
      <c r="B177" s="45" t="s">
        <v>1094</v>
      </c>
      <c r="C177" s="45"/>
      <c r="D177" s="45">
        <v>0.25</v>
      </c>
      <c r="E177" s="4">
        <v>18</v>
      </c>
      <c r="F177" s="4">
        <v>7</v>
      </c>
      <c r="G177" s="4">
        <v>21</v>
      </c>
      <c r="H177" s="45">
        <v>5.827</v>
      </c>
      <c r="I177" s="4">
        <v>8.0000000000000004E-4</v>
      </c>
      <c r="J177" s="45">
        <v>-35.822299999999998</v>
      </c>
      <c r="K177" s="4">
        <v>1.5E-3</v>
      </c>
      <c r="L177" s="4">
        <v>0.03</v>
      </c>
      <c r="M177" s="4">
        <v>6.0000000000000001E-3</v>
      </c>
      <c r="N177" s="4">
        <v>-5.7000000000000002E-3</v>
      </c>
      <c r="O177" s="4">
        <v>2.0000000000000001E-4</v>
      </c>
      <c r="P177" s="4">
        <v>124.49</v>
      </c>
      <c r="Q177" s="4">
        <v>0.17</v>
      </c>
      <c r="R177" s="45">
        <f>P177*E177/G177^3</f>
        <v>0.24196307094266276</v>
      </c>
      <c r="S177" s="22">
        <f>Q177*E177/G177^3</f>
        <v>3.304178814382896E-4</v>
      </c>
    </row>
    <row r="178" spans="1:19">
      <c r="A178" s="23" t="s">
        <v>797</v>
      </c>
      <c r="B178" s="4" t="s">
        <v>1094</v>
      </c>
      <c r="D178" s="4">
        <v>0.5</v>
      </c>
      <c r="E178" s="4">
        <v>18</v>
      </c>
      <c r="F178" s="4">
        <v>7</v>
      </c>
      <c r="G178" s="4">
        <v>21</v>
      </c>
      <c r="H178" s="4">
        <v>4.6374000000000004</v>
      </c>
      <c r="I178" s="4">
        <v>2.9999999999999997E-4</v>
      </c>
      <c r="J178" s="4">
        <v>-28.605399999999999</v>
      </c>
      <c r="K178" s="4">
        <v>5.9999999999999995E-4</v>
      </c>
      <c r="L178" s="4">
        <v>2.4E-2</v>
      </c>
      <c r="M178" s="4">
        <v>4.0000000000000001E-3</v>
      </c>
      <c r="N178" s="4">
        <v>-7.4999999999999997E-3</v>
      </c>
      <c r="O178" s="4">
        <v>1E-4</v>
      </c>
      <c r="P178" s="4">
        <v>122.34</v>
      </c>
      <c r="Q178" s="4">
        <v>0.1</v>
      </c>
      <c r="R178" s="4">
        <f t="shared" si="22"/>
        <v>0.23778425655976676</v>
      </c>
      <c r="S178" s="22">
        <f t="shared" si="23"/>
        <v>1.9436345966958212E-4</v>
      </c>
    </row>
    <row r="179" spans="1:19">
      <c r="A179" s="44" t="s">
        <v>798</v>
      </c>
      <c r="B179" s="45" t="s">
        <v>1095</v>
      </c>
      <c r="C179" s="45"/>
      <c r="D179" s="45">
        <v>0.25</v>
      </c>
      <c r="E179" s="4">
        <v>18</v>
      </c>
      <c r="F179" s="4">
        <v>7</v>
      </c>
      <c r="G179" s="4">
        <v>21</v>
      </c>
      <c r="H179" s="45">
        <v>5.8036000000000003</v>
      </c>
      <c r="I179" s="4">
        <v>1E-3</v>
      </c>
      <c r="J179" s="45">
        <v>-35.6282</v>
      </c>
      <c r="K179" s="4">
        <v>2.5000000000000001E-3</v>
      </c>
      <c r="L179" s="4">
        <v>3.3000000000000002E-2</v>
      </c>
      <c r="M179" s="4">
        <v>8.0000000000000002E-3</v>
      </c>
      <c r="N179" s="4">
        <v>-5.7000000000000002E-3</v>
      </c>
      <c r="O179" s="4">
        <v>1E-4</v>
      </c>
      <c r="P179" s="4">
        <v>124.55</v>
      </c>
      <c r="Q179" s="4">
        <v>0.24</v>
      </c>
      <c r="R179" s="45">
        <f>P179*E179/G179^3</f>
        <v>0.24207968901846455</v>
      </c>
      <c r="S179" s="22">
        <f>Q179*E179/G179^3</f>
        <v>4.6647230320699711E-4</v>
      </c>
    </row>
    <row r="180" spans="1:19">
      <c r="A180" s="23" t="s">
        <v>798</v>
      </c>
      <c r="B180" s="4" t="s">
        <v>1095</v>
      </c>
      <c r="D180" s="4">
        <v>0.5</v>
      </c>
      <c r="E180" s="4">
        <v>18</v>
      </c>
      <c r="F180" s="4">
        <v>7</v>
      </c>
      <c r="G180" s="4">
        <v>21</v>
      </c>
      <c r="H180" s="4">
        <v>4.5937000000000001</v>
      </c>
      <c r="I180" s="4">
        <v>5.0000000000000001E-4</v>
      </c>
      <c r="J180" s="4">
        <v>-28.233799999999999</v>
      </c>
      <c r="K180" s="4">
        <v>1.6999999999999999E-3</v>
      </c>
      <c r="L180" s="4">
        <v>3.3000000000000002E-2</v>
      </c>
      <c r="M180" s="4">
        <v>8.9999999999999993E-3</v>
      </c>
      <c r="N180" s="4">
        <v>-7.7000000000000002E-3</v>
      </c>
      <c r="O180" s="4">
        <v>2.0000000000000001E-4</v>
      </c>
      <c r="P180" s="4">
        <v>122.18</v>
      </c>
      <c r="Q180" s="4">
        <v>0.13</v>
      </c>
      <c r="R180" s="4">
        <f t="shared" si="22"/>
        <v>0.23747327502429547</v>
      </c>
      <c r="S180" s="22">
        <f t="shared" si="23"/>
        <v>2.5267249757045674E-4</v>
      </c>
    </row>
    <row r="181" spans="1:19">
      <c r="A181" s="44" t="s">
        <v>799</v>
      </c>
      <c r="B181" s="45" t="s">
        <v>1096</v>
      </c>
      <c r="C181" s="45"/>
      <c r="D181" s="45">
        <v>0.25</v>
      </c>
      <c r="E181" s="4">
        <v>18</v>
      </c>
      <c r="F181" s="4">
        <v>7</v>
      </c>
      <c r="G181" s="4">
        <v>21</v>
      </c>
      <c r="H181" s="48">
        <v>5.8113000000000001</v>
      </c>
      <c r="I181" s="4">
        <v>8.9999999999999998E-4</v>
      </c>
      <c r="J181" s="45">
        <v>-35.576099999999997</v>
      </c>
      <c r="K181" s="4">
        <v>2E-3</v>
      </c>
      <c r="L181" s="4">
        <v>5.8000000000000003E-2</v>
      </c>
      <c r="M181" s="4">
        <v>5.0000000000000001E-3</v>
      </c>
      <c r="N181" s="4">
        <v>-6.0000000000000001E-3</v>
      </c>
      <c r="O181" s="4">
        <v>2.0000000000000001E-4</v>
      </c>
      <c r="P181" s="4">
        <v>124.45</v>
      </c>
      <c r="Q181" s="4">
        <v>0.4</v>
      </c>
      <c r="R181" s="45">
        <f>P181*E181/G181^3</f>
        <v>0.24188532555879494</v>
      </c>
      <c r="S181" s="22">
        <f>Q181*E181/G181^3</f>
        <v>7.774538386783285E-4</v>
      </c>
    </row>
    <row r="182" spans="1:19">
      <c r="A182" s="23" t="s">
        <v>799</v>
      </c>
      <c r="B182" s="4" t="s">
        <v>1096</v>
      </c>
      <c r="D182" s="4">
        <v>0.5</v>
      </c>
      <c r="E182" s="4">
        <v>18</v>
      </c>
      <c r="F182" s="4">
        <v>7</v>
      </c>
      <c r="G182" s="4">
        <v>21</v>
      </c>
      <c r="H182" s="4">
        <v>4.6111000000000004</v>
      </c>
      <c r="I182" s="4">
        <v>4.0000000000000002E-4</v>
      </c>
      <c r="J182" s="4">
        <v>-28.113600000000002</v>
      </c>
      <c r="K182" s="4">
        <v>2.3999999999999998E-3</v>
      </c>
      <c r="L182" s="4">
        <v>3.3000000000000002E-2</v>
      </c>
      <c r="M182" s="4">
        <v>5.0000000000000001E-3</v>
      </c>
      <c r="N182" s="4">
        <v>-7.4999999999999997E-3</v>
      </c>
      <c r="O182" s="4">
        <v>2.0000000000000001E-4</v>
      </c>
      <c r="P182" s="4">
        <v>122.58</v>
      </c>
      <c r="Q182" s="4">
        <v>0.13</v>
      </c>
      <c r="R182" s="4">
        <f t="shared" si="22"/>
        <v>0.23825072886297377</v>
      </c>
      <c r="S182" s="22">
        <f t="shared" si="23"/>
        <v>2.5267249757045674E-4</v>
      </c>
    </row>
    <row r="183" spans="1:19">
      <c r="A183" s="44" t="s">
        <v>800</v>
      </c>
      <c r="B183" s="45" t="s">
        <v>1097</v>
      </c>
      <c r="C183" s="45"/>
      <c r="D183" s="45">
        <v>0.25</v>
      </c>
      <c r="E183" s="4">
        <v>18</v>
      </c>
      <c r="F183" s="4">
        <v>7</v>
      </c>
      <c r="G183" s="4">
        <v>21</v>
      </c>
      <c r="H183" s="45">
        <v>5.7919</v>
      </c>
      <c r="I183" s="4">
        <v>4.0000000000000002E-4</v>
      </c>
      <c r="J183" s="45">
        <v>-35.518099999999997</v>
      </c>
      <c r="K183" s="4">
        <v>2.5000000000000001E-3</v>
      </c>
      <c r="L183" s="4">
        <v>3.2000000000000001E-2</v>
      </c>
      <c r="M183" s="4">
        <v>1E-3</v>
      </c>
      <c r="N183" s="4">
        <v>-5.5999999999999999E-3</v>
      </c>
      <c r="O183" s="4">
        <v>1E-4</v>
      </c>
      <c r="P183" s="4">
        <v>124.88</v>
      </c>
      <c r="Q183" s="4">
        <v>0.1</v>
      </c>
      <c r="R183" s="45">
        <f>P183*E183/G183^3</f>
        <v>0.24272108843537415</v>
      </c>
      <c r="S183" s="22">
        <f>Q183*E183/G183^3</f>
        <v>1.9436345966958212E-4</v>
      </c>
    </row>
    <row r="184" spans="1:19">
      <c r="A184" s="23" t="s">
        <v>800</v>
      </c>
      <c r="B184" s="4" t="s">
        <v>1097</v>
      </c>
      <c r="D184" s="4">
        <v>0.5</v>
      </c>
      <c r="E184" s="4">
        <v>18</v>
      </c>
      <c r="F184" s="4">
        <v>7</v>
      </c>
      <c r="G184" s="4">
        <v>21</v>
      </c>
      <c r="H184" s="4">
        <v>4.5715000000000003</v>
      </c>
      <c r="I184" s="4">
        <v>5.0000000000000001E-4</v>
      </c>
      <c r="J184" s="4">
        <v>-27.958600000000001</v>
      </c>
      <c r="K184" s="4">
        <v>1.6000000000000001E-3</v>
      </c>
      <c r="L184" s="4">
        <v>2.7E-2</v>
      </c>
      <c r="M184" s="4">
        <v>8.9999999999999993E-3</v>
      </c>
      <c r="N184" s="4">
        <v>-7.4999999999999997E-3</v>
      </c>
      <c r="O184" s="4">
        <v>4.0000000000000002E-4</v>
      </c>
      <c r="P184" s="4">
        <v>123.21</v>
      </c>
      <c r="Q184" s="4">
        <v>0.21</v>
      </c>
      <c r="R184" s="4">
        <f t="shared" si="22"/>
        <v>0.2394752186588921</v>
      </c>
      <c r="S184" s="22">
        <f t="shared" si="23"/>
        <v>4.0816326530612241E-4</v>
      </c>
    </row>
    <row r="185" spans="1:19">
      <c r="A185" s="44" t="s">
        <v>801</v>
      </c>
      <c r="B185" s="45" t="s">
        <v>1098</v>
      </c>
      <c r="C185" s="45"/>
      <c r="D185" s="45">
        <v>0.25</v>
      </c>
      <c r="E185" s="4">
        <v>18</v>
      </c>
      <c r="F185" s="4">
        <v>7</v>
      </c>
      <c r="G185" s="4">
        <v>21</v>
      </c>
      <c r="H185" s="45">
        <v>5.7996999999999996</v>
      </c>
      <c r="I185" s="4">
        <v>1E-3</v>
      </c>
      <c r="J185" s="45">
        <v>-35.706000000000003</v>
      </c>
      <c r="K185" s="4">
        <v>2.7000000000000001E-3</v>
      </c>
      <c r="L185" s="4">
        <v>3.1E-2</v>
      </c>
      <c r="M185" s="4">
        <v>2.3E-2</v>
      </c>
      <c r="N185" s="4">
        <v>-5.5999999999999999E-3</v>
      </c>
      <c r="O185" s="4">
        <v>2.9999999999999997E-4</v>
      </c>
      <c r="P185" s="4">
        <v>124.86</v>
      </c>
      <c r="Q185" s="4">
        <v>0.19</v>
      </c>
      <c r="R185" s="45">
        <f>P185*E185/G185^3</f>
        <v>0.24268221574344023</v>
      </c>
      <c r="S185" s="22">
        <f>Q185*E185/G185^3</f>
        <v>3.6929057337220603E-4</v>
      </c>
    </row>
    <row r="186" spans="1:19">
      <c r="A186" s="23" t="s">
        <v>801</v>
      </c>
      <c r="B186" s="4" t="s">
        <v>1098</v>
      </c>
      <c r="D186" s="4">
        <v>0.5</v>
      </c>
      <c r="E186" s="4">
        <v>18</v>
      </c>
      <c r="F186" s="4">
        <v>7</v>
      </c>
      <c r="G186" s="4">
        <v>21</v>
      </c>
      <c r="H186" s="4">
        <v>4.5841000000000003</v>
      </c>
      <c r="I186" s="4">
        <v>6.9999999999999999E-4</v>
      </c>
      <c r="J186" s="4">
        <v>-28.354900000000001</v>
      </c>
      <c r="K186" s="4">
        <v>8.9999999999999998E-4</v>
      </c>
      <c r="L186" s="4">
        <v>3.7999999999999999E-2</v>
      </c>
      <c r="M186" s="4">
        <v>1.6E-2</v>
      </c>
      <c r="N186" s="4">
        <v>-7.4000000000000003E-3</v>
      </c>
      <c r="O186" s="4">
        <v>4.0000000000000002E-4</v>
      </c>
      <c r="P186" s="4">
        <v>123.16</v>
      </c>
      <c r="Q186" s="4">
        <v>0.28000000000000003</v>
      </c>
      <c r="R186" s="4">
        <f>P186*E186/G186^3</f>
        <v>0.23937803692905735</v>
      </c>
      <c r="S186" s="22">
        <f t="shared" si="23"/>
        <v>5.4421768707483002E-4</v>
      </c>
    </row>
    <row r="187" spans="1:19">
      <c r="A187" s="44" t="s">
        <v>802</v>
      </c>
      <c r="B187" s="45" t="s">
        <v>1099</v>
      </c>
      <c r="C187" s="45"/>
      <c r="D187" s="45">
        <v>0.25</v>
      </c>
      <c r="E187" s="4">
        <v>18</v>
      </c>
      <c r="F187" s="4">
        <v>7</v>
      </c>
      <c r="G187" s="4">
        <v>21</v>
      </c>
      <c r="H187" s="45">
        <v>5.8090999999999999</v>
      </c>
      <c r="I187" s="4">
        <v>2.0000000000000001E-4</v>
      </c>
      <c r="J187" s="45">
        <v>-35.477200000000003</v>
      </c>
      <c r="K187" s="4">
        <v>1.6000000000000001E-3</v>
      </c>
      <c r="L187" s="4">
        <v>2.5999999999999999E-2</v>
      </c>
      <c r="M187" s="4">
        <v>5.0000000000000001E-3</v>
      </c>
      <c r="N187" s="4">
        <v>-5.5999999999999999E-3</v>
      </c>
      <c r="O187" s="4">
        <v>2.9999999999999997E-4</v>
      </c>
      <c r="P187" s="4">
        <v>124.58</v>
      </c>
      <c r="Q187" s="4">
        <v>0.3</v>
      </c>
      <c r="R187" s="45">
        <f>P187*E187/G187^3</f>
        <v>0.24213799805636541</v>
      </c>
      <c r="S187" s="22">
        <f>Q187*E187/G187^3</f>
        <v>5.8309037900874635E-4</v>
      </c>
    </row>
    <row r="188" spans="1:19">
      <c r="A188" s="23" t="s">
        <v>802</v>
      </c>
      <c r="B188" s="4" t="s">
        <v>1099</v>
      </c>
      <c r="D188" s="4">
        <v>0.5</v>
      </c>
      <c r="E188" s="4">
        <v>18</v>
      </c>
      <c r="F188" s="4">
        <v>7</v>
      </c>
      <c r="G188" s="4">
        <v>21</v>
      </c>
      <c r="H188" s="4">
        <v>4.6051000000000002</v>
      </c>
      <c r="I188" s="4">
        <v>4.0000000000000002E-4</v>
      </c>
      <c r="J188" s="4">
        <v>-27.944600000000001</v>
      </c>
      <c r="K188" s="4">
        <v>8.9999999999999998E-4</v>
      </c>
      <c r="L188" s="4">
        <v>3.4000000000000002E-2</v>
      </c>
      <c r="M188" s="4">
        <v>4.0000000000000001E-3</v>
      </c>
      <c r="N188" s="4">
        <v>-7.7999999999999996E-3</v>
      </c>
      <c r="O188" s="4">
        <v>1E-4</v>
      </c>
      <c r="P188" s="4">
        <v>122.08</v>
      </c>
      <c r="Q188" s="4">
        <v>0.17</v>
      </c>
      <c r="R188" s="4">
        <f t="shared" si="22"/>
        <v>0.23727891156462586</v>
      </c>
      <c r="S188" s="22">
        <f t="shared" si="23"/>
        <v>3.304178814382896E-4</v>
      </c>
    </row>
    <row r="189" spans="1:19">
      <c r="A189" s="44" t="s">
        <v>803</v>
      </c>
      <c r="B189" s="45" t="s">
        <v>1100</v>
      </c>
      <c r="C189" s="45"/>
      <c r="D189" s="45">
        <v>0.25</v>
      </c>
      <c r="E189" s="4">
        <v>18</v>
      </c>
      <c r="F189" s="4">
        <v>7</v>
      </c>
      <c r="G189" s="4">
        <v>21</v>
      </c>
      <c r="H189" s="45">
        <v>5.8163999999999998</v>
      </c>
      <c r="I189" s="4">
        <v>5.9999999999999995E-4</v>
      </c>
      <c r="J189" s="45">
        <v>-35.748600000000003</v>
      </c>
      <c r="K189" s="4">
        <v>1.2999999999999999E-3</v>
      </c>
      <c r="L189" s="4">
        <v>2.4E-2</v>
      </c>
      <c r="M189" s="4">
        <v>8.9999999999999993E-3</v>
      </c>
      <c r="N189" s="4">
        <v>-5.5999999999999999E-3</v>
      </c>
      <c r="O189" s="4">
        <v>2.0000000000000001E-4</v>
      </c>
      <c r="P189" s="4">
        <v>124.79</v>
      </c>
      <c r="Q189" s="4">
        <v>0.09</v>
      </c>
      <c r="R189" s="45">
        <f>P189*E189/G189^3</f>
        <v>0.24254616132167156</v>
      </c>
      <c r="S189" s="22">
        <f>Q189*E189/G189^3</f>
        <v>1.7492711370262388E-4</v>
      </c>
    </row>
    <row r="190" spans="1:19">
      <c r="A190" s="23" t="s">
        <v>803</v>
      </c>
      <c r="B190" s="4" t="s">
        <v>1100</v>
      </c>
      <c r="D190" s="4">
        <v>0.5</v>
      </c>
      <c r="E190" s="4">
        <v>18</v>
      </c>
      <c r="F190" s="4">
        <v>7</v>
      </c>
      <c r="G190" s="4">
        <v>21</v>
      </c>
      <c r="H190" s="4">
        <v>4.6181000000000001</v>
      </c>
      <c r="I190" s="4">
        <v>8.0000000000000004E-4</v>
      </c>
      <c r="J190" s="4">
        <v>-28.409800000000001</v>
      </c>
      <c r="K190" s="4">
        <v>5.9999999999999995E-4</v>
      </c>
      <c r="L190" s="4">
        <v>3.2000000000000001E-2</v>
      </c>
      <c r="M190" s="4">
        <v>6.0000000000000001E-3</v>
      </c>
      <c r="N190" s="4">
        <v>-7.3000000000000001E-3</v>
      </c>
      <c r="O190" s="4">
        <v>1E-4</v>
      </c>
      <c r="P190" s="4">
        <v>123.52</v>
      </c>
      <c r="Q190" s="4">
        <v>0.08</v>
      </c>
      <c r="R190" s="4">
        <f t="shared" si="22"/>
        <v>0.24007774538386784</v>
      </c>
      <c r="S190" s="22">
        <f t="shared" si="23"/>
        <v>1.5549076773566569E-4</v>
      </c>
    </row>
    <row r="191" spans="1:19">
      <c r="A191" s="44" t="s">
        <v>804</v>
      </c>
      <c r="B191" s="45" t="s">
        <v>1101</v>
      </c>
      <c r="C191" s="45"/>
      <c r="D191" s="45">
        <v>0.25</v>
      </c>
      <c r="E191" s="4">
        <v>18</v>
      </c>
      <c r="F191" s="4">
        <v>7</v>
      </c>
      <c r="G191" s="4">
        <v>21</v>
      </c>
      <c r="H191" s="45">
        <v>5.8292999999999999</v>
      </c>
      <c r="I191" s="4">
        <v>4.0000000000000002E-4</v>
      </c>
      <c r="J191" s="45">
        <v>-35.5077</v>
      </c>
      <c r="K191" s="4">
        <v>1.9E-3</v>
      </c>
      <c r="L191" s="4">
        <v>2.3E-2</v>
      </c>
      <c r="M191" s="4">
        <v>5.0000000000000001E-3</v>
      </c>
      <c r="N191" s="4">
        <v>-5.5999999999999999E-3</v>
      </c>
      <c r="O191" s="4">
        <v>1E-4</v>
      </c>
      <c r="P191" s="4">
        <v>124.41</v>
      </c>
      <c r="Q191" s="4">
        <v>0.11</v>
      </c>
      <c r="R191" s="45">
        <f>P191*E191/G191^3</f>
        <v>0.24180758017492712</v>
      </c>
      <c r="S191" s="22">
        <f>Q191*E191/G191^3</f>
        <v>2.1379980563654034E-4</v>
      </c>
    </row>
    <row r="192" spans="1:19">
      <c r="A192" s="23" t="s">
        <v>804</v>
      </c>
      <c r="B192" s="4" t="s">
        <v>1101</v>
      </c>
      <c r="D192" s="4">
        <v>0.5</v>
      </c>
      <c r="E192" s="4">
        <v>18</v>
      </c>
      <c r="F192" s="4">
        <v>7</v>
      </c>
      <c r="G192" s="4">
        <v>21</v>
      </c>
      <c r="H192" s="4">
        <v>4.6421000000000001</v>
      </c>
      <c r="I192" s="4">
        <v>2.0000000000000001E-4</v>
      </c>
      <c r="J192" s="4">
        <v>-27.972899999999999</v>
      </c>
      <c r="K192" s="4">
        <v>5.0000000000000001E-4</v>
      </c>
      <c r="L192" s="4">
        <v>2.5000000000000001E-2</v>
      </c>
      <c r="M192" s="4">
        <v>5.0000000000000001E-3</v>
      </c>
      <c r="N192" s="4">
        <v>-7.4000000000000003E-3</v>
      </c>
      <c r="O192" s="4">
        <v>2.9999999999999997E-4</v>
      </c>
      <c r="P192" s="4">
        <v>122.59</v>
      </c>
      <c r="Q192" s="4">
        <v>0.25</v>
      </c>
      <c r="R192" s="4">
        <f t="shared" si="22"/>
        <v>0.2382701652089407</v>
      </c>
      <c r="S192" s="22">
        <f t="shared" si="23"/>
        <v>4.8590864917395527E-4</v>
      </c>
    </row>
    <row r="193" spans="1:19">
      <c r="A193" s="28" t="s">
        <v>804</v>
      </c>
      <c r="B193" s="29" t="s">
        <v>1101</v>
      </c>
      <c r="C193" s="29"/>
      <c r="D193" s="29">
        <v>0.75</v>
      </c>
      <c r="E193" s="4">
        <v>18</v>
      </c>
      <c r="F193" s="4">
        <v>7</v>
      </c>
      <c r="G193" s="4">
        <v>21</v>
      </c>
      <c r="H193" s="29">
        <v>3.4798</v>
      </c>
      <c r="I193" s="4">
        <v>5.9999999999999995E-4</v>
      </c>
      <c r="J193" s="29">
        <v>-20.805099999999999</v>
      </c>
      <c r="K193" s="4">
        <v>2.5000000000000001E-3</v>
      </c>
      <c r="L193" s="4">
        <v>3.5999999999999997E-2</v>
      </c>
      <c r="M193" s="4">
        <v>8.0000000000000002E-3</v>
      </c>
      <c r="N193" s="4">
        <v>-1.17E-2</v>
      </c>
      <c r="O193" s="4">
        <v>4.0000000000000002E-4</v>
      </c>
      <c r="P193" s="4">
        <v>115.33</v>
      </c>
      <c r="Q193" s="4">
        <v>0.34</v>
      </c>
      <c r="R193" s="29">
        <f t="shared" si="22"/>
        <v>0.22415937803692906</v>
      </c>
      <c r="S193" s="22">
        <f t="shared" si="23"/>
        <v>6.6083576287657921E-4</v>
      </c>
    </row>
    <row r="194" spans="1:19">
      <c r="A194" s="44" t="s">
        <v>805</v>
      </c>
      <c r="B194" s="45" t="s">
        <v>1102</v>
      </c>
      <c r="C194" s="45"/>
      <c r="D194" s="45">
        <v>0.25</v>
      </c>
      <c r="E194" s="4">
        <v>18</v>
      </c>
      <c r="F194" s="4">
        <v>7</v>
      </c>
      <c r="G194" s="4">
        <v>21</v>
      </c>
      <c r="H194" s="45">
        <v>5.7839999999999998</v>
      </c>
      <c r="I194" s="4">
        <v>5.9999999999999995E-4</v>
      </c>
      <c r="J194" s="45">
        <v>-35.672600000000003</v>
      </c>
      <c r="K194" s="4">
        <v>1.1000000000000001E-3</v>
      </c>
      <c r="L194" s="4">
        <v>3.4000000000000002E-2</v>
      </c>
      <c r="M194" s="4">
        <v>5.0000000000000001E-3</v>
      </c>
      <c r="N194" s="4">
        <v>-5.7999999999999996E-3</v>
      </c>
      <c r="O194" s="4">
        <v>0</v>
      </c>
      <c r="P194" s="4">
        <v>124.63</v>
      </c>
      <c r="Q194" s="4">
        <v>0.06</v>
      </c>
      <c r="R194" s="45">
        <f>P194*E194/G194^3</f>
        <v>0.24223517978620021</v>
      </c>
      <c r="S194" s="22">
        <f>Q194*E194/G194^3</f>
        <v>1.1661807580174928E-4</v>
      </c>
    </row>
    <row r="195" spans="1:19">
      <c r="A195" s="23" t="s">
        <v>805</v>
      </c>
      <c r="B195" s="4" t="s">
        <v>1102</v>
      </c>
      <c r="D195" s="4">
        <v>0.5</v>
      </c>
      <c r="E195" s="4">
        <v>18</v>
      </c>
      <c r="F195" s="4">
        <v>7</v>
      </c>
      <c r="G195" s="4">
        <v>21</v>
      </c>
      <c r="H195" s="4">
        <v>4.5515999999999996</v>
      </c>
      <c r="I195" s="4">
        <v>8.9999999999999998E-4</v>
      </c>
      <c r="J195" s="4">
        <v>-28.326000000000001</v>
      </c>
      <c r="K195" s="4">
        <v>1.8E-3</v>
      </c>
      <c r="L195" s="4">
        <v>4.7E-2</v>
      </c>
      <c r="M195" s="4">
        <v>3.5999999999999997E-2</v>
      </c>
      <c r="N195" s="4">
        <v>-7.7000000000000002E-3</v>
      </c>
      <c r="O195" s="4">
        <v>5.0000000000000001E-4</v>
      </c>
      <c r="P195" s="4">
        <v>122.71</v>
      </c>
      <c r="Q195" s="4">
        <v>0.19</v>
      </c>
      <c r="R195" s="4">
        <f t="shared" si="22"/>
        <v>0.23850340136054418</v>
      </c>
      <c r="S195" s="22">
        <f t="shared" si="23"/>
        <v>3.6929057337220603E-4</v>
      </c>
    </row>
    <row r="196" spans="1:19">
      <c r="A196" s="28" t="s">
        <v>805</v>
      </c>
      <c r="B196" s="29" t="s">
        <v>1102</v>
      </c>
      <c r="C196" s="29"/>
      <c r="D196" s="29">
        <v>0.75</v>
      </c>
      <c r="E196" s="4">
        <v>18</v>
      </c>
      <c r="F196" s="4">
        <v>7</v>
      </c>
      <c r="G196" s="4">
        <v>21</v>
      </c>
      <c r="H196" s="29">
        <v>3.3256999999999999</v>
      </c>
      <c r="I196" s="4">
        <v>8.9999999999999998E-4</v>
      </c>
      <c r="J196" s="29">
        <v>-21.4819</v>
      </c>
      <c r="K196" s="4">
        <v>1.9E-3</v>
      </c>
      <c r="L196" s="4">
        <v>0.11799999999999999</v>
      </c>
      <c r="M196" s="4">
        <v>1.2E-2</v>
      </c>
      <c r="N196" s="4">
        <v>-1.3899999999999999E-2</v>
      </c>
      <c r="O196" s="4">
        <v>2.0000000000000001E-4</v>
      </c>
      <c r="P196" s="4">
        <v>113.61</v>
      </c>
      <c r="Q196" s="4">
        <v>0.19</v>
      </c>
      <c r="R196" s="29">
        <f t="shared" si="22"/>
        <v>0.22081632653061226</v>
      </c>
      <c r="S196" s="22">
        <f t="shared" si="23"/>
        <v>3.6929057337220603E-4</v>
      </c>
    </row>
    <row r="197" spans="1:19">
      <c r="A197" s="44" t="s">
        <v>806</v>
      </c>
      <c r="B197" s="45" t="s">
        <v>1103</v>
      </c>
      <c r="C197" s="45"/>
      <c r="D197" s="45">
        <v>0.25</v>
      </c>
      <c r="E197" s="4">
        <v>18</v>
      </c>
      <c r="F197" s="4">
        <v>7</v>
      </c>
      <c r="G197" s="4">
        <v>21</v>
      </c>
      <c r="H197" s="45">
        <v>5.7880000000000003</v>
      </c>
      <c r="I197" s="4">
        <v>8.9999999999999998E-4</v>
      </c>
      <c r="J197" s="45">
        <v>-35.741300000000003</v>
      </c>
      <c r="K197" s="4">
        <v>1.2999999999999999E-3</v>
      </c>
      <c r="L197" s="4">
        <v>3.5999999999999997E-2</v>
      </c>
      <c r="M197" s="4">
        <v>5.0000000000000001E-3</v>
      </c>
      <c r="N197" s="4">
        <v>-5.7999999999999996E-3</v>
      </c>
      <c r="O197" s="4">
        <v>1E-4</v>
      </c>
      <c r="P197" s="4">
        <v>124.57</v>
      </c>
      <c r="Q197" s="4">
        <v>0.14000000000000001</v>
      </c>
      <c r="R197" s="45">
        <f>P197*E197/G197^3</f>
        <v>0.24211856171039842</v>
      </c>
      <c r="S197" s="22">
        <f>Q197*E197/G197^3</f>
        <v>2.7210884353741501E-4</v>
      </c>
    </row>
    <row r="198" spans="1:19">
      <c r="A198" s="23" t="s">
        <v>806</v>
      </c>
      <c r="B198" s="4" t="s">
        <v>1103</v>
      </c>
      <c r="D198" s="4">
        <v>0.5</v>
      </c>
      <c r="E198" s="4">
        <v>18</v>
      </c>
      <c r="F198" s="4">
        <v>7</v>
      </c>
      <c r="G198" s="4">
        <v>21</v>
      </c>
      <c r="H198" s="4">
        <v>4.5578000000000003</v>
      </c>
      <c r="I198" s="4">
        <v>8.9999999999999998E-4</v>
      </c>
      <c r="J198" s="4">
        <v>-28.513200000000001</v>
      </c>
      <c r="K198" s="4">
        <v>1.1999999999999999E-3</v>
      </c>
      <c r="L198" s="4">
        <v>5.0999999999999997E-2</v>
      </c>
      <c r="M198" s="4">
        <v>3.0000000000000001E-3</v>
      </c>
      <c r="N198" s="4">
        <v>-8.0999999999999996E-3</v>
      </c>
      <c r="O198" s="4">
        <v>2.0000000000000001E-4</v>
      </c>
      <c r="P198" s="4">
        <v>121.4</v>
      </c>
      <c r="Q198" s="4">
        <v>0.2</v>
      </c>
      <c r="R198" s="4">
        <f t="shared" si="22"/>
        <v>0.23595724003887272</v>
      </c>
      <c r="S198" s="22">
        <f t="shared" si="23"/>
        <v>3.8872691933916425E-4</v>
      </c>
    </row>
    <row r="199" spans="1:19">
      <c r="A199" s="28" t="s">
        <v>806</v>
      </c>
      <c r="B199" s="29" t="s">
        <v>1103</v>
      </c>
      <c r="C199" s="29"/>
      <c r="D199" s="29">
        <v>0.75</v>
      </c>
      <c r="E199" s="4">
        <v>18</v>
      </c>
      <c r="F199" s="4">
        <v>7</v>
      </c>
      <c r="G199" s="4">
        <v>21</v>
      </c>
      <c r="H199" s="41">
        <v>3.3212000000000002</v>
      </c>
      <c r="I199" s="4">
        <v>4.0000000000000002E-4</v>
      </c>
      <c r="J199" s="29">
        <v>-22.003299999999999</v>
      </c>
      <c r="K199" s="4">
        <v>1.4E-3</v>
      </c>
      <c r="L199" s="4">
        <v>0.18</v>
      </c>
      <c r="M199" s="4">
        <v>7.0000000000000001E-3</v>
      </c>
      <c r="N199" s="4">
        <v>-1.7899999999999999E-2</v>
      </c>
      <c r="O199" s="4">
        <v>2.9999999999999997E-4</v>
      </c>
      <c r="P199" s="4">
        <v>104.75</v>
      </c>
      <c r="Q199" s="4">
        <v>0.32</v>
      </c>
      <c r="R199" s="29">
        <f t="shared" si="22"/>
        <v>0.20359572400388726</v>
      </c>
      <c r="S199" s="22">
        <f t="shared" si="23"/>
        <v>6.2196307094266278E-4</v>
      </c>
    </row>
    <row r="200" spans="1:19">
      <c r="A200" s="44" t="s">
        <v>807</v>
      </c>
      <c r="B200" s="45" t="s">
        <v>1104</v>
      </c>
      <c r="C200" s="45"/>
      <c r="D200" s="45">
        <v>0.25</v>
      </c>
      <c r="E200" s="4">
        <v>18</v>
      </c>
      <c r="F200" s="4">
        <v>7</v>
      </c>
      <c r="G200" s="4">
        <v>21</v>
      </c>
      <c r="H200" s="45">
        <v>5.7550999999999997</v>
      </c>
      <c r="I200" s="4">
        <v>5.9999999999999995E-4</v>
      </c>
      <c r="J200" s="45">
        <v>-35.810099999999998</v>
      </c>
      <c r="K200" s="4">
        <v>1.4E-3</v>
      </c>
      <c r="L200" s="4">
        <v>4.2000000000000003E-2</v>
      </c>
      <c r="M200" s="4">
        <v>7.0000000000000001E-3</v>
      </c>
      <c r="N200" s="4">
        <v>-5.7999999999999996E-3</v>
      </c>
      <c r="O200" s="4">
        <v>2.0000000000000001E-4</v>
      </c>
      <c r="P200" s="4">
        <v>124.51</v>
      </c>
      <c r="Q200" s="4">
        <v>0.31</v>
      </c>
      <c r="R200" s="45">
        <f>P200*E200/G200^3</f>
        <v>0.24200194363459673</v>
      </c>
      <c r="S200" s="22">
        <f>Q200*E200/G200^3</f>
        <v>6.0252672497570462E-4</v>
      </c>
    </row>
    <row r="201" spans="1:19">
      <c r="A201" s="23" t="s">
        <v>807</v>
      </c>
      <c r="B201" s="4" t="s">
        <v>1104</v>
      </c>
      <c r="D201" s="4">
        <v>0.5</v>
      </c>
      <c r="E201" s="4">
        <v>18</v>
      </c>
      <c r="F201" s="4">
        <v>7</v>
      </c>
      <c r="G201" s="4">
        <v>21</v>
      </c>
      <c r="H201" s="4">
        <v>4.4836999999999998</v>
      </c>
      <c r="I201" s="4">
        <v>4.0000000000000002E-4</v>
      </c>
      <c r="J201" s="4">
        <v>-28.767199999999999</v>
      </c>
      <c r="K201" s="4">
        <v>4.3E-3</v>
      </c>
      <c r="L201" s="4">
        <v>0.114</v>
      </c>
      <c r="M201" s="4">
        <v>0.249</v>
      </c>
      <c r="N201" s="4">
        <v>-8.9999999999999993E-3</v>
      </c>
      <c r="O201" s="4">
        <v>5.3E-3</v>
      </c>
      <c r="P201" s="4">
        <v>120.15</v>
      </c>
      <c r="Q201" s="4">
        <v>2.2200000000000002</v>
      </c>
      <c r="R201" s="4">
        <f t="shared" si="22"/>
        <v>0.23352769679300295</v>
      </c>
      <c r="S201" s="22">
        <f t="shared" si="23"/>
        <v>4.3148688046647232E-3</v>
      </c>
    </row>
    <row r="202" spans="1:19">
      <c r="A202" s="44" t="s">
        <v>808</v>
      </c>
      <c r="B202" s="45" t="s">
        <v>1105</v>
      </c>
      <c r="C202" s="45"/>
      <c r="D202" s="45">
        <v>0.25</v>
      </c>
      <c r="E202" s="4">
        <v>18</v>
      </c>
      <c r="F202" s="4">
        <v>7</v>
      </c>
      <c r="G202" s="4">
        <v>21</v>
      </c>
      <c r="H202" s="45">
        <v>5.8066000000000004</v>
      </c>
      <c r="I202" s="4">
        <v>5.9999999999999995E-4</v>
      </c>
      <c r="J202" s="45">
        <v>-35.932600000000001</v>
      </c>
      <c r="K202" s="4">
        <v>1.5E-3</v>
      </c>
      <c r="L202" s="4">
        <v>3.4000000000000002E-2</v>
      </c>
      <c r="M202" s="4">
        <v>8.9999999999999993E-3</v>
      </c>
      <c r="N202" s="4">
        <v>-6.1999999999999998E-3</v>
      </c>
      <c r="O202" s="4">
        <v>1E-4</v>
      </c>
      <c r="P202" s="4">
        <v>122.88</v>
      </c>
      <c r="Q202" s="4">
        <v>0.15</v>
      </c>
      <c r="R202" s="45">
        <f>P202*E202/G202^3</f>
        <v>0.23883381924198252</v>
      </c>
      <c r="S202" s="22">
        <f>Q202*E202/G202^3</f>
        <v>2.9154518950437317E-4</v>
      </c>
    </row>
    <row r="203" spans="1:19">
      <c r="A203" s="23" t="s">
        <v>808</v>
      </c>
      <c r="B203" s="4" t="s">
        <v>1105</v>
      </c>
      <c r="D203" s="4">
        <v>0.5</v>
      </c>
      <c r="E203" s="4">
        <v>18</v>
      </c>
      <c r="F203" s="4">
        <v>7</v>
      </c>
      <c r="G203" s="4">
        <v>21</v>
      </c>
      <c r="H203" s="39">
        <v>4.6007999999999996</v>
      </c>
      <c r="I203" s="4">
        <v>2.9999999999999997E-4</v>
      </c>
      <c r="J203" s="4">
        <v>-29.6111</v>
      </c>
      <c r="K203" s="4">
        <v>1E-3</v>
      </c>
      <c r="L203" s="4">
        <v>0.159</v>
      </c>
      <c r="M203" s="4">
        <v>7.0000000000000001E-3</v>
      </c>
      <c r="N203" s="4">
        <v>-1.3299999999999999E-2</v>
      </c>
      <c r="O203" s="4">
        <v>1E-4</v>
      </c>
      <c r="P203" s="4">
        <v>105.71</v>
      </c>
      <c r="Q203" s="4">
        <v>0.2</v>
      </c>
      <c r="R203" s="4">
        <f t="shared" si="22"/>
        <v>0.20546161321671524</v>
      </c>
      <c r="S203" s="22">
        <f t="shared" si="23"/>
        <v>3.8872691933916425E-4</v>
      </c>
    </row>
    <row r="204" spans="1:19">
      <c r="A204" s="44" t="s">
        <v>809</v>
      </c>
      <c r="B204" s="45" t="s">
        <v>1106</v>
      </c>
      <c r="C204" s="45"/>
      <c r="D204" s="45">
        <v>0.25</v>
      </c>
      <c r="E204" s="4">
        <v>18</v>
      </c>
      <c r="F204" s="4">
        <v>7</v>
      </c>
      <c r="G204" s="4">
        <v>21</v>
      </c>
      <c r="H204" s="48">
        <v>5.8315999999999999</v>
      </c>
      <c r="I204" s="4">
        <v>8.0000000000000004E-4</v>
      </c>
      <c r="J204" s="45">
        <v>-35.604100000000003</v>
      </c>
      <c r="K204" s="4">
        <v>8.9999999999999998E-4</v>
      </c>
      <c r="L204" s="4">
        <v>0.03</v>
      </c>
      <c r="M204" s="4">
        <v>4.0000000000000001E-3</v>
      </c>
      <c r="N204" s="4">
        <v>-5.7000000000000002E-3</v>
      </c>
      <c r="O204" s="4">
        <v>1E-4</v>
      </c>
      <c r="P204" s="4">
        <v>124.1</v>
      </c>
      <c r="Q204" s="4">
        <v>0.19</v>
      </c>
      <c r="R204" s="45">
        <f>P204*E204/G204^3</f>
        <v>0.24120505344995138</v>
      </c>
      <c r="S204" s="22">
        <f>Q204*E204/G204^3</f>
        <v>3.6929057337220603E-4</v>
      </c>
    </row>
    <row r="205" spans="1:19">
      <c r="A205" s="23" t="s">
        <v>809</v>
      </c>
      <c r="B205" s="4" t="s">
        <v>1106</v>
      </c>
      <c r="D205" s="4">
        <v>0.5</v>
      </c>
      <c r="E205" s="4">
        <v>18</v>
      </c>
      <c r="F205" s="4">
        <v>7</v>
      </c>
      <c r="G205" s="4">
        <v>21</v>
      </c>
      <c r="H205" s="4">
        <v>4.6513</v>
      </c>
      <c r="I205" s="4">
        <v>1E-3</v>
      </c>
      <c r="J205" s="4">
        <v>-28.306799999999999</v>
      </c>
      <c r="K205" s="4">
        <v>2.3E-3</v>
      </c>
      <c r="L205" s="4">
        <v>6.7000000000000004E-2</v>
      </c>
      <c r="M205" s="4">
        <v>1.6E-2</v>
      </c>
      <c r="N205" s="4">
        <v>-8.6999999999999994E-3</v>
      </c>
      <c r="O205" s="4">
        <v>2.0000000000000001E-4</v>
      </c>
      <c r="P205" s="4">
        <v>119.4</v>
      </c>
      <c r="Q205" s="4">
        <v>0.04</v>
      </c>
      <c r="R205" s="4">
        <f t="shared" si="22"/>
        <v>0.23206997084548109</v>
      </c>
      <c r="S205" s="22">
        <f t="shared" si="23"/>
        <v>7.7745383867832847E-5</v>
      </c>
    </row>
    <row r="206" spans="1:19">
      <c r="A206" s="44" t="s">
        <v>810</v>
      </c>
      <c r="B206" s="45" t="s">
        <v>1107</v>
      </c>
      <c r="C206" s="45"/>
      <c r="D206" s="45">
        <v>0.25</v>
      </c>
      <c r="E206" s="4">
        <v>18</v>
      </c>
      <c r="F206" s="4">
        <v>7</v>
      </c>
      <c r="G206" s="4">
        <v>21</v>
      </c>
      <c r="H206" s="45">
        <v>5.8212999999999999</v>
      </c>
      <c r="I206" s="4">
        <v>4.0000000000000002E-4</v>
      </c>
      <c r="J206" s="45">
        <v>-35.6218</v>
      </c>
      <c r="K206" s="4">
        <v>2E-3</v>
      </c>
      <c r="L206" s="4">
        <v>2.4E-2</v>
      </c>
      <c r="M206" s="4">
        <v>4.0000000000000001E-3</v>
      </c>
      <c r="N206" s="4">
        <v>-5.4999999999999997E-3</v>
      </c>
      <c r="O206" s="4">
        <v>2.0000000000000001E-4</v>
      </c>
      <c r="P206" s="4">
        <v>124.58</v>
      </c>
      <c r="Q206" s="4">
        <v>0.17</v>
      </c>
      <c r="R206" s="45">
        <f>P206*E206/G206^3</f>
        <v>0.24213799805636541</v>
      </c>
      <c r="S206" s="22">
        <f>Q206*E206/G206^3</f>
        <v>3.304178814382896E-4</v>
      </c>
    </row>
    <row r="207" spans="1:19">
      <c r="A207" s="23" t="s">
        <v>810</v>
      </c>
      <c r="B207" s="4" t="s">
        <v>1107</v>
      </c>
      <c r="D207" s="4">
        <v>0.5</v>
      </c>
      <c r="E207" s="4">
        <v>18</v>
      </c>
      <c r="F207" s="4">
        <v>7</v>
      </c>
      <c r="G207" s="4">
        <v>21</v>
      </c>
      <c r="H207" s="4">
        <v>4.6296999999999997</v>
      </c>
      <c r="I207" s="4">
        <v>4.0000000000000002E-4</v>
      </c>
      <c r="J207" s="4">
        <v>-28.233000000000001</v>
      </c>
      <c r="K207" s="4">
        <v>1.4E-3</v>
      </c>
      <c r="L207" s="4">
        <v>3.3000000000000002E-2</v>
      </c>
      <c r="M207" s="4">
        <v>8.9999999999999993E-3</v>
      </c>
      <c r="N207" s="4">
        <v>-7.4000000000000003E-3</v>
      </c>
      <c r="O207" s="4">
        <v>2.9999999999999997E-4</v>
      </c>
      <c r="P207" s="4">
        <v>122.35</v>
      </c>
      <c r="Q207" s="4">
        <v>0.25</v>
      </c>
      <c r="R207" s="4">
        <f t="shared" si="22"/>
        <v>0.23780369290573369</v>
      </c>
      <c r="S207" s="22">
        <f t="shared" si="23"/>
        <v>4.8590864917395527E-4</v>
      </c>
    </row>
    <row r="208" spans="1:19">
      <c r="A208" s="44" t="s">
        <v>811</v>
      </c>
      <c r="B208" s="45" t="s">
        <v>1108</v>
      </c>
      <c r="C208" s="45"/>
      <c r="D208" s="45">
        <v>0.25</v>
      </c>
      <c r="E208" s="4">
        <v>18</v>
      </c>
      <c r="F208" s="4">
        <v>7</v>
      </c>
      <c r="G208" s="4">
        <v>21</v>
      </c>
      <c r="H208" s="45">
        <v>5.8072999999999997</v>
      </c>
      <c r="I208" s="4">
        <v>1E-3</v>
      </c>
      <c r="J208" s="45">
        <v>-35.604399999999998</v>
      </c>
      <c r="K208" s="4">
        <v>1E-3</v>
      </c>
      <c r="L208" s="4">
        <v>3.3000000000000002E-2</v>
      </c>
      <c r="M208" s="4">
        <v>1.6E-2</v>
      </c>
      <c r="N208" s="4">
        <v>-5.7999999999999996E-3</v>
      </c>
      <c r="O208" s="4">
        <v>2.0000000000000001E-4</v>
      </c>
      <c r="P208" s="4">
        <v>124.27</v>
      </c>
      <c r="Q208" s="4">
        <v>0.24</v>
      </c>
      <c r="R208" s="45">
        <f>P208*E208/G208^3</f>
        <v>0.24153547133138972</v>
      </c>
      <c r="S208" s="22">
        <f>Q208*E208/G208^3</f>
        <v>4.6647230320699711E-4</v>
      </c>
    </row>
    <row r="209" spans="1:19">
      <c r="A209" s="23" t="s">
        <v>811</v>
      </c>
      <c r="B209" s="4" t="s">
        <v>1108</v>
      </c>
      <c r="D209" s="4">
        <v>0.5</v>
      </c>
      <c r="E209" s="4">
        <v>18</v>
      </c>
      <c r="F209" s="4">
        <v>7</v>
      </c>
      <c r="G209" s="4">
        <v>21</v>
      </c>
      <c r="H209" s="4">
        <v>4.5998999999999999</v>
      </c>
      <c r="I209" s="4">
        <v>8.0000000000000004E-4</v>
      </c>
      <c r="J209" s="4">
        <v>-28.251799999999999</v>
      </c>
      <c r="K209" s="4">
        <v>8.9999999999999998E-4</v>
      </c>
      <c r="L209" s="4">
        <v>4.5999999999999999E-2</v>
      </c>
      <c r="M209" s="4">
        <v>0.01</v>
      </c>
      <c r="N209" s="4">
        <v>-8.2000000000000007E-3</v>
      </c>
      <c r="O209" s="4">
        <v>2.0000000000000001E-4</v>
      </c>
      <c r="P209" s="4">
        <v>121.21</v>
      </c>
      <c r="Q209" s="4">
        <v>0.22</v>
      </c>
      <c r="R209" s="4">
        <f t="shared" si="22"/>
        <v>0.23558794946550046</v>
      </c>
      <c r="S209" s="22">
        <f t="shared" si="23"/>
        <v>4.2759961127308068E-4</v>
      </c>
    </row>
    <row r="210" spans="1:19">
      <c r="A210" s="44" t="s">
        <v>812</v>
      </c>
      <c r="B210" s="45" t="s">
        <v>1109</v>
      </c>
      <c r="C210" s="45"/>
      <c r="D210" s="45">
        <v>0.25</v>
      </c>
      <c r="E210" s="4">
        <v>18</v>
      </c>
      <c r="F210" s="4">
        <v>7</v>
      </c>
      <c r="G210" s="4">
        <v>21</v>
      </c>
      <c r="H210" s="45">
        <v>5.7657999999999996</v>
      </c>
      <c r="I210" s="4">
        <v>2.9999999999999997E-4</v>
      </c>
      <c r="J210" s="45">
        <v>-35.676699999999997</v>
      </c>
      <c r="K210" s="4">
        <v>1.5E-3</v>
      </c>
      <c r="L210" s="4">
        <v>4.4999999999999998E-2</v>
      </c>
      <c r="M210" s="4">
        <v>8.9999999999999993E-3</v>
      </c>
      <c r="N210" s="4">
        <v>-5.7999999999999996E-3</v>
      </c>
      <c r="O210" s="4">
        <v>1E-4</v>
      </c>
      <c r="P210" s="4">
        <v>124.26</v>
      </c>
      <c r="Q210" s="4">
        <v>0.17</v>
      </c>
      <c r="R210" s="45">
        <f>P210*E210/G210^3</f>
        <v>0.24151603498542276</v>
      </c>
      <c r="S210" s="22">
        <f>Q210*E210/G210^3</f>
        <v>3.304178814382896E-4</v>
      </c>
    </row>
    <row r="211" spans="1:19">
      <c r="A211" s="23" t="s">
        <v>812</v>
      </c>
      <c r="B211" s="4" t="s">
        <v>1109</v>
      </c>
      <c r="D211" s="4">
        <v>0.5</v>
      </c>
      <c r="E211" s="4">
        <v>18</v>
      </c>
      <c r="F211" s="4">
        <v>7</v>
      </c>
      <c r="G211" s="4">
        <v>21</v>
      </c>
      <c r="H211" s="4">
        <v>4.5082000000000004</v>
      </c>
      <c r="I211" s="4">
        <v>5.0000000000000001E-4</v>
      </c>
      <c r="J211" s="4">
        <v>-28.527200000000001</v>
      </c>
      <c r="K211" s="4">
        <v>1.1999999999999999E-3</v>
      </c>
      <c r="L211" s="4">
        <v>8.5999999999999993E-2</v>
      </c>
      <c r="M211" s="4">
        <v>1.9E-2</v>
      </c>
      <c r="N211" s="4">
        <v>-9.1999999999999998E-3</v>
      </c>
      <c r="O211" s="4">
        <v>4.0000000000000002E-4</v>
      </c>
      <c r="P211" s="4">
        <v>119.02</v>
      </c>
      <c r="Q211" s="4">
        <v>0.45</v>
      </c>
      <c r="R211" s="4">
        <f t="shared" si="22"/>
        <v>0.23133138969873665</v>
      </c>
      <c r="S211" s="22">
        <f t="shared" si="23"/>
        <v>8.7463556851311952E-4</v>
      </c>
    </row>
    <row r="212" spans="1:19">
      <c r="A212" s="44" t="s">
        <v>813</v>
      </c>
      <c r="B212" s="45" t="s">
        <v>1110</v>
      </c>
      <c r="C212" s="45"/>
      <c r="D212" s="45">
        <v>0.25</v>
      </c>
      <c r="E212" s="4">
        <v>18</v>
      </c>
      <c r="F212" s="4">
        <v>7</v>
      </c>
      <c r="G212" s="4">
        <v>21</v>
      </c>
      <c r="H212" s="45">
        <v>5.7816000000000001</v>
      </c>
      <c r="I212" s="4">
        <v>8.0000000000000004E-4</v>
      </c>
      <c r="J212" s="45">
        <v>-35.614400000000003</v>
      </c>
      <c r="K212" s="4">
        <v>2.0999999999999999E-3</v>
      </c>
      <c r="L212" s="4">
        <v>3.3000000000000002E-2</v>
      </c>
      <c r="M212" s="4">
        <v>5.0000000000000001E-3</v>
      </c>
      <c r="N212" s="4">
        <v>-5.5999999999999999E-3</v>
      </c>
      <c r="O212" s="4">
        <v>0</v>
      </c>
      <c r="P212" s="4">
        <v>124.8</v>
      </c>
      <c r="Q212" s="4">
        <v>0.03</v>
      </c>
      <c r="R212" s="45">
        <f>P212*E212/G212^3</f>
        <v>0.24256559766763849</v>
      </c>
      <c r="S212" s="22">
        <f>Q212*E212/G212^3</f>
        <v>5.8309037900874639E-5</v>
      </c>
    </row>
    <row r="213" spans="1:19">
      <c r="A213" s="23" t="s">
        <v>813</v>
      </c>
      <c r="B213" s="4" t="s">
        <v>1110</v>
      </c>
      <c r="D213" s="4">
        <v>0.5</v>
      </c>
      <c r="E213" s="4">
        <v>18</v>
      </c>
      <c r="F213" s="4">
        <v>7</v>
      </c>
      <c r="G213" s="4">
        <v>21</v>
      </c>
      <c r="H213" s="4">
        <v>4.5457000000000001</v>
      </c>
      <c r="I213" s="4">
        <v>2.9999999999999997E-4</v>
      </c>
      <c r="J213" s="4">
        <v>-28.261099999999999</v>
      </c>
      <c r="K213" s="4">
        <v>2.0999999999999999E-3</v>
      </c>
      <c r="L213" s="4">
        <v>5.3999999999999999E-2</v>
      </c>
      <c r="M213" s="4">
        <v>1.7999999999999999E-2</v>
      </c>
      <c r="N213" s="4">
        <v>-8.3000000000000001E-3</v>
      </c>
      <c r="O213" s="4">
        <v>5.9999999999999995E-4</v>
      </c>
      <c r="P213" s="4">
        <v>121.68</v>
      </c>
      <c r="Q213" s="4">
        <v>0.49</v>
      </c>
      <c r="R213" s="4">
        <f t="shared" si="22"/>
        <v>0.23650145772594755</v>
      </c>
      <c r="S213" s="22">
        <f t="shared" si="23"/>
        <v>9.5238095238095238E-4</v>
      </c>
    </row>
    <row r="214" spans="1:19">
      <c r="A214" s="44" t="s">
        <v>814</v>
      </c>
      <c r="B214" s="45" t="s">
        <v>1111</v>
      </c>
      <c r="C214" s="45"/>
      <c r="D214" s="45">
        <v>0.25</v>
      </c>
      <c r="E214" s="4">
        <v>18</v>
      </c>
      <c r="F214" s="4">
        <v>7</v>
      </c>
      <c r="G214" s="4">
        <v>21</v>
      </c>
      <c r="H214" s="45">
        <v>5.8097000000000003</v>
      </c>
      <c r="I214" s="4">
        <v>8.0000000000000004E-4</v>
      </c>
      <c r="J214" s="45">
        <v>-35.484099999999998</v>
      </c>
      <c r="K214" s="4">
        <v>2E-3</v>
      </c>
      <c r="L214" s="4">
        <v>3.3000000000000002E-2</v>
      </c>
      <c r="M214" s="4">
        <v>8.0000000000000002E-3</v>
      </c>
      <c r="N214" s="4">
        <v>-5.7999999999999996E-3</v>
      </c>
      <c r="O214" s="4">
        <v>1E-4</v>
      </c>
      <c r="P214" s="4">
        <v>124.37</v>
      </c>
      <c r="Q214" s="4">
        <v>0.12</v>
      </c>
      <c r="R214" s="45">
        <f>P214*E214/G214^3</f>
        <v>0.24172983479105928</v>
      </c>
      <c r="S214" s="22">
        <f>Q214*E214/G214^3</f>
        <v>2.3323615160349855E-4</v>
      </c>
    </row>
    <row r="215" spans="1:19">
      <c r="A215" s="23" t="s">
        <v>814</v>
      </c>
      <c r="B215" s="4" t="s">
        <v>1111</v>
      </c>
      <c r="D215" s="4">
        <v>0.5</v>
      </c>
      <c r="E215" s="4">
        <v>18</v>
      </c>
      <c r="F215" s="4">
        <v>7</v>
      </c>
      <c r="G215" s="4">
        <v>21</v>
      </c>
      <c r="H215" s="4">
        <v>4.6085000000000003</v>
      </c>
      <c r="I215" s="4">
        <v>8.0000000000000004E-4</v>
      </c>
      <c r="J215" s="4">
        <v>-27.955300000000001</v>
      </c>
      <c r="K215" s="4">
        <v>2.0999999999999999E-3</v>
      </c>
      <c r="L215" s="4">
        <v>4.5999999999999999E-2</v>
      </c>
      <c r="M215" s="4">
        <v>0.01</v>
      </c>
      <c r="N215" s="4">
        <v>-7.7000000000000002E-3</v>
      </c>
      <c r="O215" s="4">
        <v>2.9999999999999997E-4</v>
      </c>
      <c r="P215" s="4">
        <v>122.09</v>
      </c>
      <c r="Q215" s="4">
        <v>0.37</v>
      </c>
      <c r="R215" s="4">
        <f t="shared" si="22"/>
        <v>0.23729834791059279</v>
      </c>
      <c r="S215" s="22">
        <f t="shared" si="23"/>
        <v>7.1914480077745391E-4</v>
      </c>
    </row>
    <row r="216" spans="1:19">
      <c r="A216" s="44" t="s">
        <v>815</v>
      </c>
      <c r="B216" s="45" t="s">
        <v>1112</v>
      </c>
      <c r="C216" s="45"/>
      <c r="D216" s="45">
        <v>0.25</v>
      </c>
      <c r="E216" s="4">
        <v>18</v>
      </c>
      <c r="F216" s="4">
        <v>7</v>
      </c>
      <c r="G216" s="4">
        <v>21</v>
      </c>
      <c r="H216" s="45">
        <v>5.8129999999999997</v>
      </c>
      <c r="I216" s="4">
        <v>5.0000000000000001E-4</v>
      </c>
      <c r="J216" s="45">
        <v>-35.654899999999998</v>
      </c>
      <c r="K216" s="4">
        <v>1.1000000000000001E-3</v>
      </c>
      <c r="L216" s="4">
        <v>6.3E-2</v>
      </c>
      <c r="M216" s="4">
        <v>8.9999999999999993E-3</v>
      </c>
      <c r="N216" s="4">
        <v>-5.7000000000000002E-3</v>
      </c>
      <c r="O216" s="4">
        <v>2.9999999999999997E-4</v>
      </c>
      <c r="P216" s="4">
        <v>124.45</v>
      </c>
      <c r="Q216" s="4">
        <v>0.35</v>
      </c>
      <c r="R216" s="45">
        <f>P216*E216/G216^3</f>
        <v>0.24188532555879494</v>
      </c>
      <c r="S216" s="22">
        <f>Q216*E216/G216^3</f>
        <v>6.8027210884353737E-4</v>
      </c>
    </row>
    <row r="217" spans="1:19">
      <c r="A217" s="23" t="s">
        <v>815</v>
      </c>
      <c r="B217" s="4" t="s">
        <v>1112</v>
      </c>
      <c r="D217" s="4">
        <v>0.5</v>
      </c>
      <c r="E217" s="4">
        <v>18</v>
      </c>
      <c r="F217" s="4">
        <v>7</v>
      </c>
      <c r="G217" s="4">
        <v>21</v>
      </c>
      <c r="H217" s="4">
        <v>4.6098999999999997</v>
      </c>
      <c r="I217" s="4">
        <v>5.9999999999999995E-4</v>
      </c>
      <c r="J217" s="4">
        <v>-28.314800000000002</v>
      </c>
      <c r="K217" s="4">
        <v>5.9999999999999995E-4</v>
      </c>
      <c r="L217" s="4">
        <v>3.4000000000000002E-2</v>
      </c>
      <c r="M217" s="4">
        <v>1.0999999999999999E-2</v>
      </c>
      <c r="N217" s="4">
        <v>-7.7000000000000002E-3</v>
      </c>
      <c r="O217" s="4">
        <v>2.0000000000000001E-4</v>
      </c>
      <c r="P217" s="4">
        <v>122</v>
      </c>
      <c r="Q217" s="4">
        <v>0.11</v>
      </c>
      <c r="R217" s="4">
        <f t="shared" si="22"/>
        <v>0.23712342079689019</v>
      </c>
      <c r="S217" s="22">
        <f t="shared" si="23"/>
        <v>2.1379980563654034E-4</v>
      </c>
    </row>
    <row r="218" spans="1:19" ht="17" thickBot="1">
      <c r="A218" s="134" t="s">
        <v>816</v>
      </c>
      <c r="B218" s="122" t="s">
        <v>1113</v>
      </c>
      <c r="C218" s="123" t="s">
        <v>17</v>
      </c>
      <c r="D218" s="123">
        <v>0.25</v>
      </c>
      <c r="E218" s="10">
        <v>18</v>
      </c>
      <c r="F218" s="10">
        <v>7</v>
      </c>
      <c r="G218" s="10">
        <v>21</v>
      </c>
      <c r="H218" s="123">
        <v>5.8226000000000004</v>
      </c>
      <c r="I218" s="10">
        <v>5.9999999999999995E-4</v>
      </c>
      <c r="J218" s="123">
        <v>-36.309199999999997</v>
      </c>
      <c r="K218" s="10">
        <v>1.9E-3</v>
      </c>
      <c r="L218" s="10">
        <v>4.5999999999999999E-2</v>
      </c>
      <c r="M218" s="10">
        <v>1.7999999999999999E-2</v>
      </c>
      <c r="N218" s="10">
        <v>-6.6E-3</v>
      </c>
      <c r="O218" s="10">
        <v>2.0000000000000001E-4</v>
      </c>
      <c r="P218" s="10">
        <v>121.66</v>
      </c>
      <c r="Q218" s="10">
        <v>0.22</v>
      </c>
      <c r="R218" s="123">
        <f>P218*E218/G218^3</f>
        <v>0.23646258503401363</v>
      </c>
      <c r="S218" s="26">
        <f>Q218*E218/G218^3</f>
        <v>4.2759961127308068E-4</v>
      </c>
    </row>
    <row r="219" spans="1:19" ht="17" thickTop="1">
      <c r="A219" s="102" t="s">
        <v>817</v>
      </c>
      <c r="B219" s="119" t="s">
        <v>1114</v>
      </c>
      <c r="C219" s="119"/>
      <c r="D219" s="119">
        <v>0.25</v>
      </c>
      <c r="E219" s="7">
        <v>18</v>
      </c>
      <c r="F219" s="7">
        <v>8</v>
      </c>
      <c r="G219" s="7">
        <v>21</v>
      </c>
      <c r="H219" s="119">
        <v>5.9291999999999998</v>
      </c>
      <c r="I219" s="7">
        <v>8.0000000000000004E-4</v>
      </c>
      <c r="J219" s="119">
        <v>-36.659399999999998</v>
      </c>
      <c r="K219" s="7">
        <v>2E-3</v>
      </c>
      <c r="L219" s="7">
        <v>3.6999999999999998E-2</v>
      </c>
      <c r="M219" s="7">
        <v>8.0000000000000002E-3</v>
      </c>
      <c r="N219" s="7">
        <v>-5.5999999999999999E-3</v>
      </c>
      <c r="O219" s="7">
        <v>1E-4</v>
      </c>
      <c r="P219" s="7">
        <v>124.74</v>
      </c>
      <c r="Q219" s="7">
        <v>0.08</v>
      </c>
      <c r="R219" s="119">
        <f>P219*E219/G219^3</f>
        <v>0.2424489795918367</v>
      </c>
      <c r="S219" s="18">
        <f>Q219*E219/G219^3</f>
        <v>1.5549076773566569E-4</v>
      </c>
    </row>
    <row r="220" spans="1:19">
      <c r="A220" s="23" t="s">
        <v>817</v>
      </c>
      <c r="B220" s="4" t="s">
        <v>1114</v>
      </c>
      <c r="D220" s="4">
        <v>0.5</v>
      </c>
      <c r="E220" s="4">
        <v>18</v>
      </c>
      <c r="F220" s="4">
        <v>8</v>
      </c>
      <c r="G220" s="4">
        <v>21</v>
      </c>
      <c r="H220" s="4">
        <v>4.8593999999999999</v>
      </c>
      <c r="I220" s="4">
        <v>5.0000000000000001E-4</v>
      </c>
      <c r="J220" s="4">
        <v>-30.2883</v>
      </c>
      <c r="K220" s="4">
        <v>1.8E-3</v>
      </c>
      <c r="L220" s="4">
        <v>0.65400000000000003</v>
      </c>
      <c r="M220" s="4">
        <v>1.2999999999999999E-2</v>
      </c>
      <c r="N220" s="4">
        <v>-2.0000000000000001E-4</v>
      </c>
      <c r="O220" s="4">
        <v>2.0000000000000001E-4</v>
      </c>
      <c r="P220" s="4">
        <v>122.67</v>
      </c>
      <c r="Q220" s="4">
        <v>0.23</v>
      </c>
      <c r="R220" s="4">
        <f t="shared" ref="R220:R290" si="24">P220*E220/G220^3</f>
        <v>0.23842565597667639</v>
      </c>
      <c r="S220" s="22">
        <f t="shared" ref="S220:S290" si="25">Q220*E220/G220^3</f>
        <v>4.4703595724003895E-4</v>
      </c>
    </row>
    <row r="221" spans="1:19">
      <c r="A221" s="28" t="s">
        <v>817</v>
      </c>
      <c r="B221" s="29" t="s">
        <v>1114</v>
      </c>
      <c r="C221" s="29"/>
      <c r="D221" s="29">
        <v>0.75</v>
      </c>
      <c r="E221" s="4">
        <v>18</v>
      </c>
      <c r="F221" s="4">
        <v>8</v>
      </c>
      <c r="G221" s="4">
        <v>21</v>
      </c>
      <c r="H221" s="29">
        <v>3.7488000000000001</v>
      </c>
      <c r="I221" s="4">
        <v>5.9999999999999995E-4</v>
      </c>
      <c r="J221" s="29">
        <v>-24.500599999999999</v>
      </c>
      <c r="K221" s="4">
        <v>5.0000000000000001E-4</v>
      </c>
      <c r="L221" s="4">
        <v>0.13500000000000001</v>
      </c>
      <c r="M221" s="4">
        <v>1.7000000000000001E-2</v>
      </c>
      <c r="N221" s="4">
        <v>-1.29E-2</v>
      </c>
      <c r="O221" s="4">
        <v>4.0000000000000002E-4</v>
      </c>
      <c r="P221" s="4">
        <v>112.94</v>
      </c>
      <c r="Q221" s="4">
        <v>0.44</v>
      </c>
      <c r="R221" s="29">
        <f t="shared" si="24"/>
        <v>0.21951409135082606</v>
      </c>
      <c r="S221" s="22">
        <f t="shared" si="25"/>
        <v>8.5519922254616136E-4</v>
      </c>
    </row>
    <row r="222" spans="1:19">
      <c r="A222" s="44" t="s">
        <v>818</v>
      </c>
      <c r="B222" s="45" t="s">
        <v>1115</v>
      </c>
      <c r="C222" s="45"/>
      <c r="D222" s="45">
        <v>0.25</v>
      </c>
      <c r="E222" s="4">
        <v>18</v>
      </c>
      <c r="F222" s="4">
        <v>8</v>
      </c>
      <c r="G222" s="4">
        <v>21</v>
      </c>
      <c r="H222" s="48">
        <v>5.9615999999999998</v>
      </c>
      <c r="I222" s="4">
        <v>5.9999999999999995E-4</v>
      </c>
      <c r="J222" s="45">
        <v>-36.6952</v>
      </c>
      <c r="K222" s="4">
        <v>1.6000000000000001E-3</v>
      </c>
      <c r="L222" s="4">
        <v>2.7E-2</v>
      </c>
      <c r="M222" s="4">
        <v>4.0000000000000001E-3</v>
      </c>
      <c r="N222" s="4">
        <v>-5.5999999999999999E-3</v>
      </c>
      <c r="O222" s="4">
        <v>1E-4</v>
      </c>
      <c r="P222" s="4">
        <v>124.62</v>
      </c>
      <c r="Q222" s="4">
        <v>0.09</v>
      </c>
      <c r="R222" s="45">
        <f>P222*E222/G222^3</f>
        <v>0.24221574344023322</v>
      </c>
      <c r="S222" s="22">
        <f>Q222*E222/G222^3</f>
        <v>1.7492711370262388E-4</v>
      </c>
    </row>
    <row r="223" spans="1:19">
      <c r="A223" s="23" t="s">
        <v>818</v>
      </c>
      <c r="B223" s="4" t="s">
        <v>1115</v>
      </c>
      <c r="D223" s="4">
        <v>0.5</v>
      </c>
      <c r="E223" s="4">
        <v>18</v>
      </c>
      <c r="F223" s="4">
        <v>8</v>
      </c>
      <c r="G223" s="4">
        <v>21</v>
      </c>
      <c r="H223" s="4">
        <v>4.9070999999999998</v>
      </c>
      <c r="I223" s="4">
        <v>8.9999999999999998E-4</v>
      </c>
      <c r="J223" s="4">
        <v>-30.366299999999999</v>
      </c>
      <c r="K223" s="4">
        <v>1.9E-3</v>
      </c>
      <c r="L223" s="4">
        <v>4.1000000000000002E-2</v>
      </c>
      <c r="M223" s="4">
        <v>3.0000000000000001E-3</v>
      </c>
      <c r="N223" s="4">
        <v>-7.1999999999999998E-3</v>
      </c>
      <c r="O223" s="4">
        <v>1E-4</v>
      </c>
      <c r="P223" s="4">
        <v>122.59</v>
      </c>
      <c r="Q223" s="4">
        <v>0.15</v>
      </c>
      <c r="R223" s="4">
        <f t="shared" si="24"/>
        <v>0.2382701652089407</v>
      </c>
      <c r="S223" s="22">
        <f t="shared" si="25"/>
        <v>2.9154518950437317E-4</v>
      </c>
    </row>
    <row r="224" spans="1:19">
      <c r="A224" s="28" t="s">
        <v>818</v>
      </c>
      <c r="B224" s="29" t="s">
        <v>1115</v>
      </c>
      <c r="C224" s="29"/>
      <c r="D224" s="29">
        <v>0.75</v>
      </c>
      <c r="E224" s="4">
        <v>18</v>
      </c>
      <c r="F224" s="4">
        <v>8</v>
      </c>
      <c r="G224" s="4">
        <v>21</v>
      </c>
      <c r="H224" s="29">
        <v>3.863</v>
      </c>
      <c r="I224" s="4">
        <v>8.0000000000000004E-4</v>
      </c>
      <c r="J224" s="29">
        <v>-24.42</v>
      </c>
      <c r="K224" s="4">
        <v>1.8E-3</v>
      </c>
      <c r="L224" s="4">
        <v>7.0000000000000007E-2</v>
      </c>
      <c r="M224" s="4">
        <v>1.4999999999999999E-2</v>
      </c>
      <c r="N224" s="4">
        <v>-1.04E-2</v>
      </c>
      <c r="O224" s="4">
        <v>1E-4</v>
      </c>
      <c r="P224" s="4">
        <v>116.31</v>
      </c>
      <c r="Q224" s="4">
        <v>0.03</v>
      </c>
      <c r="R224" s="29">
        <f t="shared" si="24"/>
        <v>0.22606413994169094</v>
      </c>
      <c r="S224" s="22">
        <f t="shared" si="25"/>
        <v>5.8309037900874639E-5</v>
      </c>
    </row>
    <row r="225" spans="1:19">
      <c r="A225" s="33" t="s">
        <v>818</v>
      </c>
      <c r="B225" s="34" t="s">
        <v>1115</v>
      </c>
      <c r="C225" s="34"/>
      <c r="D225" s="34">
        <v>1</v>
      </c>
      <c r="E225" s="4">
        <v>18</v>
      </c>
      <c r="F225" s="4">
        <v>8</v>
      </c>
      <c r="G225" s="4">
        <v>21</v>
      </c>
      <c r="H225" s="34">
        <v>2.8517000000000001</v>
      </c>
      <c r="I225" s="4">
        <v>8.0000000000000004E-4</v>
      </c>
      <c r="J225" s="34">
        <v>-19.587599999999998</v>
      </c>
      <c r="K225" s="4">
        <v>2.5000000000000001E-3</v>
      </c>
      <c r="L225" s="4">
        <v>0.14099999999999999</v>
      </c>
      <c r="M225" s="4">
        <v>0.01</v>
      </c>
      <c r="N225" s="4">
        <v>-2.0899999999999998E-2</v>
      </c>
      <c r="O225" s="4">
        <v>4.0000000000000002E-4</v>
      </c>
      <c r="P225" s="4">
        <v>95.16</v>
      </c>
      <c r="Q225" s="4">
        <v>0.44</v>
      </c>
      <c r="R225" s="34">
        <f t="shared" si="24"/>
        <v>0.18495626822157432</v>
      </c>
      <c r="S225" s="22">
        <f t="shared" si="25"/>
        <v>8.5519922254616136E-4</v>
      </c>
    </row>
    <row r="226" spans="1:19">
      <c r="A226" s="44" t="s">
        <v>819</v>
      </c>
      <c r="B226" s="45" t="s">
        <v>1116</v>
      </c>
      <c r="C226" s="45"/>
      <c r="D226" s="45">
        <v>0.25</v>
      </c>
      <c r="E226" s="4">
        <v>18</v>
      </c>
      <c r="F226" s="4">
        <v>8</v>
      </c>
      <c r="G226" s="4">
        <v>21</v>
      </c>
      <c r="H226" s="45">
        <v>5.9718</v>
      </c>
      <c r="I226" s="4">
        <v>2.9999999999999997E-4</v>
      </c>
      <c r="J226" s="45">
        <v>-36.770800000000001</v>
      </c>
      <c r="K226" s="4">
        <v>1.1999999999999999E-3</v>
      </c>
      <c r="L226" s="4">
        <v>2.9000000000000001E-2</v>
      </c>
      <c r="M226" s="4">
        <v>7.0000000000000001E-3</v>
      </c>
      <c r="N226" s="4">
        <v>-5.7000000000000002E-3</v>
      </c>
      <c r="O226" s="4">
        <v>1E-4</v>
      </c>
      <c r="P226" s="4">
        <v>123.94</v>
      </c>
      <c r="Q226" s="4">
        <v>0.14000000000000001</v>
      </c>
      <c r="R226" s="45">
        <f>P226*E226/G226^3</f>
        <v>0.24089407191448009</v>
      </c>
      <c r="S226" s="22">
        <f>Q226*E226/G226^3</f>
        <v>2.7210884353741501E-4</v>
      </c>
    </row>
    <row r="227" spans="1:19">
      <c r="A227" s="23" t="s">
        <v>819</v>
      </c>
      <c r="B227" s="4" t="s">
        <v>1116</v>
      </c>
      <c r="D227" s="4">
        <v>0.5</v>
      </c>
      <c r="E227" s="4">
        <v>18</v>
      </c>
      <c r="F227" s="4">
        <v>8</v>
      </c>
      <c r="G227" s="4">
        <v>21</v>
      </c>
      <c r="H227" s="4">
        <v>4.9221000000000004</v>
      </c>
      <c r="I227" s="4">
        <v>8.9999999999999998E-4</v>
      </c>
      <c r="J227" s="4">
        <v>-30.683800000000002</v>
      </c>
      <c r="K227" s="4">
        <v>2.8E-3</v>
      </c>
      <c r="L227" s="4">
        <v>5.7000000000000002E-2</v>
      </c>
      <c r="M227" s="4">
        <v>1.2999999999999999E-2</v>
      </c>
      <c r="N227" s="4">
        <v>-8.2000000000000007E-3</v>
      </c>
      <c r="O227" s="4">
        <v>4.0000000000000002E-4</v>
      </c>
      <c r="P227" s="4">
        <v>118.58</v>
      </c>
      <c r="Q227" s="4">
        <v>0.33</v>
      </c>
      <c r="R227" s="4">
        <f t="shared" si="24"/>
        <v>0.23047619047619047</v>
      </c>
      <c r="S227" s="22">
        <f t="shared" si="25"/>
        <v>6.4139941690962105E-4</v>
      </c>
    </row>
    <row r="228" spans="1:19">
      <c r="A228" s="28" t="s">
        <v>819</v>
      </c>
      <c r="B228" s="29" t="s">
        <v>1116</v>
      </c>
      <c r="C228" s="29"/>
      <c r="D228" s="29">
        <v>0.75</v>
      </c>
      <c r="E228" s="4">
        <v>18</v>
      </c>
      <c r="F228" s="4">
        <v>8</v>
      </c>
      <c r="G228" s="4">
        <v>21</v>
      </c>
      <c r="H228" s="29">
        <v>3.8424999999999998</v>
      </c>
      <c r="I228" s="4">
        <v>6.9999999999999999E-4</v>
      </c>
      <c r="J228" s="29">
        <v>-25.654599999999999</v>
      </c>
      <c r="K228" s="4">
        <v>1.6999999999999999E-3</v>
      </c>
      <c r="L228" s="4">
        <v>0.14000000000000001</v>
      </c>
      <c r="M228" s="4">
        <v>6.0000000000000001E-3</v>
      </c>
      <c r="N228" s="4">
        <v>-1.9800000000000002E-2</v>
      </c>
      <c r="O228" s="4">
        <v>1E-4</v>
      </c>
      <c r="P228" s="4">
        <v>92.14</v>
      </c>
      <c r="Q228" s="4">
        <v>0.09</v>
      </c>
      <c r="R228" s="29">
        <f t="shared" si="24"/>
        <v>0.17908649173955296</v>
      </c>
      <c r="S228" s="22">
        <f t="shared" si="25"/>
        <v>1.7492711370262388E-4</v>
      </c>
    </row>
    <row r="229" spans="1:19">
      <c r="A229" s="44" t="s">
        <v>820</v>
      </c>
      <c r="B229" s="45" t="s">
        <v>1117</v>
      </c>
      <c r="C229" s="45"/>
      <c r="D229" s="45">
        <v>0.25</v>
      </c>
      <c r="E229" s="4">
        <v>18</v>
      </c>
      <c r="F229" s="4">
        <v>8</v>
      </c>
      <c r="G229" s="4">
        <v>21</v>
      </c>
      <c r="H229" s="45">
        <v>5.968</v>
      </c>
      <c r="I229" s="4">
        <v>1E-3</v>
      </c>
      <c r="J229" s="45">
        <v>-36.7804</v>
      </c>
      <c r="K229" s="4">
        <v>1.1000000000000001E-3</v>
      </c>
      <c r="L229" s="4">
        <v>2.8000000000000001E-2</v>
      </c>
      <c r="M229" s="4">
        <v>1.4E-2</v>
      </c>
      <c r="N229" s="4">
        <v>-5.4999999999999997E-3</v>
      </c>
      <c r="O229" s="4">
        <v>2.0000000000000001E-4</v>
      </c>
      <c r="P229" s="4">
        <v>124.78</v>
      </c>
      <c r="Q229" s="4">
        <v>0.22</v>
      </c>
      <c r="R229" s="45">
        <f>P229*E229/G229^3</f>
        <v>0.24252672497570457</v>
      </c>
      <c r="S229" s="22">
        <f>Q229*E229/G229^3</f>
        <v>4.2759961127308068E-4</v>
      </c>
    </row>
    <row r="230" spans="1:19">
      <c r="A230" s="23" t="s">
        <v>820</v>
      </c>
      <c r="B230" s="4" t="s">
        <v>1117</v>
      </c>
      <c r="D230" s="4">
        <v>0.5</v>
      </c>
      <c r="E230" s="4">
        <v>18</v>
      </c>
      <c r="F230" s="4">
        <v>8</v>
      </c>
      <c r="G230" s="4">
        <v>21</v>
      </c>
      <c r="H230" s="4">
        <v>4.9173</v>
      </c>
      <c r="I230" s="4">
        <v>4.0000000000000002E-4</v>
      </c>
      <c r="J230" s="4">
        <v>-30.511700000000001</v>
      </c>
      <c r="K230" s="4">
        <v>1.5E-3</v>
      </c>
      <c r="L230" s="4">
        <v>5.8000000000000003E-2</v>
      </c>
      <c r="M230" s="4">
        <v>0.01</v>
      </c>
      <c r="N230" s="4">
        <v>-7.1999999999999998E-3</v>
      </c>
      <c r="O230" s="4">
        <v>2.0000000000000001E-4</v>
      </c>
      <c r="P230" s="4">
        <v>123.05</v>
      </c>
      <c r="Q230" s="4">
        <v>0.27</v>
      </c>
      <c r="R230" s="4">
        <f t="shared" si="24"/>
        <v>0.2391642371234208</v>
      </c>
      <c r="S230" s="22">
        <f t="shared" si="25"/>
        <v>5.2478134110787176E-4</v>
      </c>
    </row>
    <row r="231" spans="1:19">
      <c r="A231" s="28" t="s">
        <v>820</v>
      </c>
      <c r="B231" s="29" t="s">
        <v>1117</v>
      </c>
      <c r="C231" s="29"/>
      <c r="D231" s="29">
        <v>0.75</v>
      </c>
      <c r="E231" s="4">
        <v>18</v>
      </c>
      <c r="F231" s="4">
        <v>8</v>
      </c>
      <c r="G231" s="4">
        <v>21</v>
      </c>
      <c r="H231" s="29">
        <v>3.8763000000000001</v>
      </c>
      <c r="I231" s="4">
        <v>5.9999999999999995E-4</v>
      </c>
      <c r="J231" s="29">
        <v>-24.547899999999998</v>
      </c>
      <c r="K231" s="4">
        <v>1E-3</v>
      </c>
      <c r="L231" s="4">
        <v>6.0999999999999999E-2</v>
      </c>
      <c r="M231" s="4">
        <v>7.0000000000000001E-3</v>
      </c>
      <c r="N231" s="4">
        <v>-0.01</v>
      </c>
      <c r="O231" s="4">
        <v>2.9999999999999997E-4</v>
      </c>
      <c r="P231" s="4">
        <v>118.1</v>
      </c>
      <c r="Q231" s="4">
        <v>0.18</v>
      </c>
      <c r="R231" s="29">
        <f t="shared" si="24"/>
        <v>0.22954324586977645</v>
      </c>
      <c r="S231" s="22">
        <f t="shared" si="25"/>
        <v>3.4985422740524776E-4</v>
      </c>
    </row>
    <row r="232" spans="1:19">
      <c r="A232" s="33" t="s">
        <v>820</v>
      </c>
      <c r="B232" s="34" t="s">
        <v>1117</v>
      </c>
      <c r="C232" s="34"/>
      <c r="D232" s="34">
        <v>1</v>
      </c>
      <c r="E232" s="4">
        <v>18</v>
      </c>
      <c r="F232" s="4">
        <v>8</v>
      </c>
      <c r="G232" s="4">
        <v>21</v>
      </c>
      <c r="H232" s="34">
        <v>2.8563999999999998</v>
      </c>
      <c r="I232" s="4">
        <v>1E-3</v>
      </c>
      <c r="J232" s="34">
        <v>-19.395</v>
      </c>
      <c r="K232" s="4">
        <v>1.9E-3</v>
      </c>
      <c r="L232" s="4">
        <v>0.122</v>
      </c>
      <c r="M232" s="4">
        <v>3.2000000000000001E-2</v>
      </c>
      <c r="N232" s="4">
        <v>-1.9599999999999999E-2</v>
      </c>
      <c r="O232" s="4">
        <v>1.1999999999999999E-3</v>
      </c>
      <c r="P232" s="4">
        <v>100.86</v>
      </c>
      <c r="Q232" s="4">
        <v>1.46</v>
      </c>
      <c r="R232" s="34">
        <f t="shared" si="24"/>
        <v>0.19603498542274053</v>
      </c>
      <c r="S232" s="22">
        <f t="shared" si="25"/>
        <v>2.8377065111758991E-3</v>
      </c>
    </row>
    <row r="233" spans="1:19">
      <c r="A233" s="44" t="s">
        <v>821</v>
      </c>
      <c r="B233" s="45" t="s">
        <v>1118</v>
      </c>
      <c r="C233" s="45"/>
      <c r="D233" s="45">
        <v>0.25</v>
      </c>
      <c r="E233" s="4">
        <v>18</v>
      </c>
      <c r="F233" s="4">
        <v>8</v>
      </c>
      <c r="G233" s="4">
        <v>21</v>
      </c>
      <c r="H233" s="45">
        <v>5.9821</v>
      </c>
      <c r="I233" s="4">
        <v>4.0000000000000002E-4</v>
      </c>
      <c r="J233" s="45">
        <v>-36.743000000000002</v>
      </c>
      <c r="K233" s="4">
        <v>2.3999999999999998E-3</v>
      </c>
      <c r="L233" s="4">
        <v>3.3000000000000002E-2</v>
      </c>
      <c r="M233" s="4">
        <v>8.9999999999999993E-3</v>
      </c>
      <c r="N233" s="4">
        <v>-5.5999999999999999E-3</v>
      </c>
      <c r="O233" s="4">
        <v>2.0000000000000001E-4</v>
      </c>
      <c r="P233" s="4">
        <v>124.19</v>
      </c>
      <c r="Q233" s="4">
        <v>0.33</v>
      </c>
      <c r="R233" s="45">
        <f>P233*E233/G233^3</f>
        <v>0.24137998056365403</v>
      </c>
      <c r="S233" s="22">
        <f>Q233*E233/G233^3</f>
        <v>6.4139941690962105E-4</v>
      </c>
    </row>
    <row r="234" spans="1:19">
      <c r="A234" s="23" t="s">
        <v>821</v>
      </c>
      <c r="B234" s="4" t="s">
        <v>1118</v>
      </c>
      <c r="D234" s="4">
        <v>0.5</v>
      </c>
      <c r="E234" s="4">
        <v>18</v>
      </c>
      <c r="F234" s="4">
        <v>8</v>
      </c>
      <c r="G234" s="4">
        <v>21</v>
      </c>
      <c r="H234" s="4">
        <v>4.9458000000000002</v>
      </c>
      <c r="I234" s="4">
        <v>5.9999999999999995E-4</v>
      </c>
      <c r="J234" s="4">
        <v>-30.518599999999999</v>
      </c>
      <c r="K234" s="4">
        <v>8.0000000000000004E-4</v>
      </c>
      <c r="L234" s="4">
        <v>4.3999999999999997E-2</v>
      </c>
      <c r="M234" s="4">
        <v>3.7999999999999999E-2</v>
      </c>
      <c r="N234" s="4">
        <v>-7.4999999999999997E-3</v>
      </c>
      <c r="O234" s="4">
        <v>5.9999999999999995E-4</v>
      </c>
      <c r="P234" s="4">
        <v>120.86</v>
      </c>
      <c r="Q234" s="4">
        <v>0.31</v>
      </c>
      <c r="R234" s="4">
        <f t="shared" si="24"/>
        <v>0.23490767735665696</v>
      </c>
      <c r="S234" s="22">
        <f t="shared" si="25"/>
        <v>6.0252672497570462E-4</v>
      </c>
    </row>
    <row r="235" spans="1:19">
      <c r="A235" s="28" t="s">
        <v>821</v>
      </c>
      <c r="B235" s="29" t="s">
        <v>1118</v>
      </c>
      <c r="C235" s="29"/>
      <c r="D235" s="29">
        <v>0.75</v>
      </c>
      <c r="E235" s="4">
        <v>18</v>
      </c>
      <c r="F235" s="4">
        <v>8</v>
      </c>
      <c r="G235" s="4">
        <v>21</v>
      </c>
      <c r="H235" s="29">
        <v>3.9142999999999999</v>
      </c>
      <c r="I235" s="4">
        <v>2.9999999999999997E-4</v>
      </c>
      <c r="J235" s="29">
        <v>-24.834499999999998</v>
      </c>
      <c r="K235" s="4">
        <v>8.9999999999999998E-4</v>
      </c>
      <c r="L235" s="4">
        <v>0.1</v>
      </c>
      <c r="M235" s="4">
        <v>8.0000000000000002E-3</v>
      </c>
      <c r="N235" s="4">
        <v>-1.32E-2</v>
      </c>
      <c r="O235" s="4">
        <v>2.0000000000000001E-4</v>
      </c>
      <c r="P235" s="4">
        <v>108.71</v>
      </c>
      <c r="Q235" s="4">
        <v>0.17</v>
      </c>
      <c r="R235" s="29">
        <f t="shared" si="24"/>
        <v>0.21129251700680271</v>
      </c>
      <c r="S235" s="22">
        <f t="shared" si="25"/>
        <v>3.304178814382896E-4</v>
      </c>
    </row>
    <row r="236" spans="1:19">
      <c r="A236" s="44" t="s">
        <v>822</v>
      </c>
      <c r="B236" s="45" t="s">
        <v>1119</v>
      </c>
      <c r="C236" s="45"/>
      <c r="D236" s="45">
        <v>0.25</v>
      </c>
      <c r="E236" s="4">
        <v>18</v>
      </c>
      <c r="F236" s="4">
        <v>8</v>
      </c>
      <c r="G236" s="4">
        <v>21</v>
      </c>
      <c r="H236" s="45">
        <v>6.0256999999999996</v>
      </c>
      <c r="I236" s="4">
        <v>5.0000000000000001E-4</v>
      </c>
      <c r="J236" s="45">
        <v>-36.650799999999997</v>
      </c>
      <c r="K236" s="4">
        <v>1E-3</v>
      </c>
      <c r="L236" s="4">
        <v>1.9E-2</v>
      </c>
      <c r="M236" s="4">
        <v>2E-3</v>
      </c>
      <c r="N236" s="4">
        <v>-5.4999999999999997E-3</v>
      </c>
      <c r="O236" s="4">
        <v>1E-4</v>
      </c>
      <c r="P236" s="4">
        <v>123.66</v>
      </c>
      <c r="Q236" s="4">
        <v>0.06</v>
      </c>
      <c r="R236" s="45">
        <f>P236*E236/G236^3</f>
        <v>0.24034985422740526</v>
      </c>
      <c r="S236" s="22">
        <f>Q236*E236/G236^3</f>
        <v>1.1661807580174928E-4</v>
      </c>
    </row>
    <row r="237" spans="1:19">
      <c r="A237" s="23" t="s">
        <v>822</v>
      </c>
      <c r="B237" s="4" t="s">
        <v>1119</v>
      </c>
      <c r="D237" s="4">
        <v>0.5</v>
      </c>
      <c r="E237" s="4">
        <v>18</v>
      </c>
      <c r="F237" s="4">
        <v>8</v>
      </c>
      <c r="G237" s="4">
        <v>21</v>
      </c>
      <c r="H237" s="4">
        <v>5.0488999999999997</v>
      </c>
      <c r="I237" s="4">
        <v>6.9999999999999999E-4</v>
      </c>
      <c r="J237" s="4">
        <v>-30.505199999999999</v>
      </c>
      <c r="K237" s="4">
        <v>2.2000000000000001E-3</v>
      </c>
      <c r="L237" s="4">
        <v>1.9E-2</v>
      </c>
      <c r="M237" s="4">
        <v>7.0000000000000001E-3</v>
      </c>
      <c r="N237" s="4">
        <v>-7.6E-3</v>
      </c>
      <c r="O237" s="4">
        <v>2.0000000000000001E-4</v>
      </c>
      <c r="P237" s="4">
        <v>118.01</v>
      </c>
      <c r="Q237" s="4">
        <v>0.21</v>
      </c>
      <c r="R237" s="4">
        <f t="shared" si="24"/>
        <v>0.22936831875607389</v>
      </c>
      <c r="S237" s="22">
        <f t="shared" si="25"/>
        <v>4.0816326530612241E-4</v>
      </c>
    </row>
    <row r="238" spans="1:19">
      <c r="A238" s="28" t="s">
        <v>822</v>
      </c>
      <c r="B238" s="29" t="s">
        <v>1119</v>
      </c>
      <c r="C238" s="29"/>
      <c r="D238" s="29">
        <v>0.75</v>
      </c>
      <c r="E238" s="4">
        <v>18</v>
      </c>
      <c r="F238" s="4">
        <v>8</v>
      </c>
      <c r="G238" s="4">
        <v>21</v>
      </c>
      <c r="H238" s="29">
        <v>4.1689999999999996</v>
      </c>
      <c r="I238" s="4">
        <v>8.9999999999999998E-4</v>
      </c>
      <c r="J238" s="29">
        <v>-25.296199999999999</v>
      </c>
      <c r="K238" s="4">
        <v>2.7000000000000001E-3</v>
      </c>
      <c r="L238" s="4">
        <v>5.1999999999999998E-2</v>
      </c>
      <c r="M238" s="4">
        <v>0.03</v>
      </c>
      <c r="N238" s="4">
        <v>-1.26E-2</v>
      </c>
      <c r="O238" s="4">
        <v>2.0000000000000001E-4</v>
      </c>
      <c r="P238" s="4">
        <v>101.75</v>
      </c>
      <c r="Q238" s="4">
        <v>0.22</v>
      </c>
      <c r="R238" s="29">
        <f t="shared" si="24"/>
        <v>0.19776482021379982</v>
      </c>
      <c r="S238" s="22">
        <f t="shared" si="25"/>
        <v>4.2759961127308068E-4</v>
      </c>
    </row>
    <row r="239" spans="1:19">
      <c r="A239" s="44" t="s">
        <v>823</v>
      </c>
      <c r="B239" s="45" t="s">
        <v>1120</v>
      </c>
      <c r="C239" s="45"/>
      <c r="D239" s="45">
        <v>0.25</v>
      </c>
      <c r="E239" s="4">
        <v>18</v>
      </c>
      <c r="F239" s="4">
        <v>8</v>
      </c>
      <c r="G239" s="4">
        <v>21</v>
      </c>
      <c r="H239" s="45">
        <v>5.9794999999999998</v>
      </c>
      <c r="I239" s="4">
        <v>2.0000000000000001E-4</v>
      </c>
      <c r="J239" s="45">
        <v>-36.766399999999997</v>
      </c>
      <c r="K239" s="4">
        <v>1.4E-3</v>
      </c>
      <c r="L239" s="4">
        <v>2.8000000000000001E-2</v>
      </c>
      <c r="M239" s="4">
        <v>6.0000000000000001E-3</v>
      </c>
      <c r="N239" s="4">
        <v>-5.7999999999999996E-3</v>
      </c>
      <c r="O239" s="4">
        <v>1E-4</v>
      </c>
      <c r="P239" s="4">
        <v>123.77</v>
      </c>
      <c r="Q239" s="4">
        <v>0.08</v>
      </c>
      <c r="R239" s="45">
        <f>P239*E239/G239^3</f>
        <v>0.24056365403304181</v>
      </c>
      <c r="S239" s="22">
        <f>Q239*E239/G239^3</f>
        <v>1.5549076773566569E-4</v>
      </c>
    </row>
    <row r="240" spans="1:19">
      <c r="A240" s="23" t="s">
        <v>823</v>
      </c>
      <c r="B240" s="4" t="s">
        <v>1120</v>
      </c>
      <c r="D240" s="4">
        <v>0.5</v>
      </c>
      <c r="E240" s="4">
        <v>18</v>
      </c>
      <c r="F240" s="4">
        <v>8</v>
      </c>
      <c r="G240" s="4">
        <v>21</v>
      </c>
      <c r="H240" s="4">
        <v>4.9444999999999997</v>
      </c>
      <c r="I240" s="4">
        <v>8.0000000000000004E-4</v>
      </c>
      <c r="J240" s="4">
        <v>-30.7471</v>
      </c>
      <c r="K240" s="4">
        <v>1.1000000000000001E-3</v>
      </c>
      <c r="L240" s="4">
        <v>6.9000000000000006E-2</v>
      </c>
      <c r="M240" s="4">
        <v>8.9999999999999993E-3</v>
      </c>
      <c r="N240" s="4">
        <v>-7.9000000000000008E-3</v>
      </c>
      <c r="O240" s="4">
        <v>2.9999999999999997E-4</v>
      </c>
      <c r="P240" s="4">
        <v>118.42</v>
      </c>
      <c r="Q240" s="4">
        <v>0.23</v>
      </c>
      <c r="R240" s="4">
        <f t="shared" si="24"/>
        <v>0.23016520894071915</v>
      </c>
      <c r="S240" s="22">
        <f t="shared" si="25"/>
        <v>4.4703595724003895E-4</v>
      </c>
    </row>
    <row r="241" spans="1:19">
      <c r="A241" s="28" t="s">
        <v>823</v>
      </c>
      <c r="B241" s="29" t="s">
        <v>1120</v>
      </c>
      <c r="C241" s="29"/>
      <c r="D241" s="29">
        <v>0.75</v>
      </c>
      <c r="E241" s="4">
        <v>18</v>
      </c>
      <c r="F241" s="4">
        <v>8</v>
      </c>
      <c r="G241" s="4">
        <v>21</v>
      </c>
      <c r="H241" s="41">
        <v>3.9161999999999999</v>
      </c>
      <c r="I241" s="4">
        <v>6.9999999999999999E-4</v>
      </c>
      <c r="J241" s="29">
        <v>-25.970800000000001</v>
      </c>
      <c r="K241" s="4">
        <v>1.1000000000000001E-3</v>
      </c>
      <c r="L241" s="4">
        <v>0.152</v>
      </c>
      <c r="M241" s="4">
        <v>7.0000000000000001E-3</v>
      </c>
      <c r="N241" s="4">
        <v>-1.7899999999999999E-2</v>
      </c>
      <c r="O241" s="4">
        <v>1E-4</v>
      </c>
      <c r="P241" s="4">
        <v>93.79</v>
      </c>
      <c r="Q241" s="4">
        <v>0.1</v>
      </c>
      <c r="R241" s="29">
        <f t="shared" si="24"/>
        <v>0.18229348882410107</v>
      </c>
      <c r="S241" s="22">
        <f t="shared" si="25"/>
        <v>1.9436345966958212E-4</v>
      </c>
    </row>
    <row r="242" spans="1:19">
      <c r="A242" s="44" t="s">
        <v>824</v>
      </c>
      <c r="B242" s="45" t="s">
        <v>1121</v>
      </c>
      <c r="C242" s="45"/>
      <c r="D242" s="45">
        <v>0.25</v>
      </c>
      <c r="E242" s="4">
        <v>18</v>
      </c>
      <c r="F242" s="4">
        <v>8</v>
      </c>
      <c r="G242" s="4">
        <v>21</v>
      </c>
      <c r="H242" s="45">
        <v>5.9119999999999999</v>
      </c>
      <c r="I242" s="4">
        <v>1E-3</v>
      </c>
      <c r="J242" s="45">
        <v>-36.735300000000002</v>
      </c>
      <c r="K242" s="4">
        <v>1.1000000000000001E-3</v>
      </c>
      <c r="L242" s="4">
        <v>4.3999999999999997E-2</v>
      </c>
      <c r="M242" s="4">
        <v>8.9999999999999993E-3</v>
      </c>
      <c r="N242" s="4">
        <v>-5.7999999999999996E-3</v>
      </c>
      <c r="O242" s="4">
        <v>2.9999999999999997E-4</v>
      </c>
      <c r="P242" s="4">
        <v>124.08</v>
      </c>
      <c r="Q242" s="4">
        <v>0.34</v>
      </c>
      <c r="R242" s="45">
        <f>P242*E242/G242^3</f>
        <v>0.24116618075801749</v>
      </c>
      <c r="S242" s="22">
        <f>Q242*E242/G242^3</f>
        <v>6.6083576287657921E-4</v>
      </c>
    </row>
    <row r="243" spans="1:19">
      <c r="A243" s="23" t="s">
        <v>824</v>
      </c>
      <c r="B243" s="4" t="s">
        <v>1121</v>
      </c>
      <c r="D243" s="4">
        <v>0.5</v>
      </c>
      <c r="E243" s="4">
        <v>18</v>
      </c>
      <c r="F243" s="4">
        <v>8</v>
      </c>
      <c r="G243" s="4">
        <v>21</v>
      </c>
      <c r="H243" s="4">
        <v>4.7918000000000003</v>
      </c>
      <c r="I243" s="4">
        <v>1E-3</v>
      </c>
      <c r="J243" s="4">
        <v>-30.7407</v>
      </c>
      <c r="K243" s="4">
        <v>2.0999999999999999E-3</v>
      </c>
      <c r="L243" s="4">
        <v>0.105</v>
      </c>
      <c r="M243" s="4">
        <v>3.0000000000000001E-3</v>
      </c>
      <c r="N243" s="4">
        <v>-9.4000000000000004E-3</v>
      </c>
      <c r="O243" s="4">
        <v>2.0000000000000001E-4</v>
      </c>
      <c r="P243" s="4">
        <v>117.32</v>
      </c>
      <c r="Q243" s="4">
        <v>0.25</v>
      </c>
      <c r="R243" s="4">
        <f t="shared" si="24"/>
        <v>0.22802721088435371</v>
      </c>
      <c r="S243" s="22">
        <f t="shared" si="25"/>
        <v>4.8590864917395527E-4</v>
      </c>
    </row>
    <row r="244" spans="1:19">
      <c r="A244" s="44" t="s">
        <v>825</v>
      </c>
      <c r="B244" s="45" t="s">
        <v>1122</v>
      </c>
      <c r="C244" s="45"/>
      <c r="D244" s="45">
        <v>0.25</v>
      </c>
      <c r="E244" s="4">
        <v>18</v>
      </c>
      <c r="F244" s="4">
        <v>8</v>
      </c>
      <c r="G244" s="4">
        <v>21</v>
      </c>
      <c r="H244" s="48">
        <v>5.9535999999999998</v>
      </c>
      <c r="I244" s="4">
        <v>8.0000000000000004E-4</v>
      </c>
      <c r="J244" s="45">
        <v>-36.521500000000003</v>
      </c>
      <c r="K244" s="4">
        <v>8.9999999999999998E-4</v>
      </c>
      <c r="L244" s="4">
        <v>2.9000000000000001E-2</v>
      </c>
      <c r="M244" s="4">
        <v>0.01</v>
      </c>
      <c r="N244" s="4">
        <v>-5.5999999999999999E-3</v>
      </c>
      <c r="O244" s="4">
        <v>2.0000000000000001E-4</v>
      </c>
      <c r="P244" s="4">
        <v>124.59</v>
      </c>
      <c r="Q244" s="4">
        <v>0.23</v>
      </c>
      <c r="R244" s="45">
        <f>P244*E244/G244^3</f>
        <v>0.24215743440233234</v>
      </c>
      <c r="S244" s="22">
        <f>Q244*E244/G244^3</f>
        <v>4.4703595724003895E-4</v>
      </c>
    </row>
    <row r="245" spans="1:19">
      <c r="A245" s="23" t="s">
        <v>825</v>
      </c>
      <c r="B245" s="4" t="s">
        <v>1122</v>
      </c>
      <c r="D245" s="4">
        <v>0.5</v>
      </c>
      <c r="E245" s="4">
        <v>18</v>
      </c>
      <c r="F245" s="4">
        <v>8</v>
      </c>
      <c r="G245" s="4">
        <v>21</v>
      </c>
      <c r="H245" s="4">
        <v>4.8920000000000003</v>
      </c>
      <c r="I245" s="4">
        <v>6.9999999999999999E-4</v>
      </c>
      <c r="J245" s="4">
        <v>-30.004899999999999</v>
      </c>
      <c r="K245" s="4">
        <v>1.1000000000000001E-3</v>
      </c>
      <c r="L245" s="4">
        <v>3.5000000000000003E-2</v>
      </c>
      <c r="M245" s="4">
        <v>5.0000000000000001E-3</v>
      </c>
      <c r="N245" s="4">
        <v>-7.1999999999999998E-3</v>
      </c>
      <c r="O245" s="4">
        <v>1E-4</v>
      </c>
      <c r="P245" s="4">
        <v>122.79</v>
      </c>
      <c r="Q245" s="4">
        <v>0.23</v>
      </c>
      <c r="R245" s="4">
        <f t="shared" si="24"/>
        <v>0.2386588921282799</v>
      </c>
      <c r="S245" s="22">
        <f t="shared" si="25"/>
        <v>4.4703595724003895E-4</v>
      </c>
    </row>
    <row r="246" spans="1:19">
      <c r="A246" s="28" t="s">
        <v>825</v>
      </c>
      <c r="B246" s="29" t="s">
        <v>1122</v>
      </c>
      <c r="C246" s="29"/>
      <c r="D246" s="29">
        <v>0.75</v>
      </c>
      <c r="E246" s="4">
        <v>18</v>
      </c>
      <c r="F246" s="4">
        <v>8</v>
      </c>
      <c r="G246" s="4">
        <v>21</v>
      </c>
      <c r="H246" s="29">
        <v>3.8462999999999998</v>
      </c>
      <c r="I246" s="4">
        <v>6.9999999999999999E-4</v>
      </c>
      <c r="J246" s="29">
        <v>-23.8384</v>
      </c>
      <c r="K246" s="4">
        <v>2.2000000000000001E-3</v>
      </c>
      <c r="L246" s="4">
        <v>8.5000000000000006E-2</v>
      </c>
      <c r="M246" s="4">
        <v>8.0000000000000002E-3</v>
      </c>
      <c r="N246" s="4">
        <v>-1.0500000000000001E-2</v>
      </c>
      <c r="O246" s="4">
        <v>4.0000000000000002E-4</v>
      </c>
      <c r="P246" s="4">
        <v>117.07</v>
      </c>
      <c r="Q246" s="4">
        <v>0.28000000000000003</v>
      </c>
      <c r="R246" s="29">
        <f t="shared" si="24"/>
        <v>0.22754130223517977</v>
      </c>
      <c r="S246" s="22">
        <f t="shared" si="25"/>
        <v>5.4421768707483002E-4</v>
      </c>
    </row>
    <row r="247" spans="1:19">
      <c r="A247" s="33" t="s">
        <v>825</v>
      </c>
      <c r="B247" s="34" t="s">
        <v>1122</v>
      </c>
      <c r="C247" s="34"/>
      <c r="D247" s="34">
        <v>1</v>
      </c>
      <c r="E247" s="4">
        <v>18</v>
      </c>
      <c r="F247" s="4">
        <v>8</v>
      </c>
      <c r="G247" s="4">
        <v>21</v>
      </c>
      <c r="H247" s="34">
        <v>2.8454000000000002</v>
      </c>
      <c r="I247" s="4">
        <v>5.0000000000000001E-4</v>
      </c>
      <c r="J247" s="34">
        <v>-18.663699999999999</v>
      </c>
      <c r="K247" s="4">
        <v>2.3E-3</v>
      </c>
      <c r="L247" s="4">
        <v>0.11799999999999999</v>
      </c>
      <c r="M247" s="4">
        <v>8.9999999999999993E-3</v>
      </c>
      <c r="N247" s="4">
        <v>-1.9599999999999999E-2</v>
      </c>
      <c r="O247" s="4">
        <v>1E-4</v>
      </c>
      <c r="P247" s="4">
        <v>98.46</v>
      </c>
      <c r="Q247" s="4">
        <v>0.21</v>
      </c>
      <c r="R247" s="34">
        <f t="shared" si="24"/>
        <v>0.19137026239067056</v>
      </c>
      <c r="S247" s="22">
        <f t="shared" si="25"/>
        <v>4.0816326530612241E-4</v>
      </c>
    </row>
    <row r="248" spans="1:19">
      <c r="A248" s="44" t="s">
        <v>826</v>
      </c>
      <c r="B248" s="45" t="s">
        <v>1123</v>
      </c>
      <c r="C248" s="45"/>
      <c r="D248" s="45">
        <v>0.25</v>
      </c>
      <c r="E248" s="4">
        <v>18</v>
      </c>
      <c r="F248" s="4">
        <v>8</v>
      </c>
      <c r="G248" s="4">
        <v>21</v>
      </c>
      <c r="H248" s="45">
        <v>5.9360999999999997</v>
      </c>
      <c r="I248" s="4">
        <v>8.9999999999999998E-4</v>
      </c>
      <c r="J248" s="45">
        <v>-36.844700000000003</v>
      </c>
      <c r="K248" s="4">
        <v>1.8E-3</v>
      </c>
      <c r="L248" s="4">
        <v>0.04</v>
      </c>
      <c r="M248" s="4">
        <v>7.0000000000000001E-3</v>
      </c>
      <c r="N248" s="4">
        <v>-5.7000000000000002E-3</v>
      </c>
      <c r="O248" s="4">
        <v>2.9999999999999997E-4</v>
      </c>
      <c r="P248" s="4">
        <v>124.37</v>
      </c>
      <c r="Q248" s="4">
        <v>0.23</v>
      </c>
      <c r="R248" s="45">
        <f>P248*E248/G248^3</f>
        <v>0.24172983479105928</v>
      </c>
      <c r="S248" s="22">
        <f>Q248*E248/G248^3</f>
        <v>4.4703595724003895E-4</v>
      </c>
    </row>
    <row r="249" spans="1:19">
      <c r="A249" s="23" t="s">
        <v>826</v>
      </c>
      <c r="B249" s="4" t="s">
        <v>1123</v>
      </c>
      <c r="D249" s="4">
        <v>0.5</v>
      </c>
      <c r="E249" s="4">
        <v>18</v>
      </c>
      <c r="F249" s="4">
        <v>8</v>
      </c>
      <c r="G249" s="4">
        <v>21</v>
      </c>
      <c r="H249" s="4">
        <v>4.8494999999999999</v>
      </c>
      <c r="I249" s="4">
        <v>5.9999999999999995E-4</v>
      </c>
      <c r="J249" s="4">
        <v>-30.810500000000001</v>
      </c>
      <c r="K249" s="4">
        <v>1.8E-3</v>
      </c>
      <c r="L249" s="4">
        <v>6.9000000000000006E-2</v>
      </c>
      <c r="M249" s="4">
        <v>3.0000000000000001E-3</v>
      </c>
      <c r="N249" s="4">
        <v>-8.0999999999999996E-3</v>
      </c>
      <c r="O249" s="4">
        <v>4.0000000000000002E-4</v>
      </c>
      <c r="P249" s="4">
        <v>120.17</v>
      </c>
      <c r="Q249" s="4">
        <v>0.32</v>
      </c>
      <c r="R249" s="4">
        <f t="shared" si="24"/>
        <v>0.23356656948493681</v>
      </c>
      <c r="S249" s="22">
        <f t="shared" si="25"/>
        <v>6.2196307094266278E-4</v>
      </c>
    </row>
    <row r="250" spans="1:19">
      <c r="A250" s="28" t="s">
        <v>826</v>
      </c>
      <c r="B250" s="29" t="s">
        <v>1123</v>
      </c>
      <c r="C250" s="29"/>
      <c r="D250" s="29">
        <v>0.75</v>
      </c>
      <c r="E250" s="4">
        <v>18</v>
      </c>
      <c r="F250" s="4">
        <v>8</v>
      </c>
      <c r="G250" s="4">
        <v>21</v>
      </c>
      <c r="H250" s="41">
        <v>3.7252000000000001</v>
      </c>
      <c r="I250" s="4">
        <v>1E-3</v>
      </c>
      <c r="J250" s="29">
        <v>-25.748799999999999</v>
      </c>
      <c r="K250" s="4">
        <v>4.3E-3</v>
      </c>
      <c r="L250" s="4">
        <v>0.24399999999999999</v>
      </c>
      <c r="M250" s="4">
        <v>1.4E-2</v>
      </c>
      <c r="N250" s="4">
        <v>-1.77E-2</v>
      </c>
      <c r="O250" s="4">
        <v>4.0000000000000002E-4</v>
      </c>
      <c r="P250" s="4">
        <v>100.3</v>
      </c>
      <c r="Q250" s="4">
        <v>0.5</v>
      </c>
      <c r="R250" s="29">
        <f t="shared" si="24"/>
        <v>0.19494655004859085</v>
      </c>
      <c r="S250" s="22">
        <f t="shared" si="25"/>
        <v>9.7181729834791054E-4</v>
      </c>
    </row>
    <row r="251" spans="1:19">
      <c r="A251" s="44" t="s">
        <v>827</v>
      </c>
      <c r="B251" s="45" t="s">
        <v>1124</v>
      </c>
      <c r="C251" s="45"/>
      <c r="D251" s="45">
        <v>0.25</v>
      </c>
      <c r="E251" s="4">
        <v>18</v>
      </c>
      <c r="F251" s="4">
        <v>8</v>
      </c>
      <c r="G251" s="4">
        <v>21</v>
      </c>
      <c r="H251" s="45">
        <v>5.9832999999999998</v>
      </c>
      <c r="I251" s="4">
        <v>4.0000000000000002E-4</v>
      </c>
      <c r="J251" s="45">
        <v>-36.713099999999997</v>
      </c>
      <c r="K251" s="4">
        <v>1.6000000000000001E-3</v>
      </c>
      <c r="L251" s="4">
        <v>2.4E-2</v>
      </c>
      <c r="M251" s="4">
        <v>1E-3</v>
      </c>
      <c r="N251" s="4">
        <v>-5.4999999999999997E-3</v>
      </c>
      <c r="O251" s="4">
        <v>1E-4</v>
      </c>
      <c r="P251" s="4">
        <v>124.47</v>
      </c>
      <c r="Q251" s="4">
        <v>0.12</v>
      </c>
      <c r="R251" s="45">
        <f>P251*E251/G251^3</f>
        <v>0.24192419825072886</v>
      </c>
      <c r="S251" s="22">
        <f>Q251*E251/G251^3</f>
        <v>2.3323615160349855E-4</v>
      </c>
    </row>
    <row r="252" spans="1:19">
      <c r="A252" s="23" t="s">
        <v>827</v>
      </c>
      <c r="B252" s="4" t="s">
        <v>1124</v>
      </c>
      <c r="D252" s="4">
        <v>0.5</v>
      </c>
      <c r="E252" s="4">
        <v>18</v>
      </c>
      <c r="F252" s="4">
        <v>8</v>
      </c>
      <c r="G252" s="4">
        <v>21</v>
      </c>
      <c r="H252" s="4">
        <v>4.9504000000000001</v>
      </c>
      <c r="I252" s="4">
        <v>2.0000000000000001E-4</v>
      </c>
      <c r="J252" s="4">
        <v>-30.434699999999999</v>
      </c>
      <c r="K252" s="4">
        <v>6.9999999999999999E-4</v>
      </c>
      <c r="L252" s="4">
        <v>0.03</v>
      </c>
      <c r="M252" s="4">
        <v>5.0000000000000001E-3</v>
      </c>
      <c r="N252" s="4">
        <v>-7.3000000000000001E-3</v>
      </c>
      <c r="O252" s="4">
        <v>1E-4</v>
      </c>
      <c r="P252" s="4">
        <v>121.78</v>
      </c>
      <c r="Q252" s="4">
        <v>0.05</v>
      </c>
      <c r="R252" s="4">
        <f t="shared" si="24"/>
        <v>0.23669582118561711</v>
      </c>
      <c r="S252" s="22">
        <f t="shared" si="25"/>
        <v>9.7181729834791062E-5</v>
      </c>
    </row>
    <row r="253" spans="1:19">
      <c r="A253" s="28" t="s">
        <v>827</v>
      </c>
      <c r="B253" s="29" t="s">
        <v>1124</v>
      </c>
      <c r="C253" s="29"/>
      <c r="D253" s="29">
        <v>0.75</v>
      </c>
      <c r="E253" s="4">
        <v>18</v>
      </c>
      <c r="F253" s="4">
        <v>8</v>
      </c>
      <c r="G253" s="4">
        <v>21</v>
      </c>
      <c r="H253" s="29">
        <v>3.9325000000000001</v>
      </c>
      <c r="I253" s="4">
        <v>1E-3</v>
      </c>
      <c r="J253" s="29">
        <v>-24.601600000000001</v>
      </c>
      <c r="K253" s="4">
        <v>3.0000000000000001E-3</v>
      </c>
      <c r="L253" s="4">
        <v>7.2999999999999995E-2</v>
      </c>
      <c r="M253" s="4">
        <v>2.8000000000000001E-2</v>
      </c>
      <c r="N253" s="4">
        <v>-1.0699999999999999E-2</v>
      </c>
      <c r="O253" s="4">
        <v>2.9999999999999997E-4</v>
      </c>
      <c r="P253" s="4">
        <v>113.66</v>
      </c>
      <c r="Q253" s="4">
        <v>0.37</v>
      </c>
      <c r="R253" s="29">
        <f t="shared" si="24"/>
        <v>0.22091350826044703</v>
      </c>
      <c r="S253" s="22">
        <f t="shared" si="25"/>
        <v>7.1914480077745391E-4</v>
      </c>
    </row>
    <row r="254" spans="1:19">
      <c r="A254" s="33" t="s">
        <v>827</v>
      </c>
      <c r="B254" s="34" t="s">
        <v>1124</v>
      </c>
      <c r="C254" s="34"/>
      <c r="D254" s="34">
        <v>1</v>
      </c>
      <c r="E254" s="4">
        <v>18</v>
      </c>
      <c r="F254" s="4">
        <v>8</v>
      </c>
      <c r="G254" s="4">
        <v>21</v>
      </c>
      <c r="H254" s="38">
        <v>2.9567999999999999</v>
      </c>
      <c r="I254" s="4">
        <v>1.8E-3</v>
      </c>
      <c r="J254" s="34">
        <v>-20.121400000000001</v>
      </c>
      <c r="K254" s="4">
        <v>4.8999999999999998E-3</v>
      </c>
      <c r="L254" s="4">
        <v>6.9000000000000006E-2</v>
      </c>
      <c r="M254" s="4">
        <v>2.5000000000000001E-2</v>
      </c>
      <c r="N254" s="4">
        <v>-2.3699999999999999E-2</v>
      </c>
      <c r="O254" s="4">
        <v>5.0000000000000001E-4</v>
      </c>
      <c r="P254" s="4">
        <v>85.77</v>
      </c>
      <c r="Q254" s="4">
        <v>0.5</v>
      </c>
      <c r="R254" s="34">
        <f t="shared" si="24"/>
        <v>0.16670553935860058</v>
      </c>
      <c r="S254" s="22">
        <f t="shared" si="25"/>
        <v>9.7181729834791054E-4</v>
      </c>
    </row>
    <row r="255" spans="1:19">
      <c r="A255" s="44" t="s">
        <v>828</v>
      </c>
      <c r="B255" s="45" t="s">
        <v>1125</v>
      </c>
      <c r="C255" s="45"/>
      <c r="D255" s="45">
        <v>0.25</v>
      </c>
      <c r="E255" s="4">
        <v>18</v>
      </c>
      <c r="F255" s="4">
        <v>8</v>
      </c>
      <c r="G255" s="4">
        <v>21</v>
      </c>
      <c r="H255" s="45">
        <v>5.9497</v>
      </c>
      <c r="I255" s="4">
        <v>1E-3</v>
      </c>
      <c r="J255" s="45">
        <v>-36.713999999999999</v>
      </c>
      <c r="K255" s="4">
        <v>2.5999999999999999E-3</v>
      </c>
      <c r="L255" s="4">
        <v>3.9E-2</v>
      </c>
      <c r="M255" s="4">
        <v>6.0000000000000001E-3</v>
      </c>
      <c r="N255" s="4">
        <v>-6.0000000000000001E-3</v>
      </c>
      <c r="O255" s="4">
        <v>0</v>
      </c>
      <c r="P255" s="4">
        <v>124.02</v>
      </c>
      <c r="Q255" s="4">
        <v>0.06</v>
      </c>
      <c r="R255" s="45">
        <f>P255*E255/G255^3</f>
        <v>0.24104956268221575</v>
      </c>
      <c r="S255" s="22">
        <f>Q255*E255/G255^3</f>
        <v>1.1661807580174928E-4</v>
      </c>
    </row>
    <row r="256" spans="1:19">
      <c r="A256" s="23" t="s">
        <v>828</v>
      </c>
      <c r="B256" s="4" t="s">
        <v>1125</v>
      </c>
      <c r="D256" s="4">
        <v>0.5</v>
      </c>
      <c r="E256" s="4">
        <v>18</v>
      </c>
      <c r="F256" s="4">
        <v>8</v>
      </c>
      <c r="G256" s="4">
        <v>21</v>
      </c>
      <c r="H256" s="4">
        <v>4.8762999999999996</v>
      </c>
      <c r="I256" s="4">
        <v>8.9999999999999998E-4</v>
      </c>
      <c r="J256" s="4">
        <v>-30.507000000000001</v>
      </c>
      <c r="K256" s="4">
        <v>1.4E-3</v>
      </c>
      <c r="L256" s="4">
        <v>6.7000000000000004E-2</v>
      </c>
      <c r="M256" s="4">
        <v>8.0000000000000002E-3</v>
      </c>
      <c r="N256" s="4">
        <v>-8.0999999999999996E-3</v>
      </c>
      <c r="O256" s="4">
        <v>2.0000000000000001E-4</v>
      </c>
      <c r="P256" s="4">
        <v>120.11</v>
      </c>
      <c r="Q256" s="4">
        <v>0.11</v>
      </c>
      <c r="R256" s="4">
        <f t="shared" si="24"/>
        <v>0.23344995140913508</v>
      </c>
      <c r="S256" s="22">
        <f t="shared" si="25"/>
        <v>2.1379980563654034E-4</v>
      </c>
    </row>
    <row r="257" spans="1:19">
      <c r="A257" s="28" t="s">
        <v>828</v>
      </c>
      <c r="B257" s="29" t="s">
        <v>1125</v>
      </c>
      <c r="C257" s="29"/>
      <c r="D257" s="29">
        <v>0.75</v>
      </c>
      <c r="E257" s="4">
        <v>18</v>
      </c>
      <c r="F257" s="4">
        <v>8</v>
      </c>
      <c r="G257" s="4">
        <v>21</v>
      </c>
      <c r="H257" s="41">
        <v>3.7928000000000002</v>
      </c>
      <c r="I257" s="4">
        <v>8.9999999999999998E-4</v>
      </c>
      <c r="J257" s="29">
        <v>-25.0138</v>
      </c>
      <c r="K257" s="4">
        <v>1.9E-3</v>
      </c>
      <c r="L257" s="4">
        <v>0.155</v>
      </c>
      <c r="M257" s="4">
        <v>1.2999999999999999E-2</v>
      </c>
      <c r="N257" s="4">
        <v>-1.7100000000000001E-2</v>
      </c>
      <c r="O257" s="4">
        <v>2.0000000000000001E-4</v>
      </c>
      <c r="P257" s="4">
        <v>101.27</v>
      </c>
      <c r="Q257" s="4">
        <v>0.27</v>
      </c>
      <c r="R257" s="29">
        <f t="shared" si="24"/>
        <v>0.1968318756073858</v>
      </c>
      <c r="S257" s="22">
        <f t="shared" si="25"/>
        <v>5.2478134110787176E-4</v>
      </c>
    </row>
    <row r="258" spans="1:19">
      <c r="A258" s="44" t="s">
        <v>829</v>
      </c>
      <c r="B258" s="45" t="s">
        <v>1126</v>
      </c>
      <c r="C258" s="45"/>
      <c r="D258" s="45">
        <v>0.25</v>
      </c>
      <c r="E258" s="4">
        <v>18</v>
      </c>
      <c r="F258" s="4">
        <v>8</v>
      </c>
      <c r="G258" s="4">
        <v>21</v>
      </c>
      <c r="H258" s="45">
        <v>5.9672000000000001</v>
      </c>
      <c r="I258" s="4">
        <v>8.0000000000000004E-4</v>
      </c>
      <c r="J258" s="45">
        <v>-36.809699999999999</v>
      </c>
      <c r="K258" s="4">
        <v>2E-3</v>
      </c>
      <c r="L258" s="4">
        <v>0.03</v>
      </c>
      <c r="M258" s="4">
        <v>1.2E-2</v>
      </c>
      <c r="N258" s="4">
        <v>-5.5999999999999999E-3</v>
      </c>
      <c r="O258" s="4">
        <v>2.0000000000000001E-4</v>
      </c>
      <c r="P258" s="4">
        <v>124.26</v>
      </c>
      <c r="Q258" s="4">
        <v>0.21</v>
      </c>
      <c r="R258" s="45">
        <f>P258*E258/G258^3</f>
        <v>0.24151603498542276</v>
      </c>
      <c r="S258" s="22">
        <f>Q258*E258/G258^3</f>
        <v>4.0816326530612241E-4</v>
      </c>
    </row>
    <row r="259" spans="1:19">
      <c r="A259" s="23" t="s">
        <v>829</v>
      </c>
      <c r="B259" s="4" t="s">
        <v>1126</v>
      </c>
      <c r="D259" s="4">
        <v>0.5</v>
      </c>
      <c r="E259" s="4">
        <v>18</v>
      </c>
      <c r="F259" s="4">
        <v>8</v>
      </c>
      <c r="G259" s="4">
        <v>21</v>
      </c>
      <c r="H259" s="4">
        <v>4.9103000000000003</v>
      </c>
      <c r="I259" s="4">
        <v>2.0000000000000001E-4</v>
      </c>
      <c r="J259" s="4">
        <v>-30.697600000000001</v>
      </c>
      <c r="K259" s="4">
        <v>1.6000000000000001E-3</v>
      </c>
      <c r="L259" s="4">
        <v>6.4000000000000001E-2</v>
      </c>
      <c r="M259" s="4">
        <v>4.0000000000000001E-3</v>
      </c>
      <c r="N259" s="4">
        <v>-8.2000000000000007E-3</v>
      </c>
      <c r="O259" s="4">
        <v>2.0000000000000001E-4</v>
      </c>
      <c r="P259" s="4">
        <v>119.83</v>
      </c>
      <c r="Q259" s="4">
        <v>0.33</v>
      </c>
      <c r="R259" s="4">
        <f t="shared" si="24"/>
        <v>0.23290573372206025</v>
      </c>
      <c r="S259" s="22">
        <f t="shared" si="25"/>
        <v>6.4139941690962105E-4</v>
      </c>
    </row>
    <row r="260" spans="1:19">
      <c r="A260" s="28" t="s">
        <v>829</v>
      </c>
      <c r="B260" s="29" t="s">
        <v>1126</v>
      </c>
      <c r="C260" s="29"/>
      <c r="D260" s="29">
        <v>0.75</v>
      </c>
      <c r="E260" s="4">
        <v>18</v>
      </c>
      <c r="F260" s="4">
        <v>8</v>
      </c>
      <c r="G260" s="4">
        <v>21</v>
      </c>
      <c r="H260" s="41">
        <v>3.8529</v>
      </c>
      <c r="I260" s="4">
        <v>5.0000000000000001E-4</v>
      </c>
      <c r="J260" s="29">
        <v>-25.263500000000001</v>
      </c>
      <c r="K260" s="4">
        <v>1.1999999999999999E-3</v>
      </c>
      <c r="L260" s="4">
        <v>0.152</v>
      </c>
      <c r="M260" s="4">
        <v>3.5000000000000003E-2</v>
      </c>
      <c r="N260" s="4">
        <v>-1.5900000000000001E-2</v>
      </c>
      <c r="O260" s="4">
        <v>2.9999999999999997E-4</v>
      </c>
      <c r="P260" s="4">
        <v>102.46</v>
      </c>
      <c r="Q260" s="4">
        <v>0.28000000000000003</v>
      </c>
      <c r="R260" s="29">
        <f t="shared" si="24"/>
        <v>0.19914480077745383</v>
      </c>
      <c r="S260" s="22">
        <f t="shared" si="25"/>
        <v>5.4421768707483002E-4</v>
      </c>
    </row>
    <row r="261" spans="1:19">
      <c r="A261" s="44" t="s">
        <v>830</v>
      </c>
      <c r="B261" s="45" t="s">
        <v>1127</v>
      </c>
      <c r="C261" s="45"/>
      <c r="D261" s="45">
        <v>0.25</v>
      </c>
      <c r="E261" s="4">
        <v>18</v>
      </c>
      <c r="F261" s="4">
        <v>8</v>
      </c>
      <c r="G261" s="4">
        <v>21</v>
      </c>
      <c r="H261" s="45">
        <v>5.9675000000000002</v>
      </c>
      <c r="I261" s="4">
        <v>2.0000000000000001E-4</v>
      </c>
      <c r="J261" s="45">
        <v>-36.663699999999999</v>
      </c>
      <c r="K261" s="4">
        <v>1.9E-3</v>
      </c>
      <c r="L261" s="4">
        <v>3.5000000000000003E-2</v>
      </c>
      <c r="M261" s="4">
        <v>4.0000000000000001E-3</v>
      </c>
      <c r="N261" s="4">
        <v>-5.5999999999999999E-3</v>
      </c>
      <c r="O261" s="4">
        <v>1E-4</v>
      </c>
      <c r="P261" s="4">
        <v>124.57</v>
      </c>
      <c r="Q261" s="4">
        <v>0.22</v>
      </c>
      <c r="R261" s="45">
        <f>P261*E261/G261^3</f>
        <v>0.24211856171039842</v>
      </c>
      <c r="S261" s="22">
        <f>Q261*E261/G261^3</f>
        <v>4.2759961127308068E-4</v>
      </c>
    </row>
    <row r="262" spans="1:19">
      <c r="A262" s="23" t="s">
        <v>830</v>
      </c>
      <c r="B262" s="4" t="s">
        <v>1127</v>
      </c>
      <c r="D262" s="4">
        <v>0.5</v>
      </c>
      <c r="E262" s="4">
        <v>18</v>
      </c>
      <c r="F262" s="4">
        <v>8</v>
      </c>
      <c r="G262" s="4">
        <v>21</v>
      </c>
      <c r="H262" s="4">
        <v>4.9225000000000003</v>
      </c>
      <c r="I262" s="4">
        <v>2.9999999999999997E-4</v>
      </c>
      <c r="J262" s="4">
        <v>-30.3523</v>
      </c>
      <c r="K262" s="4">
        <v>5.9999999999999995E-4</v>
      </c>
      <c r="L262" s="4">
        <v>4.8000000000000001E-2</v>
      </c>
      <c r="M262" s="4">
        <v>1.0999999999999999E-2</v>
      </c>
      <c r="N262" s="4">
        <v>-7.3000000000000001E-3</v>
      </c>
      <c r="O262" s="4">
        <v>2.0000000000000001E-4</v>
      </c>
      <c r="P262" s="4">
        <v>121.93</v>
      </c>
      <c r="Q262" s="4">
        <v>0.15</v>
      </c>
      <c r="R262" s="4">
        <f t="shared" si="24"/>
        <v>0.23698736637512149</v>
      </c>
      <c r="S262" s="22">
        <f t="shared" si="25"/>
        <v>2.9154518950437317E-4</v>
      </c>
    </row>
    <row r="263" spans="1:19">
      <c r="A263" s="28" t="s">
        <v>830</v>
      </c>
      <c r="B263" s="29" t="s">
        <v>1127</v>
      </c>
      <c r="C263" s="29"/>
      <c r="D263" s="29">
        <v>0.75</v>
      </c>
      <c r="E263" s="4">
        <v>18</v>
      </c>
      <c r="F263" s="4">
        <v>8</v>
      </c>
      <c r="G263" s="4">
        <v>21</v>
      </c>
      <c r="H263" s="29">
        <v>3.8946999999999998</v>
      </c>
      <c r="I263" s="4">
        <v>5.9999999999999995E-4</v>
      </c>
      <c r="J263" s="29">
        <v>-24.564</v>
      </c>
      <c r="K263" s="4">
        <v>1.1999999999999999E-3</v>
      </c>
      <c r="L263" s="4">
        <v>0.09</v>
      </c>
      <c r="M263" s="4">
        <v>1.4E-2</v>
      </c>
      <c r="N263" s="4">
        <v>-1.0800000000000001E-2</v>
      </c>
      <c r="O263" s="4">
        <v>2.9999999999999997E-4</v>
      </c>
      <c r="P263" s="4">
        <v>113.69</v>
      </c>
      <c r="Q263" s="4">
        <v>0.24</v>
      </c>
      <c r="R263" s="29">
        <f t="shared" si="24"/>
        <v>0.22097181729834792</v>
      </c>
      <c r="S263" s="22">
        <f t="shared" si="25"/>
        <v>4.6647230320699711E-4</v>
      </c>
    </row>
    <row r="264" spans="1:19">
      <c r="A264" s="44" t="s">
        <v>831</v>
      </c>
      <c r="B264" s="45" t="s">
        <v>1128</v>
      </c>
      <c r="C264" s="45"/>
      <c r="D264" s="45">
        <v>0.25</v>
      </c>
      <c r="E264" s="4">
        <v>18</v>
      </c>
      <c r="F264" s="4">
        <v>8</v>
      </c>
      <c r="G264" s="4">
        <v>21</v>
      </c>
      <c r="H264" s="45">
        <v>5.9187000000000003</v>
      </c>
      <c r="I264" s="4">
        <v>5.9999999999999995E-4</v>
      </c>
      <c r="J264" s="45">
        <v>-36.749899999999997</v>
      </c>
      <c r="K264" s="4">
        <v>8.0000000000000004E-4</v>
      </c>
      <c r="L264" s="4">
        <v>4.7E-2</v>
      </c>
      <c r="M264" s="4">
        <v>3.0000000000000001E-3</v>
      </c>
      <c r="N264" s="4">
        <v>-5.7999999999999996E-3</v>
      </c>
      <c r="O264" s="4">
        <v>1E-4</v>
      </c>
      <c r="P264" s="4">
        <v>124.04</v>
      </c>
      <c r="Q264" s="4">
        <v>0.09</v>
      </c>
      <c r="R264" s="45">
        <f>P264*E264/G264^3</f>
        <v>0.2410884353741497</v>
      </c>
      <c r="S264" s="22">
        <f>Q264*E264/G264^3</f>
        <v>1.7492711370262388E-4</v>
      </c>
    </row>
    <row r="265" spans="1:19">
      <c r="A265" s="23" t="s">
        <v>831</v>
      </c>
      <c r="B265" s="4" t="s">
        <v>1128</v>
      </c>
      <c r="D265" s="4">
        <v>0.5</v>
      </c>
      <c r="E265" s="4">
        <v>18</v>
      </c>
      <c r="F265" s="4">
        <v>8</v>
      </c>
      <c r="G265" s="4">
        <v>21</v>
      </c>
      <c r="H265" s="4">
        <v>4.8103999999999996</v>
      </c>
      <c r="I265" s="4">
        <v>8.9999999999999998E-4</v>
      </c>
      <c r="J265" s="4">
        <v>-30.776299999999999</v>
      </c>
      <c r="K265" s="4">
        <v>1.6999999999999999E-3</v>
      </c>
      <c r="L265" s="4">
        <v>0.113</v>
      </c>
      <c r="M265" s="4">
        <v>1.6E-2</v>
      </c>
      <c r="N265" s="4">
        <v>-9.1999999999999998E-3</v>
      </c>
      <c r="O265" s="4">
        <v>2.9999999999999997E-4</v>
      </c>
      <c r="P265" s="4">
        <v>117.3</v>
      </c>
      <c r="Q265" s="4">
        <v>0.28999999999999998</v>
      </c>
      <c r="R265" s="4">
        <f t="shared" si="24"/>
        <v>0.22798833819241984</v>
      </c>
      <c r="S265" s="22">
        <f t="shared" si="25"/>
        <v>5.6365403304178808E-4</v>
      </c>
    </row>
    <row r="266" spans="1:19">
      <c r="A266" s="44" t="s">
        <v>832</v>
      </c>
      <c r="B266" s="45" t="s">
        <v>1129</v>
      </c>
      <c r="C266" s="45"/>
      <c r="D266" s="45">
        <v>0.25</v>
      </c>
      <c r="E266" s="4">
        <v>18</v>
      </c>
      <c r="F266" s="4">
        <v>8</v>
      </c>
      <c r="G266" s="4">
        <v>21</v>
      </c>
      <c r="H266" s="45">
        <v>5.9302000000000001</v>
      </c>
      <c r="I266" s="4">
        <v>6.9999999999999999E-4</v>
      </c>
      <c r="J266" s="45">
        <v>-36.6967</v>
      </c>
      <c r="K266" s="4">
        <v>1.6000000000000001E-3</v>
      </c>
      <c r="L266" s="4">
        <v>3.6999999999999998E-2</v>
      </c>
      <c r="M266" s="4">
        <v>8.0000000000000002E-3</v>
      </c>
      <c r="N266" s="4">
        <v>-5.8999999999999999E-3</v>
      </c>
      <c r="O266" s="4">
        <v>1E-4</v>
      </c>
      <c r="P266" s="4">
        <v>124.16</v>
      </c>
      <c r="Q266" s="4">
        <v>0.14000000000000001</v>
      </c>
      <c r="R266" s="45">
        <f>P266*E266/G266^3</f>
        <v>0.24132167152575318</v>
      </c>
      <c r="S266" s="22">
        <f>Q266*E266/G266^3</f>
        <v>2.7210884353741501E-4</v>
      </c>
    </row>
    <row r="267" spans="1:19">
      <c r="A267" s="23" t="s">
        <v>832</v>
      </c>
      <c r="B267" s="4" t="s">
        <v>1129</v>
      </c>
      <c r="D267" s="4">
        <v>0.5</v>
      </c>
      <c r="E267" s="4">
        <v>18</v>
      </c>
      <c r="F267" s="4">
        <v>8</v>
      </c>
      <c r="G267" s="4">
        <v>21</v>
      </c>
      <c r="H267" s="4">
        <v>4.8342000000000001</v>
      </c>
      <c r="I267" s="4">
        <v>5.9999999999999995E-4</v>
      </c>
      <c r="J267" s="4">
        <v>-30.537400000000002</v>
      </c>
      <c r="K267" s="4">
        <v>1.5E-3</v>
      </c>
      <c r="L267" s="4">
        <v>8.5000000000000006E-2</v>
      </c>
      <c r="M267" s="4">
        <v>0.01</v>
      </c>
      <c r="N267" s="4">
        <v>-8.6E-3</v>
      </c>
      <c r="O267" s="4">
        <v>2.0000000000000001E-4</v>
      </c>
      <c r="P267" s="4">
        <v>119.44</v>
      </c>
      <c r="Q267" s="4">
        <v>0.24</v>
      </c>
      <c r="R267" s="4">
        <f t="shared" si="24"/>
        <v>0.23214771622934888</v>
      </c>
      <c r="S267" s="22">
        <f t="shared" si="25"/>
        <v>4.6647230320699711E-4</v>
      </c>
    </row>
    <row r="268" spans="1:19">
      <c r="A268" s="28" t="s">
        <v>832</v>
      </c>
      <c r="B268" s="29" t="s">
        <v>1129</v>
      </c>
      <c r="C268" s="29"/>
      <c r="D268" s="29">
        <v>0.75</v>
      </c>
      <c r="E268" s="4">
        <v>18</v>
      </c>
      <c r="F268" s="4">
        <v>8</v>
      </c>
      <c r="G268" s="4">
        <v>21</v>
      </c>
      <c r="H268" s="41">
        <v>3.6876000000000002</v>
      </c>
      <c r="I268" s="4">
        <v>6.9999999999999999E-4</v>
      </c>
      <c r="J268" s="29">
        <v>-25.445399999999999</v>
      </c>
      <c r="K268" s="4">
        <v>1.8E-3</v>
      </c>
      <c r="L268" s="4">
        <v>0.23100000000000001</v>
      </c>
      <c r="M268" s="4">
        <v>5.1999999999999998E-2</v>
      </c>
      <c r="N268" s="4">
        <v>-2.1100000000000001E-2</v>
      </c>
      <c r="O268" s="4">
        <v>2.0000000000000001E-4</v>
      </c>
      <c r="P268" s="4">
        <v>93.69</v>
      </c>
      <c r="Q268" s="4">
        <v>0.24</v>
      </c>
      <c r="R268" s="29">
        <f t="shared" si="24"/>
        <v>0.18209912536443149</v>
      </c>
      <c r="S268" s="22">
        <f t="shared" si="25"/>
        <v>4.6647230320699711E-4</v>
      </c>
    </row>
    <row r="269" spans="1:19">
      <c r="A269" s="44" t="s">
        <v>833</v>
      </c>
      <c r="B269" s="45" t="s">
        <v>1130</v>
      </c>
      <c r="C269" s="45"/>
      <c r="D269" s="45">
        <v>0.25</v>
      </c>
      <c r="E269" s="4">
        <v>18</v>
      </c>
      <c r="F269" s="4">
        <v>8</v>
      </c>
      <c r="G269" s="4">
        <v>21</v>
      </c>
      <c r="H269" s="45">
        <v>5.9562999999999997</v>
      </c>
      <c r="I269" s="4">
        <v>4.0000000000000002E-4</v>
      </c>
      <c r="J269" s="45">
        <v>-36.630699999999997</v>
      </c>
      <c r="K269" s="4">
        <v>1.9E-3</v>
      </c>
      <c r="L269" s="4">
        <v>3.2000000000000001E-2</v>
      </c>
      <c r="M269" s="4">
        <v>8.9999999999999993E-3</v>
      </c>
      <c r="N269" s="4">
        <v>-5.4999999999999997E-3</v>
      </c>
      <c r="O269" s="4">
        <v>2.0000000000000001E-4</v>
      </c>
      <c r="P269" s="4">
        <v>124.87</v>
      </c>
      <c r="Q269" s="4">
        <v>0.18</v>
      </c>
      <c r="R269" s="45">
        <f>P269*E269/G269^3</f>
        <v>0.24270165208940717</v>
      </c>
      <c r="S269" s="22">
        <f>Q269*E269/G269^3</f>
        <v>3.4985422740524776E-4</v>
      </c>
    </row>
    <row r="270" spans="1:19">
      <c r="A270" s="23" t="s">
        <v>833</v>
      </c>
      <c r="B270" s="4" t="s">
        <v>1130</v>
      </c>
      <c r="D270" s="4">
        <v>0.5</v>
      </c>
      <c r="E270" s="4">
        <v>18</v>
      </c>
      <c r="F270" s="4">
        <v>8</v>
      </c>
      <c r="G270" s="4">
        <v>21</v>
      </c>
      <c r="H270" s="4">
        <v>4.8956</v>
      </c>
      <c r="I270" s="4">
        <v>8.9999999999999998E-4</v>
      </c>
      <c r="J270" s="4">
        <v>-30.202100000000002</v>
      </c>
      <c r="K270" s="4">
        <v>1.1999999999999999E-3</v>
      </c>
      <c r="L270" s="4">
        <v>3.9E-2</v>
      </c>
      <c r="M270" s="4">
        <v>1.2999999999999999E-2</v>
      </c>
      <c r="N270" s="4">
        <v>-7.1000000000000004E-3</v>
      </c>
      <c r="O270" s="4">
        <v>1E-4</v>
      </c>
      <c r="P270" s="4">
        <v>123.38</v>
      </c>
      <c r="Q270" s="4">
        <v>0.17</v>
      </c>
      <c r="R270" s="4">
        <f t="shared" si="24"/>
        <v>0.23980563654033044</v>
      </c>
      <c r="S270" s="22">
        <f t="shared" si="25"/>
        <v>3.304178814382896E-4</v>
      </c>
    </row>
    <row r="271" spans="1:19">
      <c r="A271" s="28" t="s">
        <v>833</v>
      </c>
      <c r="B271" s="29" t="s">
        <v>1130</v>
      </c>
      <c r="C271" s="29"/>
      <c r="D271" s="29">
        <v>0.75</v>
      </c>
      <c r="E271" s="4">
        <v>18</v>
      </c>
      <c r="F271" s="4">
        <v>8</v>
      </c>
      <c r="G271" s="4">
        <v>21</v>
      </c>
      <c r="H271" s="29">
        <v>3.8433999999999999</v>
      </c>
      <c r="I271" s="4">
        <v>6.9999999999999999E-4</v>
      </c>
      <c r="J271" s="29">
        <v>-24.070699999999999</v>
      </c>
      <c r="K271" s="4">
        <v>1.1999999999999999E-3</v>
      </c>
      <c r="L271" s="4">
        <v>5.8000000000000003E-2</v>
      </c>
      <c r="M271" s="4">
        <v>8.0000000000000002E-3</v>
      </c>
      <c r="N271" s="4">
        <v>-1.0200000000000001E-2</v>
      </c>
      <c r="O271" s="4">
        <v>2.9999999999999997E-4</v>
      </c>
      <c r="P271" s="4">
        <v>118.61</v>
      </c>
      <c r="Q271" s="4">
        <v>0.28000000000000003</v>
      </c>
      <c r="R271" s="29">
        <f t="shared" si="24"/>
        <v>0.23053449951409136</v>
      </c>
      <c r="S271" s="22">
        <f t="shared" si="25"/>
        <v>5.4421768707483002E-4</v>
      </c>
    </row>
    <row r="272" spans="1:19">
      <c r="A272" s="33" t="s">
        <v>833</v>
      </c>
      <c r="B272" s="34" t="s">
        <v>1130</v>
      </c>
      <c r="C272" s="34"/>
      <c r="D272" s="34">
        <v>1</v>
      </c>
      <c r="E272" s="4">
        <v>18</v>
      </c>
      <c r="F272" s="4">
        <v>8</v>
      </c>
      <c r="G272" s="4">
        <v>21</v>
      </c>
      <c r="H272" s="35">
        <v>2.8111999999999999</v>
      </c>
      <c r="I272" s="4">
        <v>6.9999999999999999E-4</v>
      </c>
      <c r="J272" s="34">
        <v>-18.7544</v>
      </c>
      <c r="K272" s="4">
        <v>1.4E-3</v>
      </c>
      <c r="L272" s="4">
        <v>0.13600000000000001</v>
      </c>
      <c r="M272" s="4">
        <v>1.2E-2</v>
      </c>
      <c r="N272" s="4">
        <v>-1.9300000000000001E-2</v>
      </c>
      <c r="O272" s="4">
        <v>5.0000000000000001E-4</v>
      </c>
      <c r="P272" s="4">
        <v>102.59</v>
      </c>
      <c r="Q272" s="4">
        <v>0.32</v>
      </c>
      <c r="R272" s="34">
        <f t="shared" si="24"/>
        <v>0.1993974732750243</v>
      </c>
      <c r="S272" s="22">
        <f t="shared" si="25"/>
        <v>6.2196307094266278E-4</v>
      </c>
    </row>
    <row r="273" spans="1:19">
      <c r="A273" s="44" t="s">
        <v>834</v>
      </c>
      <c r="B273" s="45" t="s">
        <v>1131</v>
      </c>
      <c r="C273" s="45"/>
      <c r="D273" s="45">
        <v>0.25</v>
      </c>
      <c r="E273" s="4">
        <v>18</v>
      </c>
      <c r="F273" s="4">
        <v>8</v>
      </c>
      <c r="G273" s="4">
        <v>21</v>
      </c>
      <c r="H273" s="45">
        <v>5.9965999999999999</v>
      </c>
      <c r="I273" s="4">
        <v>1E-4</v>
      </c>
      <c r="J273" s="45">
        <v>-36.618099999999998</v>
      </c>
      <c r="K273" s="4">
        <v>8.0000000000000004E-4</v>
      </c>
      <c r="L273" s="4">
        <v>2.5000000000000001E-2</v>
      </c>
      <c r="M273" s="4">
        <v>3.0000000000000001E-3</v>
      </c>
      <c r="N273" s="4">
        <v>-5.3E-3</v>
      </c>
      <c r="O273" s="4">
        <v>0</v>
      </c>
      <c r="P273" s="4">
        <v>124.58</v>
      </c>
      <c r="Q273" s="4">
        <v>0.03</v>
      </c>
      <c r="R273" s="45">
        <f>P273*E273/G273^3</f>
        <v>0.24213799805636541</v>
      </c>
      <c r="S273" s="22">
        <f>Q273*E273/G273^3</f>
        <v>5.8309037900874639E-5</v>
      </c>
    </row>
    <row r="274" spans="1:19">
      <c r="A274" s="23" t="s">
        <v>834</v>
      </c>
      <c r="B274" s="4" t="s">
        <v>1131</v>
      </c>
      <c r="D274" s="4">
        <v>0.5</v>
      </c>
      <c r="E274" s="4">
        <v>18</v>
      </c>
      <c r="F274" s="4">
        <v>8</v>
      </c>
      <c r="G274" s="4">
        <v>21</v>
      </c>
      <c r="H274" s="4">
        <v>4.9798</v>
      </c>
      <c r="I274" s="4">
        <v>2.9999999999999997E-4</v>
      </c>
      <c r="J274" s="4">
        <v>-30.218699999999998</v>
      </c>
      <c r="K274" s="4">
        <v>2.0000000000000001E-4</v>
      </c>
      <c r="L274" s="4">
        <v>2.3E-2</v>
      </c>
      <c r="M274" s="4">
        <v>6.0000000000000001E-3</v>
      </c>
      <c r="N274" s="4">
        <v>-6.7999999999999996E-3</v>
      </c>
      <c r="O274" s="4">
        <v>0</v>
      </c>
      <c r="P274" s="4">
        <v>122.36</v>
      </c>
      <c r="Q274" s="4">
        <v>0.13</v>
      </c>
      <c r="R274" s="4">
        <f t="shared" si="24"/>
        <v>0.23782312925170068</v>
      </c>
      <c r="S274" s="22">
        <f t="shared" si="25"/>
        <v>2.5267249757045674E-4</v>
      </c>
    </row>
    <row r="275" spans="1:19">
      <c r="A275" s="44" t="s">
        <v>835</v>
      </c>
      <c r="B275" s="45" t="s">
        <v>1132</v>
      </c>
      <c r="C275" s="45"/>
      <c r="D275" s="45">
        <v>0.25</v>
      </c>
      <c r="E275" s="4">
        <v>18</v>
      </c>
      <c r="F275" s="4">
        <v>8</v>
      </c>
      <c r="G275" s="4">
        <v>21</v>
      </c>
      <c r="H275" s="45">
        <v>5.9302000000000001</v>
      </c>
      <c r="I275" s="4">
        <v>4.0000000000000002E-4</v>
      </c>
      <c r="J275" s="45">
        <v>-36.7928</v>
      </c>
      <c r="K275" s="4">
        <v>1.1000000000000001E-3</v>
      </c>
      <c r="L275" s="4">
        <v>3.5999999999999997E-2</v>
      </c>
      <c r="M275" s="4">
        <v>3.0000000000000001E-3</v>
      </c>
      <c r="N275" s="4">
        <v>-5.8999999999999999E-3</v>
      </c>
      <c r="O275" s="4">
        <v>2.0000000000000001E-4</v>
      </c>
      <c r="P275" s="4">
        <v>124.17</v>
      </c>
      <c r="Q275" s="4">
        <v>0.36</v>
      </c>
      <c r="R275" s="45">
        <f>P275*E275/G275^3</f>
        <v>0.24134110787172011</v>
      </c>
      <c r="S275" s="22">
        <f>Q275*E275/G275^3</f>
        <v>6.9970845481049553E-4</v>
      </c>
    </row>
    <row r="276" spans="1:19">
      <c r="A276" s="23" t="s">
        <v>835</v>
      </c>
      <c r="B276" s="4" t="s">
        <v>1132</v>
      </c>
      <c r="D276" s="4">
        <v>0.5</v>
      </c>
      <c r="E276" s="4">
        <v>18</v>
      </c>
      <c r="F276" s="4">
        <v>8</v>
      </c>
      <c r="G276" s="4">
        <v>21</v>
      </c>
      <c r="H276" s="4">
        <v>4.8384</v>
      </c>
      <c r="I276" s="4">
        <v>4.0000000000000002E-4</v>
      </c>
      <c r="J276" s="4">
        <v>-30.766100000000002</v>
      </c>
      <c r="K276" s="4">
        <v>6.9999999999999999E-4</v>
      </c>
      <c r="L276" s="4">
        <v>8.8999999999999996E-2</v>
      </c>
      <c r="M276" s="4">
        <v>2.3E-2</v>
      </c>
      <c r="N276" s="4">
        <v>-8.2000000000000007E-3</v>
      </c>
      <c r="O276" s="4">
        <v>4.0000000000000002E-4</v>
      </c>
      <c r="P276" s="4">
        <v>119.68</v>
      </c>
      <c r="Q276" s="4">
        <v>0.46</v>
      </c>
      <c r="R276" s="4">
        <f t="shared" si="24"/>
        <v>0.23261418853255592</v>
      </c>
      <c r="S276" s="22">
        <f t="shared" si="25"/>
        <v>8.940719144800779E-4</v>
      </c>
    </row>
    <row r="277" spans="1:19">
      <c r="A277" s="44" t="s">
        <v>836</v>
      </c>
      <c r="B277" s="45" t="s">
        <v>1133</v>
      </c>
      <c r="C277" s="45"/>
      <c r="D277" s="45">
        <v>0.25</v>
      </c>
      <c r="E277" s="4">
        <v>18</v>
      </c>
      <c r="F277" s="4">
        <v>8</v>
      </c>
      <c r="G277" s="4">
        <v>21</v>
      </c>
      <c r="H277" s="45">
        <v>5.9488000000000003</v>
      </c>
      <c r="I277" s="4">
        <v>4.0000000000000002E-4</v>
      </c>
      <c r="J277" s="45">
        <v>-36.706899999999997</v>
      </c>
      <c r="K277" s="4">
        <v>2.9999999999999997E-4</v>
      </c>
      <c r="L277" s="4">
        <v>3.2000000000000001E-2</v>
      </c>
      <c r="M277" s="4">
        <v>1.4999999999999999E-2</v>
      </c>
      <c r="N277" s="4">
        <v>-5.5999999999999999E-3</v>
      </c>
      <c r="O277" s="4">
        <v>2.0000000000000001E-4</v>
      </c>
      <c r="P277" s="4">
        <v>124.42</v>
      </c>
      <c r="Q277" s="4">
        <v>0.19</v>
      </c>
      <c r="R277" s="45">
        <f>P277*E277/G277^3</f>
        <v>0.24182701652089406</v>
      </c>
      <c r="S277" s="22">
        <f>Q277*E277/G277^3</f>
        <v>3.6929057337220603E-4</v>
      </c>
    </row>
    <row r="278" spans="1:19">
      <c r="A278" s="23" t="s">
        <v>836</v>
      </c>
      <c r="B278" s="4" t="s">
        <v>1133</v>
      </c>
      <c r="D278" s="4">
        <v>0.5</v>
      </c>
      <c r="E278" s="4">
        <v>18</v>
      </c>
      <c r="F278" s="4">
        <v>8</v>
      </c>
      <c r="G278" s="4">
        <v>21</v>
      </c>
      <c r="H278" s="4">
        <v>4.8795999999999999</v>
      </c>
      <c r="I278" s="4">
        <v>8.9999999999999998E-4</v>
      </c>
      <c r="J278" s="4">
        <v>-30.463699999999999</v>
      </c>
      <c r="K278" s="4">
        <v>2.0999999999999999E-3</v>
      </c>
      <c r="L278" s="4">
        <v>6.0999999999999999E-2</v>
      </c>
      <c r="M278" s="4">
        <v>1.4E-2</v>
      </c>
      <c r="N278" s="4">
        <v>-7.6E-3</v>
      </c>
      <c r="O278" s="4">
        <v>2.9999999999999997E-4</v>
      </c>
      <c r="P278" s="4">
        <v>121.49</v>
      </c>
      <c r="Q278" s="4">
        <v>0.28000000000000003</v>
      </c>
      <c r="R278" s="4">
        <f t="shared" si="24"/>
        <v>0.23613216715257529</v>
      </c>
      <c r="S278" s="22">
        <f t="shared" si="25"/>
        <v>5.4421768707483002E-4</v>
      </c>
    </row>
    <row r="279" spans="1:19">
      <c r="A279" s="44" t="s">
        <v>837</v>
      </c>
      <c r="B279" s="45" t="s">
        <v>1134</v>
      </c>
      <c r="C279" s="45"/>
      <c r="D279" s="45">
        <v>0.25</v>
      </c>
      <c r="E279" s="4">
        <v>18</v>
      </c>
      <c r="F279" s="4">
        <v>8</v>
      </c>
      <c r="G279" s="4">
        <v>21</v>
      </c>
      <c r="H279" s="45">
        <v>5.9501999999999997</v>
      </c>
      <c r="I279" s="4">
        <v>8.9999999999999998E-4</v>
      </c>
      <c r="J279" s="45">
        <v>-36.5852</v>
      </c>
      <c r="K279" s="4">
        <v>1.6999999999999999E-3</v>
      </c>
      <c r="L279" s="4">
        <v>2.8000000000000001E-2</v>
      </c>
      <c r="M279" s="4">
        <v>1.6E-2</v>
      </c>
      <c r="N279" s="4">
        <v>-5.5999999999999999E-3</v>
      </c>
      <c r="O279" s="4">
        <v>2.9999999999999997E-4</v>
      </c>
      <c r="P279" s="4">
        <v>124.54</v>
      </c>
      <c r="Q279" s="4">
        <v>0.18</v>
      </c>
      <c r="R279" s="45">
        <f>P279*E279/G279^3</f>
        <v>0.24206025267249759</v>
      </c>
      <c r="S279" s="22">
        <f>Q279*E279/G279^3</f>
        <v>3.4985422740524776E-4</v>
      </c>
    </row>
    <row r="280" spans="1:19">
      <c r="A280" s="23" t="s">
        <v>837</v>
      </c>
      <c r="B280" s="4" t="s">
        <v>1134</v>
      </c>
      <c r="D280" s="4">
        <v>0.5</v>
      </c>
      <c r="E280" s="4">
        <v>18</v>
      </c>
      <c r="F280" s="4">
        <v>8</v>
      </c>
      <c r="G280" s="4">
        <v>21</v>
      </c>
      <c r="H280" s="4">
        <v>4.8833000000000002</v>
      </c>
      <c r="I280" s="4">
        <v>5.9999999999999995E-4</v>
      </c>
      <c r="J280" s="4">
        <v>-30.164899999999999</v>
      </c>
      <c r="K280" s="4">
        <v>8.9999999999999998E-4</v>
      </c>
      <c r="L280" s="4">
        <v>4.2000000000000003E-2</v>
      </c>
      <c r="M280" s="4">
        <v>0.01</v>
      </c>
      <c r="N280" s="4">
        <v>-7.4999999999999997E-3</v>
      </c>
      <c r="O280" s="4">
        <v>1E-4</v>
      </c>
      <c r="P280" s="4">
        <v>122.01</v>
      </c>
      <c r="Q280" s="4">
        <v>0.17</v>
      </c>
      <c r="R280" s="4">
        <f t="shared" si="24"/>
        <v>0.23714285714285718</v>
      </c>
      <c r="S280" s="22">
        <f t="shared" si="25"/>
        <v>3.304178814382896E-4</v>
      </c>
    </row>
    <row r="281" spans="1:19">
      <c r="A281" s="44" t="s">
        <v>838</v>
      </c>
      <c r="B281" s="45" t="s">
        <v>1135</v>
      </c>
      <c r="C281" s="45"/>
      <c r="D281" s="45">
        <v>0.25</v>
      </c>
      <c r="E281" s="4">
        <v>18</v>
      </c>
      <c r="F281" s="4">
        <v>8</v>
      </c>
      <c r="G281" s="4">
        <v>21</v>
      </c>
      <c r="H281" s="45">
        <v>5.9638999999999998</v>
      </c>
      <c r="I281" s="4">
        <v>6.9999999999999999E-4</v>
      </c>
      <c r="J281" s="45">
        <v>-36.496000000000002</v>
      </c>
      <c r="K281" s="4">
        <v>1.8E-3</v>
      </c>
      <c r="L281" s="4">
        <v>2.9000000000000001E-2</v>
      </c>
      <c r="M281" s="4">
        <v>2E-3</v>
      </c>
      <c r="N281" s="4">
        <v>-5.5999999999999999E-3</v>
      </c>
      <c r="O281" s="4">
        <v>2.0000000000000001E-4</v>
      </c>
      <c r="P281" s="4">
        <v>124.32</v>
      </c>
      <c r="Q281" s="4">
        <v>0.23</v>
      </c>
      <c r="R281" s="45">
        <f>P281*E281/G281^3</f>
        <v>0.24163265306122447</v>
      </c>
      <c r="S281" s="22">
        <f>Q281*E281/G281^3</f>
        <v>4.4703595724003895E-4</v>
      </c>
    </row>
    <row r="282" spans="1:19">
      <c r="A282" s="23" t="s">
        <v>838</v>
      </c>
      <c r="B282" s="4" t="s">
        <v>1135</v>
      </c>
      <c r="D282" s="4">
        <v>0.5</v>
      </c>
      <c r="E282" s="4">
        <v>18</v>
      </c>
      <c r="F282" s="4">
        <v>8</v>
      </c>
      <c r="G282" s="4">
        <v>21</v>
      </c>
      <c r="H282" s="4">
        <v>4.9135999999999997</v>
      </c>
      <c r="I282" s="4">
        <v>1E-3</v>
      </c>
      <c r="J282" s="4">
        <v>-30.023299999999999</v>
      </c>
      <c r="K282" s="4">
        <v>2.2000000000000001E-3</v>
      </c>
      <c r="L282" s="4">
        <v>4.1000000000000002E-2</v>
      </c>
      <c r="M282" s="4">
        <v>8.9999999999999993E-3</v>
      </c>
      <c r="N282" s="4">
        <v>-7.3000000000000001E-3</v>
      </c>
      <c r="O282" s="4">
        <v>1E-4</v>
      </c>
      <c r="P282" s="4">
        <v>121.64</v>
      </c>
      <c r="Q282" s="4">
        <v>0.16</v>
      </c>
      <c r="R282" s="4">
        <f t="shared" si="24"/>
        <v>0.23642371234207968</v>
      </c>
      <c r="S282" s="22">
        <f t="shared" si="25"/>
        <v>3.1098153547133139E-4</v>
      </c>
    </row>
    <row r="283" spans="1:19">
      <c r="A283" s="44" t="s">
        <v>839</v>
      </c>
      <c r="B283" s="45" t="s">
        <v>1136</v>
      </c>
      <c r="C283" s="45"/>
      <c r="D283" s="45">
        <v>0.25</v>
      </c>
      <c r="E283" s="4">
        <v>18</v>
      </c>
      <c r="F283" s="4">
        <v>8</v>
      </c>
      <c r="G283" s="4">
        <v>21</v>
      </c>
      <c r="H283" s="45">
        <v>5.9439000000000002</v>
      </c>
      <c r="I283" s="4">
        <v>8.0000000000000004E-4</v>
      </c>
      <c r="J283" s="45">
        <v>-36.5413</v>
      </c>
      <c r="K283" s="4">
        <v>1.1999999999999999E-3</v>
      </c>
      <c r="L283" s="4">
        <v>3.5999999999999997E-2</v>
      </c>
      <c r="M283" s="4">
        <v>6.0000000000000001E-3</v>
      </c>
      <c r="N283" s="4">
        <v>-5.5999999999999999E-3</v>
      </c>
      <c r="O283" s="4">
        <v>1E-4</v>
      </c>
      <c r="P283" s="4">
        <v>124.49</v>
      </c>
      <c r="Q283" s="4">
        <v>0.14000000000000001</v>
      </c>
      <c r="R283" s="45">
        <f>P283*E283/G283^3</f>
        <v>0.24196307094266276</v>
      </c>
      <c r="S283" s="22">
        <f>Q283*E283/G283^3</f>
        <v>2.7210884353741501E-4</v>
      </c>
    </row>
    <row r="284" spans="1:19">
      <c r="A284" s="23" t="s">
        <v>839</v>
      </c>
      <c r="B284" s="4" t="s">
        <v>1136</v>
      </c>
      <c r="D284" s="4">
        <v>0.5</v>
      </c>
      <c r="E284" s="4">
        <v>18</v>
      </c>
      <c r="F284" s="4">
        <v>8</v>
      </c>
      <c r="G284" s="4">
        <v>21</v>
      </c>
      <c r="H284" s="4">
        <v>4.8719999999999999</v>
      </c>
      <c r="I284" s="4">
        <v>8.0000000000000004E-4</v>
      </c>
      <c r="J284" s="4">
        <v>-30.123100000000001</v>
      </c>
      <c r="K284" s="4">
        <v>4.4999999999999997E-3</v>
      </c>
      <c r="L284" s="4">
        <v>5.7000000000000002E-2</v>
      </c>
      <c r="M284" s="4">
        <v>0.01</v>
      </c>
      <c r="N284" s="4">
        <v>-7.6E-3</v>
      </c>
      <c r="O284" s="4">
        <v>2.9999999999999997E-4</v>
      </c>
      <c r="P284" s="4">
        <v>121.27</v>
      </c>
      <c r="Q284" s="4">
        <v>0.21</v>
      </c>
      <c r="R284" s="4">
        <f t="shared" si="24"/>
        <v>0.23570456754130226</v>
      </c>
      <c r="S284" s="22">
        <f t="shared" si="25"/>
        <v>4.0816326530612241E-4</v>
      </c>
    </row>
    <row r="285" spans="1:19">
      <c r="A285" s="44" t="s">
        <v>840</v>
      </c>
      <c r="B285" s="45" t="s">
        <v>1137</v>
      </c>
      <c r="C285" s="45"/>
      <c r="D285" s="45">
        <v>0.25</v>
      </c>
      <c r="E285" s="4">
        <v>18</v>
      </c>
      <c r="F285" s="4">
        <v>8</v>
      </c>
      <c r="G285" s="4">
        <v>21</v>
      </c>
      <c r="H285" s="45">
        <v>5.9589999999999996</v>
      </c>
      <c r="I285" s="4">
        <v>8.0000000000000004E-4</v>
      </c>
      <c r="J285" s="45">
        <v>-36.6312</v>
      </c>
      <c r="K285" s="4">
        <v>2.0999999999999999E-3</v>
      </c>
      <c r="L285" s="4">
        <v>0.03</v>
      </c>
      <c r="M285" s="4">
        <v>1.2E-2</v>
      </c>
      <c r="N285" s="4">
        <v>-5.7999999999999996E-3</v>
      </c>
      <c r="O285" s="4">
        <v>1E-4</v>
      </c>
      <c r="P285" s="4">
        <v>124.29</v>
      </c>
      <c r="Q285" s="4">
        <v>0.22</v>
      </c>
      <c r="R285" s="45">
        <f>P285*E285/G285^3</f>
        <v>0.24157434402332364</v>
      </c>
      <c r="S285" s="22">
        <f>Q285*E285/G285^3</f>
        <v>4.2759961127308068E-4</v>
      </c>
    </row>
    <row r="286" spans="1:19">
      <c r="A286" s="23" t="s">
        <v>840</v>
      </c>
      <c r="B286" s="4" t="s">
        <v>1137</v>
      </c>
      <c r="D286" s="4">
        <v>0.5</v>
      </c>
      <c r="E286" s="4">
        <v>18</v>
      </c>
      <c r="F286" s="4">
        <v>8</v>
      </c>
      <c r="G286" s="4">
        <v>21</v>
      </c>
      <c r="H286" s="4">
        <v>4.9017999999999997</v>
      </c>
      <c r="I286" s="4">
        <v>2.0000000000000001E-4</v>
      </c>
      <c r="J286" s="4">
        <v>-30.216200000000001</v>
      </c>
      <c r="K286" s="4">
        <v>8.9999999999999998E-4</v>
      </c>
      <c r="L286" s="4">
        <v>3.3000000000000002E-2</v>
      </c>
      <c r="M286" s="4">
        <v>4.0000000000000001E-3</v>
      </c>
      <c r="N286" s="4">
        <v>-7.0000000000000001E-3</v>
      </c>
      <c r="O286" s="4">
        <v>1E-4</v>
      </c>
      <c r="P286" s="4">
        <v>122.84</v>
      </c>
      <c r="Q286" s="4">
        <v>0.09</v>
      </c>
      <c r="R286" s="4">
        <f t="shared" si="24"/>
        <v>0.23875607385811468</v>
      </c>
      <c r="S286" s="22">
        <f t="shared" si="25"/>
        <v>1.7492711370262388E-4</v>
      </c>
    </row>
    <row r="287" spans="1:19">
      <c r="A287" s="44" t="s">
        <v>841</v>
      </c>
      <c r="B287" s="45" t="s">
        <v>1138</v>
      </c>
      <c r="C287" s="45"/>
      <c r="D287" s="45">
        <v>0.25</v>
      </c>
      <c r="E287" s="4">
        <v>18</v>
      </c>
      <c r="F287" s="4">
        <v>8</v>
      </c>
      <c r="G287" s="4">
        <v>21</v>
      </c>
      <c r="H287" s="45">
        <v>5.9324000000000003</v>
      </c>
      <c r="I287" s="4">
        <v>8.9999999999999998E-4</v>
      </c>
      <c r="J287" s="45">
        <v>-36.771000000000001</v>
      </c>
      <c r="K287" s="4">
        <v>6.6E-3</v>
      </c>
      <c r="L287" s="4">
        <v>4.5999999999999999E-2</v>
      </c>
      <c r="M287" s="4">
        <v>0.14599999999999999</v>
      </c>
      <c r="N287" s="4">
        <v>-6.1999999999999998E-3</v>
      </c>
      <c r="O287" s="4">
        <v>3.0000000000000001E-3</v>
      </c>
      <c r="P287" s="4">
        <v>123.25</v>
      </c>
      <c r="Q287" s="4">
        <v>1.93</v>
      </c>
      <c r="R287" s="45">
        <f>P287*E287/G287^3</f>
        <v>0.23955296404275997</v>
      </c>
      <c r="S287" s="22">
        <f>Q287*E287/G287^3</f>
        <v>3.7512147716229349E-3</v>
      </c>
    </row>
    <row r="288" spans="1:19">
      <c r="A288" s="23" t="s">
        <v>841</v>
      </c>
      <c r="B288" s="4" t="s">
        <v>1138</v>
      </c>
      <c r="D288" s="4">
        <v>0.5</v>
      </c>
      <c r="E288" s="4">
        <v>18</v>
      </c>
      <c r="F288" s="4">
        <v>8</v>
      </c>
      <c r="G288" s="4">
        <v>21</v>
      </c>
      <c r="H288" s="4">
        <v>4.8376999999999999</v>
      </c>
      <c r="I288" s="4">
        <v>5.9999999999999995E-4</v>
      </c>
      <c r="J288" s="4">
        <v>-31.027999999999999</v>
      </c>
      <c r="K288" s="4">
        <v>1.2999999999999999E-3</v>
      </c>
      <c r="L288" s="4">
        <v>0.13900000000000001</v>
      </c>
      <c r="M288" s="4">
        <v>8.9999999999999993E-3</v>
      </c>
      <c r="N288" s="4">
        <v>-1.04E-2</v>
      </c>
      <c r="O288" s="4">
        <v>1E-4</v>
      </c>
      <c r="P288" s="4">
        <v>112.7</v>
      </c>
      <c r="Q288" s="4">
        <v>0.1</v>
      </c>
      <c r="R288" s="4">
        <f t="shared" si="24"/>
        <v>0.21904761904761907</v>
      </c>
      <c r="S288" s="22">
        <f t="shared" si="25"/>
        <v>1.9436345966958212E-4</v>
      </c>
    </row>
    <row r="289" spans="1:19">
      <c r="A289" s="44" t="s">
        <v>842</v>
      </c>
      <c r="B289" s="45" t="s">
        <v>1139</v>
      </c>
      <c r="C289" s="45"/>
      <c r="D289" s="45">
        <v>0.25</v>
      </c>
      <c r="E289" s="4">
        <v>18</v>
      </c>
      <c r="F289" s="4">
        <v>8</v>
      </c>
      <c r="G289" s="4">
        <v>21</v>
      </c>
      <c r="H289" s="45">
        <v>5.9756999999999998</v>
      </c>
      <c r="I289" s="4">
        <v>4.0000000000000002E-4</v>
      </c>
      <c r="J289" s="45">
        <v>-36.808900000000001</v>
      </c>
      <c r="K289" s="4">
        <v>5.9999999999999995E-4</v>
      </c>
      <c r="L289" s="4">
        <v>3.5000000000000003E-2</v>
      </c>
      <c r="M289" s="4">
        <v>1.0999999999999999E-2</v>
      </c>
      <c r="N289" s="4">
        <v>-5.7000000000000002E-3</v>
      </c>
      <c r="O289" s="4">
        <v>2.0000000000000001E-4</v>
      </c>
      <c r="P289" s="4">
        <v>123.54</v>
      </c>
      <c r="Q289" s="4">
        <v>0.16</v>
      </c>
      <c r="R289" s="45">
        <f>P289*E289/G289^3</f>
        <v>0.24011661807580179</v>
      </c>
      <c r="S289" s="22">
        <f>Q289*E289/G289^3</f>
        <v>3.1098153547133139E-4</v>
      </c>
    </row>
    <row r="290" spans="1:19">
      <c r="A290" s="23" t="s">
        <v>842</v>
      </c>
      <c r="B290" s="4" t="s">
        <v>1139</v>
      </c>
      <c r="D290" s="4">
        <v>0.5</v>
      </c>
      <c r="E290" s="4">
        <v>18</v>
      </c>
      <c r="F290" s="4">
        <v>8</v>
      </c>
      <c r="G290" s="4">
        <v>21</v>
      </c>
      <c r="H290" s="4">
        <v>4.9414999999999996</v>
      </c>
      <c r="I290" s="4">
        <v>4.0000000000000002E-4</v>
      </c>
      <c r="J290" s="4">
        <v>-31.013999999999999</v>
      </c>
      <c r="K290" s="4">
        <v>6.9999999999999999E-4</v>
      </c>
      <c r="L290" s="4">
        <v>7.4999999999999997E-2</v>
      </c>
      <c r="M290" s="4">
        <v>1.4999999999999999E-2</v>
      </c>
      <c r="N290" s="4">
        <v>-8.9999999999999993E-3</v>
      </c>
      <c r="O290" s="4">
        <v>2.9999999999999997E-4</v>
      </c>
      <c r="P290" s="4">
        <v>115</v>
      </c>
      <c r="Q290" s="4">
        <v>0.37</v>
      </c>
      <c r="R290" s="4">
        <f t="shared" si="24"/>
        <v>0.22351797862001943</v>
      </c>
      <c r="S290" s="22">
        <f t="shared" si="25"/>
        <v>7.1914480077745391E-4</v>
      </c>
    </row>
    <row r="291" spans="1:19">
      <c r="A291" s="44" t="s">
        <v>843</v>
      </c>
      <c r="B291" s="45" t="s">
        <v>1140</v>
      </c>
      <c r="C291" s="45"/>
      <c r="D291" s="45">
        <v>0.25</v>
      </c>
      <c r="E291" s="4">
        <v>18</v>
      </c>
      <c r="F291" s="4">
        <v>8</v>
      </c>
      <c r="G291" s="4">
        <v>21</v>
      </c>
      <c r="H291" s="45">
        <v>6.0072000000000001</v>
      </c>
      <c r="I291" s="4">
        <v>8.9999999999999998E-4</v>
      </c>
      <c r="J291" s="45">
        <v>-36.504800000000003</v>
      </c>
      <c r="K291" s="4">
        <v>1.8E-3</v>
      </c>
      <c r="L291" s="4">
        <v>2.1000000000000001E-2</v>
      </c>
      <c r="M291" s="4">
        <v>1.4E-2</v>
      </c>
      <c r="N291" s="4">
        <v>-5.4999999999999997E-3</v>
      </c>
      <c r="O291" s="4">
        <v>1E-4</v>
      </c>
      <c r="P291" s="4">
        <v>124.18</v>
      </c>
      <c r="Q291" s="4">
        <v>0.08</v>
      </c>
      <c r="R291" s="45">
        <f>P291*E291/G291^3</f>
        <v>0.2413605442176871</v>
      </c>
      <c r="S291" s="22">
        <f>Q291*E291/G291^3</f>
        <v>1.5549076773566569E-4</v>
      </c>
    </row>
    <row r="292" spans="1:19">
      <c r="A292" s="23" t="s">
        <v>843</v>
      </c>
      <c r="B292" s="4" t="s">
        <v>1140</v>
      </c>
      <c r="D292" s="4">
        <v>0.5</v>
      </c>
      <c r="E292" s="4">
        <v>18</v>
      </c>
      <c r="F292" s="4">
        <v>8</v>
      </c>
      <c r="G292" s="4">
        <v>21</v>
      </c>
      <c r="H292" s="4">
        <v>4.9988999999999999</v>
      </c>
      <c r="I292" s="4">
        <v>5.0000000000000001E-4</v>
      </c>
      <c r="J292" s="4">
        <v>-30.027899999999999</v>
      </c>
      <c r="K292" s="4">
        <v>1.6999999999999999E-3</v>
      </c>
      <c r="L292" s="4">
        <v>1.9E-2</v>
      </c>
      <c r="M292" s="4">
        <v>5.0000000000000001E-3</v>
      </c>
      <c r="N292" s="4">
        <v>-7.1000000000000004E-3</v>
      </c>
      <c r="O292" s="4">
        <v>1E-4</v>
      </c>
      <c r="P292" s="4">
        <v>121.29</v>
      </c>
      <c r="Q292" s="4">
        <v>0.09</v>
      </c>
      <c r="R292" s="4">
        <f t="shared" ref="R292:R322" si="26">P292*E292/G292^3</f>
        <v>0.23574344023323618</v>
      </c>
      <c r="S292" s="22">
        <f t="shared" ref="S292:S322" si="27">Q292*E292/G292^3</f>
        <v>1.7492711370262388E-4</v>
      </c>
    </row>
    <row r="293" spans="1:19">
      <c r="A293" s="44" t="s">
        <v>844</v>
      </c>
      <c r="B293" s="45" t="s">
        <v>1141</v>
      </c>
      <c r="C293" s="45"/>
      <c r="D293" s="45">
        <v>0.25</v>
      </c>
      <c r="E293" s="4">
        <v>18</v>
      </c>
      <c r="F293" s="4">
        <v>8</v>
      </c>
      <c r="G293" s="4">
        <v>21</v>
      </c>
      <c r="H293" s="45">
        <v>5.9298000000000002</v>
      </c>
      <c r="I293" s="4">
        <v>4.0000000000000002E-4</v>
      </c>
      <c r="J293" s="45">
        <v>-36.603000000000002</v>
      </c>
      <c r="K293" s="4">
        <v>1.1999999999999999E-3</v>
      </c>
      <c r="L293" s="4">
        <v>3.5999999999999997E-2</v>
      </c>
      <c r="M293" s="4">
        <v>8.0000000000000002E-3</v>
      </c>
      <c r="N293" s="4">
        <v>-5.5999999999999999E-3</v>
      </c>
      <c r="O293" s="4">
        <v>2.0000000000000001E-4</v>
      </c>
      <c r="P293" s="4">
        <v>124.53</v>
      </c>
      <c r="Q293" s="4">
        <v>0.15</v>
      </c>
      <c r="R293" s="45">
        <f>P293*E293/G293^3</f>
        <v>0.2420408163265306</v>
      </c>
      <c r="S293" s="22">
        <f>Q293*E293/G293^3</f>
        <v>2.9154518950437317E-4</v>
      </c>
    </row>
    <row r="294" spans="1:19">
      <c r="A294" s="23" t="s">
        <v>844</v>
      </c>
      <c r="B294" s="4" t="s">
        <v>1141</v>
      </c>
      <c r="D294" s="4">
        <v>0.5</v>
      </c>
      <c r="E294" s="4">
        <v>18</v>
      </c>
      <c r="F294" s="4">
        <v>8</v>
      </c>
      <c r="G294" s="4">
        <v>21</v>
      </c>
      <c r="H294" s="4">
        <v>4.84</v>
      </c>
      <c r="I294" s="4">
        <v>8.0000000000000004E-4</v>
      </c>
      <c r="J294" s="4">
        <v>-30.274799999999999</v>
      </c>
      <c r="K294" s="4">
        <v>2.2000000000000001E-3</v>
      </c>
      <c r="L294" s="4">
        <v>6.7000000000000004E-2</v>
      </c>
      <c r="M294" s="4">
        <v>8.9999999999999993E-3</v>
      </c>
      <c r="N294" s="4">
        <v>-7.9000000000000008E-3</v>
      </c>
      <c r="O294" s="4">
        <v>1E-4</v>
      </c>
      <c r="P294" s="4">
        <v>121.23</v>
      </c>
      <c r="Q294" s="4">
        <v>0.16</v>
      </c>
      <c r="R294" s="4">
        <f t="shared" si="26"/>
        <v>0.23562682215743438</v>
      </c>
      <c r="S294" s="22">
        <f t="shared" si="27"/>
        <v>3.1098153547133139E-4</v>
      </c>
    </row>
    <row r="295" spans="1:19">
      <c r="A295" s="44" t="s">
        <v>845</v>
      </c>
      <c r="B295" s="45" t="s">
        <v>1142</v>
      </c>
      <c r="C295" s="45"/>
      <c r="D295" s="45">
        <v>0.25</v>
      </c>
      <c r="E295" s="4">
        <v>18</v>
      </c>
      <c r="F295" s="4">
        <v>8</v>
      </c>
      <c r="G295" s="4">
        <v>21</v>
      </c>
      <c r="H295" s="45">
        <v>5.9969000000000001</v>
      </c>
      <c r="I295" s="4">
        <v>5.0000000000000001E-4</v>
      </c>
      <c r="J295" s="45">
        <v>-36.688299999999998</v>
      </c>
      <c r="K295" s="4">
        <v>8.0000000000000004E-4</v>
      </c>
      <c r="L295" s="4">
        <v>3.3000000000000002E-2</v>
      </c>
      <c r="M295" s="4">
        <v>5.0000000000000001E-3</v>
      </c>
      <c r="N295" s="4">
        <v>-5.4999999999999997E-3</v>
      </c>
      <c r="O295" s="4">
        <v>1E-4</v>
      </c>
      <c r="P295" s="4">
        <v>124.29</v>
      </c>
      <c r="Q295" s="4">
        <v>0.28000000000000003</v>
      </c>
      <c r="R295" s="45">
        <f>P295*E295/G295^3</f>
        <v>0.24157434402332364</v>
      </c>
      <c r="S295" s="22">
        <f>Q295*E295/G295^3</f>
        <v>5.4421768707483002E-4</v>
      </c>
    </row>
    <row r="296" spans="1:19">
      <c r="A296" s="23" t="s">
        <v>845</v>
      </c>
      <c r="B296" s="4" t="s">
        <v>1142</v>
      </c>
      <c r="D296" s="4">
        <v>0.5</v>
      </c>
      <c r="E296" s="4">
        <v>18</v>
      </c>
      <c r="F296" s="4">
        <v>8</v>
      </c>
      <c r="G296" s="4">
        <v>21</v>
      </c>
      <c r="H296" s="4">
        <v>4.9748999999999999</v>
      </c>
      <c r="I296" s="4">
        <v>8.0000000000000004E-4</v>
      </c>
      <c r="J296" s="4">
        <v>-30.403199999999998</v>
      </c>
      <c r="K296" s="4">
        <v>2.3E-3</v>
      </c>
      <c r="L296" s="4">
        <v>2.8000000000000001E-2</v>
      </c>
      <c r="M296" s="4">
        <v>4.0000000000000001E-3</v>
      </c>
      <c r="N296" s="4">
        <v>-7.1999999999999998E-3</v>
      </c>
      <c r="O296" s="4">
        <v>1E-4</v>
      </c>
      <c r="P296" s="4">
        <v>121.03</v>
      </c>
      <c r="Q296" s="4">
        <v>0.19</v>
      </c>
      <c r="R296" s="4">
        <f t="shared" si="26"/>
        <v>0.23523809523809525</v>
      </c>
      <c r="S296" s="22">
        <f t="shared" si="27"/>
        <v>3.6929057337220603E-4</v>
      </c>
    </row>
    <row r="297" spans="1:19">
      <c r="A297" s="44" t="s">
        <v>846</v>
      </c>
      <c r="B297" s="45" t="s">
        <v>1143</v>
      </c>
      <c r="C297" s="45"/>
      <c r="D297" s="45">
        <v>0.25</v>
      </c>
      <c r="E297" s="4">
        <v>18</v>
      </c>
      <c r="F297" s="4">
        <v>8</v>
      </c>
      <c r="G297" s="4">
        <v>21</v>
      </c>
      <c r="H297" s="45">
        <v>5.9191000000000003</v>
      </c>
      <c r="I297" s="4">
        <v>5.0000000000000001E-4</v>
      </c>
      <c r="J297" s="45">
        <v>-36.683799999999998</v>
      </c>
      <c r="K297" s="4">
        <v>1.6000000000000001E-3</v>
      </c>
      <c r="L297" s="4">
        <v>4.3999999999999997E-2</v>
      </c>
      <c r="M297" s="4">
        <v>8.0000000000000002E-3</v>
      </c>
      <c r="N297" s="4">
        <v>-5.7000000000000002E-3</v>
      </c>
      <c r="O297" s="4">
        <v>2.0000000000000001E-4</v>
      </c>
      <c r="P297" s="4">
        <v>124.36</v>
      </c>
      <c r="Q297" s="4">
        <v>0.2</v>
      </c>
      <c r="R297" s="45">
        <f>P297*E297/G297^3</f>
        <v>0.24171039844509232</v>
      </c>
      <c r="S297" s="22">
        <f>Q297*E297/G297^3</f>
        <v>3.8872691933916425E-4</v>
      </c>
    </row>
    <row r="298" spans="1:19">
      <c r="A298" s="23" t="s">
        <v>846</v>
      </c>
      <c r="B298" s="4" t="s">
        <v>1143</v>
      </c>
      <c r="D298" s="4">
        <v>0.5</v>
      </c>
      <c r="E298" s="4">
        <v>18</v>
      </c>
      <c r="F298" s="4">
        <v>8</v>
      </c>
      <c r="G298" s="4">
        <v>21</v>
      </c>
      <c r="H298" s="4">
        <v>4.8093000000000004</v>
      </c>
      <c r="I298" s="4">
        <v>1E-3</v>
      </c>
      <c r="J298" s="4">
        <v>-30.495200000000001</v>
      </c>
      <c r="K298" s="4">
        <v>1E-3</v>
      </c>
      <c r="L298" s="4">
        <v>9.2999999999999999E-2</v>
      </c>
      <c r="M298" s="4">
        <v>1.0999999999999999E-2</v>
      </c>
      <c r="N298" s="4">
        <v>-8.6E-3</v>
      </c>
      <c r="O298" s="4">
        <v>2.0000000000000001E-4</v>
      </c>
      <c r="P298" s="4">
        <v>119.82</v>
      </c>
      <c r="Q298" s="4">
        <v>0.31</v>
      </c>
      <c r="R298" s="4">
        <f t="shared" si="26"/>
        <v>0.23288629737609326</v>
      </c>
      <c r="S298" s="22">
        <f t="shared" si="27"/>
        <v>6.0252672497570462E-4</v>
      </c>
    </row>
    <row r="299" spans="1:19">
      <c r="A299" s="44" t="s">
        <v>847</v>
      </c>
      <c r="B299" s="45" t="s">
        <v>1144</v>
      </c>
      <c r="C299" s="45"/>
      <c r="D299" s="45">
        <v>0.25</v>
      </c>
      <c r="E299" s="4">
        <v>18</v>
      </c>
      <c r="F299" s="4">
        <v>8</v>
      </c>
      <c r="G299" s="4">
        <v>21</v>
      </c>
      <c r="H299" s="45">
        <v>6.0083000000000002</v>
      </c>
      <c r="I299" s="4">
        <v>6.9999999999999999E-4</v>
      </c>
      <c r="J299" s="45">
        <v>-36.531300000000002</v>
      </c>
      <c r="K299" s="4">
        <v>2E-3</v>
      </c>
      <c r="L299" s="4">
        <v>3.2000000000000001E-2</v>
      </c>
      <c r="M299" s="4">
        <v>1.2E-2</v>
      </c>
      <c r="N299" s="4">
        <v>-5.4999999999999997E-3</v>
      </c>
      <c r="O299" s="4">
        <v>2.0000000000000001E-4</v>
      </c>
      <c r="P299" s="4">
        <v>124.1</v>
      </c>
      <c r="Q299" s="4">
        <v>0.18</v>
      </c>
      <c r="R299" s="45">
        <f>P299*E299/G299^3</f>
        <v>0.24120505344995138</v>
      </c>
      <c r="S299" s="22">
        <f>Q299*E299/G299^3</f>
        <v>3.4985422740524776E-4</v>
      </c>
    </row>
    <row r="300" spans="1:19">
      <c r="A300" s="23" t="s">
        <v>847</v>
      </c>
      <c r="B300" s="4" t="s">
        <v>1144</v>
      </c>
      <c r="D300" s="4">
        <v>0.5</v>
      </c>
      <c r="E300" s="4">
        <v>18</v>
      </c>
      <c r="F300" s="4">
        <v>8</v>
      </c>
      <c r="G300" s="4">
        <v>21</v>
      </c>
      <c r="H300" s="4">
        <v>5.0037000000000003</v>
      </c>
      <c r="I300" s="4">
        <v>5.9999999999999995E-4</v>
      </c>
      <c r="J300" s="4">
        <v>-30.091899999999999</v>
      </c>
      <c r="K300" s="4">
        <v>1.6999999999999999E-3</v>
      </c>
      <c r="L300" s="4">
        <v>2.1000000000000001E-2</v>
      </c>
      <c r="M300" s="4">
        <v>4.0000000000000001E-3</v>
      </c>
      <c r="N300" s="4">
        <v>-7.3000000000000001E-3</v>
      </c>
      <c r="O300" s="4">
        <v>1E-4</v>
      </c>
      <c r="P300" s="4">
        <v>120.8</v>
      </c>
      <c r="Q300" s="4">
        <v>0.21</v>
      </c>
      <c r="R300" s="4">
        <f t="shared" si="26"/>
        <v>0.2347910592808552</v>
      </c>
      <c r="S300" s="22">
        <f t="shared" si="27"/>
        <v>4.0816326530612241E-4</v>
      </c>
    </row>
    <row r="301" spans="1:19">
      <c r="A301" s="44" t="s">
        <v>848</v>
      </c>
      <c r="B301" s="45" t="s">
        <v>1145</v>
      </c>
      <c r="C301" s="45"/>
      <c r="D301" s="45">
        <v>0.25</v>
      </c>
      <c r="E301" s="4">
        <v>18</v>
      </c>
      <c r="F301" s="4">
        <v>8</v>
      </c>
      <c r="G301" s="4">
        <v>21</v>
      </c>
      <c r="H301" s="45">
        <v>5.9916</v>
      </c>
      <c r="I301" s="4">
        <v>8.0000000000000004E-4</v>
      </c>
      <c r="J301" s="45">
        <v>-36.581800000000001</v>
      </c>
      <c r="K301" s="4">
        <v>2.5999999999999999E-3</v>
      </c>
      <c r="L301" s="4">
        <v>2.9000000000000001E-2</v>
      </c>
      <c r="M301" s="4">
        <v>0.01</v>
      </c>
      <c r="N301" s="4">
        <v>-5.5999999999999999E-3</v>
      </c>
      <c r="O301" s="4">
        <v>1E-4</v>
      </c>
      <c r="P301" s="4">
        <v>124.13</v>
      </c>
      <c r="Q301" s="4">
        <v>0.21</v>
      </c>
      <c r="R301" s="45">
        <f>P301*E301/G301^3</f>
        <v>0.2412633624878523</v>
      </c>
      <c r="S301" s="22">
        <f>Q301*E301/G301^3</f>
        <v>4.0816326530612241E-4</v>
      </c>
    </row>
    <row r="302" spans="1:19">
      <c r="A302" s="23" t="s">
        <v>848</v>
      </c>
      <c r="B302" s="4" t="s">
        <v>1145</v>
      </c>
      <c r="D302" s="4">
        <v>0.5</v>
      </c>
      <c r="E302" s="4">
        <v>18</v>
      </c>
      <c r="F302" s="4">
        <v>8</v>
      </c>
      <c r="G302" s="4">
        <v>21</v>
      </c>
      <c r="H302" s="4">
        <v>4.9672999999999998</v>
      </c>
      <c r="I302" s="4">
        <v>8.0000000000000004E-4</v>
      </c>
      <c r="J302" s="4">
        <v>-30.1934</v>
      </c>
      <c r="K302" s="4">
        <v>1E-3</v>
      </c>
      <c r="L302" s="4">
        <v>3.5999999999999997E-2</v>
      </c>
      <c r="M302" s="4">
        <v>8.9999999999999993E-3</v>
      </c>
      <c r="N302" s="4">
        <v>-7.1999999999999998E-3</v>
      </c>
      <c r="O302" s="4">
        <v>2.0000000000000001E-4</v>
      </c>
      <c r="P302" s="4">
        <v>121.39</v>
      </c>
      <c r="Q302" s="4">
        <v>0.24</v>
      </c>
      <c r="R302" s="4">
        <f t="shared" si="26"/>
        <v>0.23593780369290573</v>
      </c>
      <c r="S302" s="22">
        <f t="shared" si="27"/>
        <v>4.6647230320699711E-4</v>
      </c>
    </row>
    <row r="303" spans="1:19">
      <c r="A303" s="44" t="s">
        <v>849</v>
      </c>
      <c r="B303" s="45" t="s">
        <v>1146</v>
      </c>
      <c r="C303" s="45"/>
      <c r="D303" s="45">
        <v>0.25</v>
      </c>
      <c r="E303" s="4">
        <v>18</v>
      </c>
      <c r="F303" s="4">
        <v>8</v>
      </c>
      <c r="G303" s="4">
        <v>21</v>
      </c>
      <c r="H303" s="45">
        <v>5.9870999999999999</v>
      </c>
      <c r="I303" s="4">
        <v>8.0000000000000004E-4</v>
      </c>
      <c r="J303" s="45">
        <v>-36.628799999999998</v>
      </c>
      <c r="K303" s="4">
        <v>8.0000000000000004E-4</v>
      </c>
      <c r="L303" s="4">
        <v>2.5999999999999999E-2</v>
      </c>
      <c r="M303" s="4">
        <v>4.0000000000000001E-3</v>
      </c>
      <c r="N303" s="4">
        <v>-5.4999999999999997E-3</v>
      </c>
      <c r="O303" s="4">
        <v>1E-4</v>
      </c>
      <c r="P303" s="4">
        <v>124.29</v>
      </c>
      <c r="Q303" s="4">
        <v>0.14000000000000001</v>
      </c>
      <c r="R303" s="45">
        <f>P303*E303/G303^3</f>
        <v>0.24157434402332364</v>
      </c>
      <c r="S303" s="22">
        <f>Q303*E303/G303^3</f>
        <v>2.7210884353741501E-4</v>
      </c>
    </row>
    <row r="304" spans="1:19">
      <c r="A304" s="23" t="s">
        <v>849</v>
      </c>
      <c r="B304" s="4" t="s">
        <v>1146</v>
      </c>
      <c r="D304" s="4">
        <v>0.5</v>
      </c>
      <c r="E304" s="4">
        <v>18</v>
      </c>
      <c r="F304" s="4">
        <v>8</v>
      </c>
      <c r="G304" s="4">
        <v>21</v>
      </c>
      <c r="H304" s="4">
        <v>4.9618000000000002</v>
      </c>
      <c r="I304" s="4">
        <v>8.0000000000000004E-4</v>
      </c>
      <c r="J304" s="4">
        <v>-30.292999999999999</v>
      </c>
      <c r="K304" s="4">
        <v>3.7000000000000002E-3</v>
      </c>
      <c r="L304" s="4">
        <v>3.2000000000000001E-2</v>
      </c>
      <c r="M304" s="4">
        <v>0.01</v>
      </c>
      <c r="N304" s="4">
        <v>-7.1999999999999998E-3</v>
      </c>
      <c r="O304" s="4">
        <v>4.0000000000000002E-4</v>
      </c>
      <c r="P304" s="4">
        <v>121.44</v>
      </c>
      <c r="Q304" s="4">
        <v>0.31</v>
      </c>
      <c r="R304" s="4">
        <f t="shared" si="26"/>
        <v>0.23603498542274054</v>
      </c>
      <c r="S304" s="22">
        <f t="shared" si="27"/>
        <v>6.0252672497570462E-4</v>
      </c>
    </row>
    <row r="305" spans="1:19">
      <c r="A305" s="44" t="s">
        <v>850</v>
      </c>
      <c r="B305" s="45" t="s">
        <v>1147</v>
      </c>
      <c r="C305" s="45"/>
      <c r="D305" s="45">
        <v>0.25</v>
      </c>
      <c r="E305" s="4">
        <v>18</v>
      </c>
      <c r="F305" s="4">
        <v>8</v>
      </c>
      <c r="G305" s="4">
        <v>21</v>
      </c>
      <c r="H305" s="45">
        <v>5.9470000000000001</v>
      </c>
      <c r="I305" s="4">
        <v>5.0000000000000001E-4</v>
      </c>
      <c r="J305" s="45">
        <v>-36.740499999999997</v>
      </c>
      <c r="K305" s="4">
        <v>2.2000000000000001E-3</v>
      </c>
      <c r="L305" s="4">
        <v>3.5000000000000003E-2</v>
      </c>
      <c r="M305" s="4">
        <v>8.0000000000000002E-3</v>
      </c>
      <c r="N305" s="4">
        <v>-5.7999999999999996E-3</v>
      </c>
      <c r="O305" s="4">
        <v>2.9999999999999997E-4</v>
      </c>
      <c r="P305" s="4">
        <v>123.98</v>
      </c>
      <c r="Q305" s="4">
        <v>0.2</v>
      </c>
      <c r="R305" s="45">
        <f>P305*E305/G305^3</f>
        <v>0.24097181729834791</v>
      </c>
      <c r="S305" s="22">
        <f>Q305*E305/G305^3</f>
        <v>3.8872691933916425E-4</v>
      </c>
    </row>
    <row r="306" spans="1:19">
      <c r="A306" s="23" t="s">
        <v>850</v>
      </c>
      <c r="B306" s="4" t="s">
        <v>1147</v>
      </c>
      <c r="D306" s="4">
        <v>0.5</v>
      </c>
      <c r="E306" s="4">
        <v>18</v>
      </c>
      <c r="F306" s="4">
        <v>8</v>
      </c>
      <c r="G306" s="4">
        <v>21</v>
      </c>
      <c r="H306" s="4">
        <v>4.8701999999999996</v>
      </c>
      <c r="I306" s="4">
        <v>2.0000000000000001E-4</v>
      </c>
      <c r="J306" s="4">
        <v>-30.673400000000001</v>
      </c>
      <c r="K306" s="4">
        <v>1.2999999999999999E-3</v>
      </c>
      <c r="L306" s="4">
        <v>8.2000000000000003E-2</v>
      </c>
      <c r="M306" s="4">
        <v>8.9999999999999993E-3</v>
      </c>
      <c r="N306" s="4">
        <v>-8.8999999999999999E-3</v>
      </c>
      <c r="O306" s="4">
        <v>4.0000000000000002E-4</v>
      </c>
      <c r="P306" s="4">
        <v>117.68</v>
      </c>
      <c r="Q306" s="4">
        <v>0.41</v>
      </c>
      <c r="R306" s="4">
        <f t="shared" si="26"/>
        <v>0.22872691933916425</v>
      </c>
      <c r="S306" s="22">
        <f t="shared" si="27"/>
        <v>7.9689018464528666E-4</v>
      </c>
    </row>
    <row r="307" spans="1:19">
      <c r="A307" s="44" t="s">
        <v>851</v>
      </c>
      <c r="B307" s="45" t="s">
        <v>1148</v>
      </c>
      <c r="C307" s="45"/>
      <c r="D307" s="45">
        <v>0.25</v>
      </c>
      <c r="E307" s="4">
        <v>18</v>
      </c>
      <c r="F307" s="4">
        <v>8</v>
      </c>
      <c r="G307" s="4">
        <v>21</v>
      </c>
      <c r="H307" s="45">
        <v>5.9916999999999998</v>
      </c>
      <c r="I307" s="4">
        <v>4.0000000000000002E-4</v>
      </c>
      <c r="J307" s="45">
        <v>-36.696300000000001</v>
      </c>
      <c r="K307" s="4">
        <v>8.0000000000000004E-4</v>
      </c>
      <c r="L307" s="4">
        <v>2.5000000000000001E-2</v>
      </c>
      <c r="M307" s="4">
        <v>0.01</v>
      </c>
      <c r="N307" s="4">
        <v>-5.7999999999999996E-3</v>
      </c>
      <c r="O307" s="4">
        <v>2.0000000000000001E-4</v>
      </c>
      <c r="P307" s="4">
        <v>123.9</v>
      </c>
      <c r="Q307" s="4">
        <v>0.14000000000000001</v>
      </c>
      <c r="R307" s="45">
        <f>P307*E307/G307^3</f>
        <v>0.24081632653061227</v>
      </c>
      <c r="S307" s="22">
        <f>Q307*E307/G307^3</f>
        <v>2.7210884353741501E-4</v>
      </c>
    </row>
    <row r="308" spans="1:19">
      <c r="A308" s="23" t="s">
        <v>851</v>
      </c>
      <c r="B308" s="4" t="s">
        <v>1148</v>
      </c>
      <c r="D308" s="4">
        <v>0.5</v>
      </c>
      <c r="E308" s="4">
        <v>18</v>
      </c>
      <c r="F308" s="4">
        <v>8</v>
      </c>
      <c r="G308" s="4">
        <v>21</v>
      </c>
      <c r="H308" s="4">
        <v>4.9645000000000001</v>
      </c>
      <c r="I308" s="4">
        <v>2.0000000000000001E-4</v>
      </c>
      <c r="J308" s="4">
        <v>-30.507400000000001</v>
      </c>
      <c r="K308" s="4">
        <v>6.9999999999999999E-4</v>
      </c>
      <c r="L308" s="4">
        <v>4.2999999999999997E-2</v>
      </c>
      <c r="M308" s="4">
        <v>7.0000000000000001E-3</v>
      </c>
      <c r="N308" s="4">
        <v>-7.9000000000000008E-3</v>
      </c>
      <c r="O308" s="4">
        <v>0</v>
      </c>
      <c r="P308" s="4">
        <v>119.24</v>
      </c>
      <c r="Q308" s="4">
        <v>0.08</v>
      </c>
      <c r="R308" s="4">
        <f t="shared" si="26"/>
        <v>0.23175898931000968</v>
      </c>
      <c r="S308" s="22">
        <f t="shared" si="27"/>
        <v>1.5549076773566569E-4</v>
      </c>
    </row>
    <row r="309" spans="1:19">
      <c r="A309" s="44" t="s">
        <v>852</v>
      </c>
      <c r="B309" s="45" t="s">
        <v>1149</v>
      </c>
      <c r="C309" s="45"/>
      <c r="D309" s="45">
        <v>0.25</v>
      </c>
      <c r="E309" s="4">
        <v>18</v>
      </c>
      <c r="F309" s="4">
        <v>8</v>
      </c>
      <c r="G309" s="4">
        <v>21</v>
      </c>
      <c r="H309" s="45">
        <v>5.9363000000000001</v>
      </c>
      <c r="I309" s="4">
        <v>8.9999999999999998E-4</v>
      </c>
      <c r="J309" s="45">
        <v>-36.889000000000003</v>
      </c>
      <c r="K309" s="4">
        <v>5.1999999999999998E-3</v>
      </c>
      <c r="L309" s="4">
        <v>3.4000000000000002E-2</v>
      </c>
      <c r="M309" s="4">
        <v>0.128</v>
      </c>
      <c r="N309" s="4">
        <v>-5.7999999999999996E-3</v>
      </c>
      <c r="O309" s="4">
        <v>2.8999999999999998E-3</v>
      </c>
      <c r="P309" s="4">
        <v>123.89</v>
      </c>
      <c r="Q309" s="4">
        <v>1.31</v>
      </c>
      <c r="R309" s="45">
        <f>P309*E309/G309^3</f>
        <v>0.24079689018464528</v>
      </c>
      <c r="S309" s="22">
        <f>Q309*E309/G309^3</f>
        <v>2.5461613216715261E-3</v>
      </c>
    </row>
    <row r="310" spans="1:19">
      <c r="A310" s="23" t="s">
        <v>852</v>
      </c>
      <c r="B310" s="4" t="s">
        <v>1149</v>
      </c>
      <c r="D310" s="4">
        <v>0.5</v>
      </c>
      <c r="E310" s="4">
        <v>18</v>
      </c>
      <c r="F310" s="4">
        <v>8</v>
      </c>
      <c r="G310" s="4">
        <v>21</v>
      </c>
      <c r="H310" s="4">
        <v>4.8407</v>
      </c>
      <c r="I310" s="4">
        <v>5.0000000000000001E-4</v>
      </c>
      <c r="J310" s="4">
        <v>-31.077100000000002</v>
      </c>
      <c r="K310" s="4">
        <v>2.2000000000000001E-3</v>
      </c>
      <c r="L310" s="4">
        <v>0.11799999999999999</v>
      </c>
      <c r="M310" s="4">
        <v>7.0000000000000001E-3</v>
      </c>
      <c r="N310" s="4">
        <v>-9.1000000000000004E-3</v>
      </c>
      <c r="O310" s="4">
        <v>2.0000000000000001E-4</v>
      </c>
      <c r="P310" s="4">
        <v>116.72</v>
      </c>
      <c r="Q310" s="4">
        <v>0.22</v>
      </c>
      <c r="R310" s="4">
        <f t="shared" si="26"/>
        <v>0.22686103012633627</v>
      </c>
      <c r="S310" s="22">
        <f t="shared" si="27"/>
        <v>4.2759961127308068E-4</v>
      </c>
    </row>
    <row r="311" spans="1:19">
      <c r="A311" s="44" t="s">
        <v>853</v>
      </c>
      <c r="B311" s="45" t="s">
        <v>1150</v>
      </c>
      <c r="C311" s="45"/>
      <c r="D311" s="45">
        <v>0.25</v>
      </c>
      <c r="E311" s="4">
        <v>18</v>
      </c>
      <c r="F311" s="4">
        <v>8</v>
      </c>
      <c r="G311" s="4">
        <v>21</v>
      </c>
      <c r="H311" s="45">
        <v>5.9611000000000001</v>
      </c>
      <c r="I311" s="4">
        <v>8.9999999999999998E-4</v>
      </c>
      <c r="J311" s="45">
        <v>-36.672400000000003</v>
      </c>
      <c r="K311" s="4">
        <v>1.9E-3</v>
      </c>
      <c r="L311" s="4">
        <v>3.7999999999999999E-2</v>
      </c>
      <c r="M311" s="4">
        <v>0.01</v>
      </c>
      <c r="N311" s="4">
        <v>-5.4999999999999997E-3</v>
      </c>
      <c r="O311" s="4">
        <v>2.0000000000000001E-4</v>
      </c>
      <c r="P311" s="4">
        <v>124.61</v>
      </c>
      <c r="Q311" s="4">
        <v>0.24</v>
      </c>
      <c r="R311" s="45">
        <f>P311*E311/G311^3</f>
        <v>0.24219630709426629</v>
      </c>
      <c r="S311" s="22">
        <f>Q311*E311/G311^3</f>
        <v>4.6647230320699711E-4</v>
      </c>
    </row>
    <row r="312" spans="1:19">
      <c r="A312" s="23" t="s">
        <v>853</v>
      </c>
      <c r="B312" s="4" t="s">
        <v>1150</v>
      </c>
      <c r="D312" s="4">
        <v>0.5</v>
      </c>
      <c r="E312" s="4">
        <v>18</v>
      </c>
      <c r="F312" s="4">
        <v>8</v>
      </c>
      <c r="G312" s="4">
        <v>21</v>
      </c>
      <c r="H312" s="4">
        <v>4.9055</v>
      </c>
      <c r="I312" s="4">
        <v>6.9999999999999999E-4</v>
      </c>
      <c r="J312" s="4">
        <v>-30.310400000000001</v>
      </c>
      <c r="K312" s="4">
        <v>1E-3</v>
      </c>
      <c r="L312" s="4">
        <v>4.4999999999999998E-2</v>
      </c>
      <c r="M312" s="4">
        <v>1.2999999999999999E-2</v>
      </c>
      <c r="N312" s="4">
        <v>-7.1000000000000004E-3</v>
      </c>
      <c r="O312" s="4">
        <v>2.9999999999999997E-4</v>
      </c>
      <c r="P312" s="4">
        <v>122.68</v>
      </c>
      <c r="Q312" s="4">
        <v>0.23</v>
      </c>
      <c r="R312" s="4">
        <f t="shared" si="26"/>
        <v>0.23844509232264338</v>
      </c>
      <c r="S312" s="22">
        <f t="shared" si="27"/>
        <v>4.4703595724003895E-4</v>
      </c>
    </row>
    <row r="313" spans="1:19">
      <c r="A313" s="44" t="s">
        <v>854</v>
      </c>
      <c r="B313" s="45" t="s">
        <v>1151</v>
      </c>
      <c r="C313" s="45"/>
      <c r="D313" s="45">
        <v>0.25</v>
      </c>
      <c r="E313" s="4">
        <v>18</v>
      </c>
      <c r="F313" s="4">
        <v>8</v>
      </c>
      <c r="G313" s="4">
        <v>21</v>
      </c>
      <c r="H313" s="45">
        <v>5.9835000000000003</v>
      </c>
      <c r="I313" s="4">
        <v>2.9999999999999997E-4</v>
      </c>
      <c r="J313" s="45">
        <v>-36.545699999999997</v>
      </c>
      <c r="K313" s="4">
        <v>1.1000000000000001E-3</v>
      </c>
      <c r="L313" s="4">
        <v>2.3E-2</v>
      </c>
      <c r="M313" s="4">
        <v>3.0000000000000001E-3</v>
      </c>
      <c r="N313" s="4">
        <v>-5.4999999999999997E-3</v>
      </c>
      <c r="O313" s="4">
        <v>1E-4</v>
      </c>
      <c r="P313" s="4">
        <v>124.52</v>
      </c>
      <c r="Q313" s="4">
        <v>0.05</v>
      </c>
      <c r="R313" s="45">
        <f>P313*E313/G313^3</f>
        <v>0.24202137998056367</v>
      </c>
      <c r="S313" s="22">
        <f>Q313*E313/G313^3</f>
        <v>9.7181729834791062E-5</v>
      </c>
    </row>
    <row r="314" spans="1:19">
      <c r="A314" s="23" t="s">
        <v>854</v>
      </c>
      <c r="B314" s="4" t="s">
        <v>1151</v>
      </c>
      <c r="D314" s="4">
        <v>0.5</v>
      </c>
      <c r="E314" s="4">
        <v>18</v>
      </c>
      <c r="F314" s="4">
        <v>8</v>
      </c>
      <c r="G314" s="4">
        <v>21</v>
      </c>
      <c r="H314" s="4">
        <v>4.9485999999999999</v>
      </c>
      <c r="I314" s="4">
        <v>5.9999999999999995E-4</v>
      </c>
      <c r="J314" s="4">
        <v>-30.102399999999999</v>
      </c>
      <c r="K314" s="4">
        <v>5.0000000000000001E-4</v>
      </c>
      <c r="L314" s="4">
        <v>3.7999999999999999E-2</v>
      </c>
      <c r="M314" s="4">
        <v>8.0000000000000002E-3</v>
      </c>
      <c r="N314" s="4">
        <v>-7.1000000000000004E-3</v>
      </c>
      <c r="O314" s="4">
        <v>2.0000000000000001E-4</v>
      </c>
      <c r="P314" s="4">
        <v>121.94</v>
      </c>
      <c r="Q314" s="4">
        <v>0.19</v>
      </c>
      <c r="R314" s="4">
        <f t="shared" si="26"/>
        <v>0.23700680272108846</v>
      </c>
      <c r="S314" s="22">
        <f t="shared" si="27"/>
        <v>3.6929057337220603E-4</v>
      </c>
    </row>
    <row r="315" spans="1:19">
      <c r="A315" s="44" t="s">
        <v>855</v>
      </c>
      <c r="B315" s="45" t="s">
        <v>1152</v>
      </c>
      <c r="C315" s="45"/>
      <c r="D315" s="45">
        <v>0.25</v>
      </c>
      <c r="E315" s="4">
        <v>18</v>
      </c>
      <c r="F315" s="4">
        <v>8</v>
      </c>
      <c r="G315" s="4">
        <v>21</v>
      </c>
      <c r="H315" s="45">
        <v>5.9561000000000002</v>
      </c>
      <c r="I315" s="4">
        <v>8.9999999999999998E-4</v>
      </c>
      <c r="J315" s="45">
        <v>-36.667900000000003</v>
      </c>
      <c r="K315" s="4">
        <v>1.6000000000000001E-3</v>
      </c>
      <c r="L315" s="4">
        <v>6.8000000000000005E-2</v>
      </c>
      <c r="M315" s="4">
        <v>1.6E-2</v>
      </c>
      <c r="N315" s="4">
        <v>-5.5999999999999999E-3</v>
      </c>
      <c r="O315" s="4">
        <v>1E-4</v>
      </c>
      <c r="P315" s="4">
        <v>124.23</v>
      </c>
      <c r="Q315" s="4">
        <v>0.26</v>
      </c>
      <c r="R315" s="45">
        <f>P315*E315/G315^3</f>
        <v>0.24145772594752185</v>
      </c>
      <c r="S315" s="22">
        <f>Q315*E315/G315^3</f>
        <v>5.0534499514091349E-4</v>
      </c>
    </row>
    <row r="316" spans="1:19">
      <c r="A316" s="23" t="s">
        <v>855</v>
      </c>
      <c r="B316" s="4" t="s">
        <v>1152</v>
      </c>
      <c r="D316" s="4">
        <v>0.5</v>
      </c>
      <c r="E316" s="4">
        <v>18</v>
      </c>
      <c r="F316" s="4">
        <v>8</v>
      </c>
      <c r="G316" s="4">
        <v>21</v>
      </c>
      <c r="H316" s="4">
        <v>4.8865999999999996</v>
      </c>
      <c r="I316" s="4">
        <v>5.0000000000000001E-4</v>
      </c>
      <c r="J316" s="4">
        <v>-30.3919</v>
      </c>
      <c r="K316" s="4">
        <v>1.8E-3</v>
      </c>
      <c r="L316" s="4">
        <v>5.3999999999999999E-2</v>
      </c>
      <c r="M316" s="4">
        <v>7.0000000000000001E-3</v>
      </c>
      <c r="N316" s="4">
        <v>-7.7999999999999996E-3</v>
      </c>
      <c r="O316" s="4">
        <v>1E-4</v>
      </c>
      <c r="P316" s="4">
        <v>120.89</v>
      </c>
      <c r="Q316" s="4">
        <v>0.17</v>
      </c>
      <c r="R316" s="4">
        <f t="shared" si="26"/>
        <v>0.23496598639455782</v>
      </c>
      <c r="S316" s="22">
        <f t="shared" si="27"/>
        <v>3.304178814382896E-4</v>
      </c>
    </row>
    <row r="317" spans="1:19">
      <c r="A317" s="44" t="s">
        <v>856</v>
      </c>
      <c r="B317" s="45" t="s">
        <v>1153</v>
      </c>
      <c r="C317" s="45"/>
      <c r="D317" s="45">
        <v>0.25</v>
      </c>
      <c r="E317" s="4">
        <v>18</v>
      </c>
      <c r="F317" s="4">
        <v>8</v>
      </c>
      <c r="G317" s="4">
        <v>21</v>
      </c>
      <c r="H317" s="45">
        <v>5.9924999999999997</v>
      </c>
      <c r="I317" s="4">
        <v>4.0000000000000002E-4</v>
      </c>
      <c r="J317" s="45">
        <v>-36.680700000000002</v>
      </c>
      <c r="K317" s="4">
        <v>5.0000000000000001E-4</v>
      </c>
      <c r="L317" s="4">
        <v>2.8000000000000001E-2</v>
      </c>
      <c r="M317" s="4">
        <v>5.0000000000000001E-3</v>
      </c>
      <c r="N317" s="4">
        <v>-5.7000000000000002E-3</v>
      </c>
      <c r="O317" s="4">
        <v>1E-4</v>
      </c>
      <c r="P317" s="4">
        <v>123.58</v>
      </c>
      <c r="Q317" s="4">
        <v>0.16</v>
      </c>
      <c r="R317" s="45">
        <f>P317*E317/G317^3</f>
        <v>0.24019436345966957</v>
      </c>
      <c r="S317" s="22">
        <f>Q317*E317/G317^3</f>
        <v>3.1098153547133139E-4</v>
      </c>
    </row>
    <row r="318" spans="1:19">
      <c r="A318" s="23" t="s">
        <v>856</v>
      </c>
      <c r="B318" s="4" t="s">
        <v>1153</v>
      </c>
      <c r="D318" s="4">
        <v>0.5</v>
      </c>
      <c r="E318" s="4">
        <v>18</v>
      </c>
      <c r="F318" s="4">
        <v>8</v>
      </c>
      <c r="G318" s="4">
        <v>21</v>
      </c>
      <c r="H318" s="4">
        <v>4.9715999999999996</v>
      </c>
      <c r="I318" s="4">
        <v>1E-3</v>
      </c>
      <c r="J318" s="4">
        <v>-30.559799999999999</v>
      </c>
      <c r="K318" s="4">
        <v>3.0000000000000001E-3</v>
      </c>
      <c r="L318" s="4">
        <v>0.11899999999999999</v>
      </c>
      <c r="M318" s="4">
        <v>3.6999999999999998E-2</v>
      </c>
      <c r="N318" s="4">
        <v>-7.6E-3</v>
      </c>
      <c r="O318" s="4">
        <v>3.0999999999999999E-3</v>
      </c>
      <c r="P318" s="4">
        <v>118.25</v>
      </c>
      <c r="Q318" s="4">
        <v>1.58</v>
      </c>
      <c r="R318" s="4">
        <f t="shared" si="26"/>
        <v>0.22983479105928087</v>
      </c>
      <c r="S318" s="22">
        <f t="shared" si="27"/>
        <v>3.0709426627793975E-3</v>
      </c>
    </row>
    <row r="319" spans="1:19">
      <c r="A319" s="44" t="s">
        <v>857</v>
      </c>
      <c r="B319" s="45" t="s">
        <v>1154</v>
      </c>
      <c r="C319" s="45"/>
      <c r="D319" s="45">
        <v>0.25</v>
      </c>
      <c r="E319" s="4">
        <v>18</v>
      </c>
      <c r="F319" s="4">
        <v>8</v>
      </c>
      <c r="G319" s="4">
        <v>21</v>
      </c>
      <c r="H319" s="45">
        <v>6.0052000000000003</v>
      </c>
      <c r="I319" s="4">
        <v>8.9999999999999998E-4</v>
      </c>
      <c r="J319" s="45">
        <v>-36.527099999999997</v>
      </c>
      <c r="K319" s="4">
        <v>2.5999999999999999E-3</v>
      </c>
      <c r="L319" s="4">
        <v>2.7E-2</v>
      </c>
      <c r="M319" s="4">
        <v>6.0000000000000001E-3</v>
      </c>
      <c r="N319" s="4">
        <v>-5.4999999999999997E-3</v>
      </c>
      <c r="O319" s="4">
        <v>2.0000000000000001E-4</v>
      </c>
      <c r="P319" s="4">
        <v>124.26</v>
      </c>
      <c r="Q319" s="4">
        <v>0.31</v>
      </c>
      <c r="R319" s="45">
        <f>P319*E319/G319^3</f>
        <v>0.24151603498542276</v>
      </c>
      <c r="S319" s="22">
        <f>Q319*E319/G319^3</f>
        <v>6.0252672497570462E-4</v>
      </c>
    </row>
    <row r="320" spans="1:19">
      <c r="A320" s="23" t="s">
        <v>857</v>
      </c>
      <c r="B320" s="4" t="s">
        <v>1154</v>
      </c>
      <c r="D320" s="4">
        <v>0.5</v>
      </c>
      <c r="E320" s="4">
        <v>18</v>
      </c>
      <c r="F320" s="4">
        <v>8</v>
      </c>
      <c r="G320" s="4">
        <v>21</v>
      </c>
      <c r="H320" s="4">
        <v>4.9957000000000003</v>
      </c>
      <c r="I320" s="4">
        <v>6.9999999999999999E-4</v>
      </c>
      <c r="J320" s="4">
        <v>-30.0822</v>
      </c>
      <c r="K320" s="4">
        <v>2.7000000000000001E-3</v>
      </c>
      <c r="L320" s="4">
        <v>2.1999999999999999E-2</v>
      </c>
      <c r="M320" s="4">
        <v>8.9999999999999993E-3</v>
      </c>
      <c r="N320" s="4">
        <v>-7.0000000000000001E-3</v>
      </c>
      <c r="O320" s="4">
        <v>2.9999999999999997E-4</v>
      </c>
      <c r="P320" s="4">
        <v>121.17</v>
      </c>
      <c r="Q320" s="4">
        <v>0.35</v>
      </c>
      <c r="R320" s="4">
        <f t="shared" si="26"/>
        <v>0.23551020408163265</v>
      </c>
      <c r="S320" s="22">
        <f t="shared" si="27"/>
        <v>6.8027210884353737E-4</v>
      </c>
    </row>
    <row r="321" spans="1:19">
      <c r="A321" s="44" t="s">
        <v>858</v>
      </c>
      <c r="B321" s="45" t="s">
        <v>1155</v>
      </c>
      <c r="C321" s="45"/>
      <c r="D321" s="45">
        <v>0.25</v>
      </c>
      <c r="E321" s="4">
        <v>18</v>
      </c>
      <c r="F321" s="4">
        <v>8</v>
      </c>
      <c r="G321" s="4">
        <v>21</v>
      </c>
      <c r="H321" s="45">
        <v>6.0052000000000003</v>
      </c>
      <c r="I321" s="4">
        <v>8.9999999999999998E-4</v>
      </c>
      <c r="J321" s="45">
        <v>-36.527099999999997</v>
      </c>
      <c r="K321" s="4">
        <v>2.5999999999999999E-3</v>
      </c>
      <c r="L321" s="4">
        <v>2.7E-2</v>
      </c>
      <c r="M321" s="4">
        <v>6.0000000000000001E-3</v>
      </c>
      <c r="N321" s="4">
        <v>-5.4999999999999997E-3</v>
      </c>
      <c r="O321" s="4">
        <v>2.0000000000000001E-4</v>
      </c>
      <c r="P321" s="4">
        <v>124.26</v>
      </c>
      <c r="Q321" s="4">
        <v>0.31</v>
      </c>
      <c r="R321" s="45">
        <f>P321*E321/G321^3</f>
        <v>0.24151603498542276</v>
      </c>
      <c r="S321" s="22">
        <f>Q321*E321/G321^3</f>
        <v>6.0252672497570462E-4</v>
      </c>
    </row>
    <row r="322" spans="1:19">
      <c r="A322" s="23" t="s">
        <v>858</v>
      </c>
      <c r="B322" s="4" t="s">
        <v>1155</v>
      </c>
      <c r="D322" s="4">
        <v>0.5</v>
      </c>
      <c r="E322" s="4">
        <v>18</v>
      </c>
      <c r="F322" s="4">
        <v>8</v>
      </c>
      <c r="G322" s="4">
        <v>21</v>
      </c>
      <c r="H322" s="4">
        <v>4.9210000000000003</v>
      </c>
      <c r="I322" s="4">
        <v>1E-4</v>
      </c>
      <c r="J322" s="4">
        <v>-30.441500000000001</v>
      </c>
      <c r="K322" s="4">
        <v>1.4E-3</v>
      </c>
      <c r="L322" s="4">
        <v>3.6999999999999998E-2</v>
      </c>
      <c r="M322" s="4">
        <v>5.0000000000000001E-3</v>
      </c>
      <c r="N322" s="4">
        <v>-7.1999999999999998E-3</v>
      </c>
      <c r="O322" s="4">
        <v>2.9999999999999997E-4</v>
      </c>
      <c r="P322" s="4">
        <v>121.82</v>
      </c>
      <c r="Q322" s="4">
        <v>0.28000000000000003</v>
      </c>
      <c r="R322" s="4">
        <f t="shared" si="26"/>
        <v>0.23677356656948492</v>
      </c>
      <c r="S322" s="22">
        <f t="shared" si="27"/>
        <v>5.4421768707483002E-4</v>
      </c>
    </row>
    <row r="323" spans="1:19" ht="17" thickBot="1">
      <c r="A323" s="134" t="s">
        <v>859</v>
      </c>
      <c r="B323" s="122" t="s">
        <v>1156</v>
      </c>
      <c r="C323" s="123" t="s">
        <v>17</v>
      </c>
      <c r="D323" s="123">
        <v>0.25</v>
      </c>
      <c r="E323" s="10">
        <v>18</v>
      </c>
      <c r="F323" s="10">
        <v>8</v>
      </c>
      <c r="G323" s="10">
        <v>21</v>
      </c>
      <c r="H323" s="123">
        <v>5.9724000000000004</v>
      </c>
      <c r="I323" s="10">
        <v>8.0000000000000004E-4</v>
      </c>
      <c r="J323" s="123">
        <v>-37.4651</v>
      </c>
      <c r="K323" s="10">
        <v>2.3E-3</v>
      </c>
      <c r="L323" s="10">
        <v>5.3999999999999999E-2</v>
      </c>
      <c r="M323" s="10">
        <v>1.4999999999999999E-2</v>
      </c>
      <c r="N323" s="10">
        <v>-6.4999999999999997E-3</v>
      </c>
      <c r="O323" s="10">
        <v>2.0000000000000001E-4</v>
      </c>
      <c r="P323" s="10">
        <v>120.79</v>
      </c>
      <c r="Q323" s="10">
        <v>0.21</v>
      </c>
      <c r="R323" s="123">
        <f>P323*E323/G323^3</f>
        <v>0.23477162293488826</v>
      </c>
      <c r="S323" s="26">
        <f>Q323*E323/G323^3</f>
        <v>4.0816326530612241E-4</v>
      </c>
    </row>
    <row r="324" spans="1:19" ht="17" thickTop="1">
      <c r="A324" s="102" t="s">
        <v>860</v>
      </c>
      <c r="B324" s="119" t="s">
        <v>1157</v>
      </c>
      <c r="C324" s="119"/>
      <c r="D324" s="119">
        <v>0.25</v>
      </c>
      <c r="E324" s="7">
        <v>18</v>
      </c>
      <c r="F324" s="7">
        <v>9</v>
      </c>
      <c r="G324" s="7">
        <v>21</v>
      </c>
      <c r="H324" s="119">
        <v>6.1245000000000003</v>
      </c>
      <c r="I324" s="7">
        <v>4.0000000000000002E-4</v>
      </c>
      <c r="J324" s="119">
        <v>-37.774299999999997</v>
      </c>
      <c r="K324" s="7">
        <v>2E-3</v>
      </c>
      <c r="L324" s="7">
        <v>0.04</v>
      </c>
      <c r="M324" s="7">
        <v>4.0000000000000001E-3</v>
      </c>
      <c r="N324" s="7">
        <v>-5.4000000000000003E-3</v>
      </c>
      <c r="O324" s="7">
        <v>2.0000000000000001E-4</v>
      </c>
      <c r="P324" s="7">
        <v>124.46</v>
      </c>
      <c r="Q324" s="7">
        <v>0.27</v>
      </c>
      <c r="R324" s="119">
        <f>P324*E324/G324^3</f>
        <v>0.24190476190476187</v>
      </c>
      <c r="S324" s="18">
        <f>Q324*E324/G324^3</f>
        <v>5.2478134110787176E-4</v>
      </c>
    </row>
    <row r="325" spans="1:19">
      <c r="A325" s="23" t="s">
        <v>860</v>
      </c>
      <c r="B325" s="4" t="s">
        <v>1157</v>
      </c>
      <c r="D325" s="4">
        <v>0.5</v>
      </c>
      <c r="E325" s="4">
        <v>18</v>
      </c>
      <c r="F325" s="4">
        <v>9</v>
      </c>
      <c r="G325" s="4">
        <v>21</v>
      </c>
      <c r="H325" s="4">
        <v>5.2294999999999998</v>
      </c>
      <c r="I325" s="4">
        <v>5.9999999999999995E-4</v>
      </c>
      <c r="J325" s="4">
        <v>-32.585799999999999</v>
      </c>
      <c r="K325" s="4">
        <v>8.9999999999999998E-4</v>
      </c>
      <c r="L325" s="4">
        <v>6.0999999999999999E-2</v>
      </c>
      <c r="M325" s="4">
        <v>7.0000000000000001E-3</v>
      </c>
      <c r="N325" s="4">
        <v>-7.1999999999999998E-3</v>
      </c>
      <c r="O325" s="4">
        <v>2.0000000000000001E-4</v>
      </c>
      <c r="P325" s="4">
        <v>121.44</v>
      </c>
      <c r="Q325" s="4">
        <v>0.24</v>
      </c>
      <c r="R325" s="4">
        <f t="shared" ref="R325:R444" si="28">P325*E325/G325^3</f>
        <v>0.23603498542274054</v>
      </c>
      <c r="S325" s="22">
        <f t="shared" ref="S325:S444" si="29">Q325*E325/G325^3</f>
        <v>4.6647230320699711E-4</v>
      </c>
    </row>
    <row r="326" spans="1:19">
      <c r="A326" s="28" t="s">
        <v>860</v>
      </c>
      <c r="B326" s="29" t="s">
        <v>1157</v>
      </c>
      <c r="C326" s="29"/>
      <c r="D326" s="29">
        <v>0.75</v>
      </c>
      <c r="E326" s="4">
        <v>18</v>
      </c>
      <c r="F326" s="4">
        <v>9</v>
      </c>
      <c r="G326" s="4">
        <v>21</v>
      </c>
      <c r="H326" s="29">
        <v>4.335</v>
      </c>
      <c r="I326" s="4">
        <v>8.9999999999999998E-4</v>
      </c>
      <c r="J326" s="29">
        <v>-27.8734</v>
      </c>
      <c r="K326" s="4">
        <v>2E-3</v>
      </c>
      <c r="L326" s="4">
        <v>0.105</v>
      </c>
      <c r="M326" s="4">
        <v>2.5999999999999999E-2</v>
      </c>
      <c r="N326" s="4">
        <v>-1.0500000000000001E-2</v>
      </c>
      <c r="O326" s="4">
        <v>2.0000000000000001E-4</v>
      </c>
      <c r="P326" s="4">
        <v>113.23</v>
      </c>
      <c r="Q326" s="4">
        <v>0.18</v>
      </c>
      <c r="R326" s="29">
        <f t="shared" si="28"/>
        <v>0.22007774538386785</v>
      </c>
      <c r="S326" s="22">
        <f t="shared" si="29"/>
        <v>3.4985422740524776E-4</v>
      </c>
    </row>
    <row r="327" spans="1:19">
      <c r="A327" s="44" t="s">
        <v>861</v>
      </c>
      <c r="B327" s="45" t="s">
        <v>1158</v>
      </c>
      <c r="C327" s="45"/>
      <c r="D327" s="45">
        <v>0.25</v>
      </c>
      <c r="E327" s="4">
        <v>18</v>
      </c>
      <c r="F327" s="4">
        <v>9</v>
      </c>
      <c r="G327" s="4">
        <v>21</v>
      </c>
      <c r="H327" s="45">
        <v>6.1670999999999996</v>
      </c>
      <c r="I327" s="4">
        <v>5.0000000000000001E-4</v>
      </c>
      <c r="J327" s="45">
        <v>-37.660299999999999</v>
      </c>
      <c r="K327" s="4">
        <v>8.9999999999999998E-4</v>
      </c>
      <c r="L327" s="4">
        <v>2.7E-2</v>
      </c>
      <c r="M327" s="4">
        <v>8.0000000000000002E-3</v>
      </c>
      <c r="N327" s="4">
        <v>-5.4000000000000003E-3</v>
      </c>
      <c r="O327" s="4">
        <v>2.0000000000000001E-4</v>
      </c>
      <c r="P327" s="4">
        <v>124.31</v>
      </c>
      <c r="Q327" s="4">
        <v>0.16</v>
      </c>
      <c r="R327" s="45">
        <f>P327*E327/G327^3</f>
        <v>0.24161321671525751</v>
      </c>
      <c r="S327" s="22">
        <f>Q327*E327/G327^3</f>
        <v>3.1098153547133139E-4</v>
      </c>
    </row>
    <row r="328" spans="1:19">
      <c r="A328" s="23" t="s">
        <v>861</v>
      </c>
      <c r="B328" s="4" t="s">
        <v>1158</v>
      </c>
      <c r="D328" s="4">
        <v>0.5</v>
      </c>
      <c r="E328" s="4">
        <v>18</v>
      </c>
      <c r="F328" s="4">
        <v>9</v>
      </c>
      <c r="G328" s="4">
        <v>21</v>
      </c>
      <c r="H328" s="4">
        <v>5.3174999999999999</v>
      </c>
      <c r="I328" s="4">
        <v>8.9999999999999998E-4</v>
      </c>
      <c r="J328" s="4">
        <v>-32.334899999999998</v>
      </c>
      <c r="K328" s="4">
        <v>2E-3</v>
      </c>
      <c r="L328" s="4">
        <v>0.04</v>
      </c>
      <c r="M328" s="4">
        <v>3.0000000000000001E-3</v>
      </c>
      <c r="N328" s="4">
        <v>-6.6E-3</v>
      </c>
      <c r="O328" s="4">
        <v>2.0000000000000001E-4</v>
      </c>
      <c r="P328" s="4">
        <v>121.81</v>
      </c>
      <c r="Q328" s="4">
        <v>0.25</v>
      </c>
      <c r="R328" s="4">
        <f t="shared" ref="R328:R330" si="30">P328*E328/G328^3</f>
        <v>0.23675413022351796</v>
      </c>
      <c r="S328" s="22">
        <f t="shared" ref="S328:S330" si="31">Q328*E328/G328^3</f>
        <v>4.8590864917395527E-4</v>
      </c>
    </row>
    <row r="329" spans="1:19">
      <c r="A329" s="28" t="s">
        <v>861</v>
      </c>
      <c r="B329" s="29" t="s">
        <v>1158</v>
      </c>
      <c r="C329" s="29"/>
      <c r="D329" s="29">
        <v>0.75</v>
      </c>
      <c r="E329" s="4">
        <v>18</v>
      </c>
      <c r="F329" s="4">
        <v>9</v>
      </c>
      <c r="G329" s="4">
        <v>21</v>
      </c>
      <c r="H329" s="29">
        <v>4.4843999999999999</v>
      </c>
      <c r="I329" s="4">
        <v>8.9999999999999998E-4</v>
      </c>
      <c r="J329" s="29">
        <v>-27.395499999999998</v>
      </c>
      <c r="K329" s="4">
        <v>2.7000000000000001E-3</v>
      </c>
      <c r="L329" s="4">
        <v>5.7000000000000002E-2</v>
      </c>
      <c r="M329" s="4">
        <v>0.01</v>
      </c>
      <c r="N329" s="4">
        <v>-9.1999999999999998E-3</v>
      </c>
      <c r="O329" s="4">
        <v>1E-4</v>
      </c>
      <c r="P329" s="4">
        <v>115.21</v>
      </c>
      <c r="Q329" s="4">
        <v>0.27</v>
      </c>
      <c r="R329" s="29">
        <f t="shared" si="30"/>
        <v>0.22392614188532553</v>
      </c>
      <c r="S329" s="22">
        <f t="shared" si="31"/>
        <v>5.2478134110787176E-4</v>
      </c>
    </row>
    <row r="330" spans="1:19">
      <c r="A330" s="33" t="s">
        <v>861</v>
      </c>
      <c r="B330" s="34" t="s">
        <v>1158</v>
      </c>
      <c r="C330" s="34"/>
      <c r="D330" s="34">
        <v>1</v>
      </c>
      <c r="E330" s="4">
        <v>18</v>
      </c>
      <c r="F330" s="4">
        <v>9</v>
      </c>
      <c r="G330" s="4">
        <v>21</v>
      </c>
      <c r="H330" s="34">
        <v>3.6966999999999999</v>
      </c>
      <c r="I330" s="4">
        <v>1E-3</v>
      </c>
      <c r="J330" s="34">
        <v>-23.273</v>
      </c>
      <c r="K330" s="4">
        <v>1.6999999999999999E-3</v>
      </c>
      <c r="L330" s="4">
        <v>9.9000000000000005E-2</v>
      </c>
      <c r="M330" s="4">
        <v>1.4999999999999999E-2</v>
      </c>
      <c r="N330" s="4">
        <v>-1.47E-2</v>
      </c>
      <c r="O330" s="4">
        <v>2.9999999999999997E-4</v>
      </c>
      <c r="P330" s="4">
        <v>99.61</v>
      </c>
      <c r="Q330" s="4">
        <v>0.21</v>
      </c>
      <c r="R330" s="34">
        <f t="shared" si="30"/>
        <v>0.19360544217687076</v>
      </c>
      <c r="S330" s="22">
        <f t="shared" si="31"/>
        <v>4.0816326530612241E-4</v>
      </c>
    </row>
    <row r="331" spans="1:19">
      <c r="A331" s="44" t="s">
        <v>862</v>
      </c>
      <c r="B331" s="45" t="s">
        <v>1159</v>
      </c>
      <c r="C331" s="45"/>
      <c r="D331" s="45">
        <v>0.25</v>
      </c>
      <c r="E331" s="4">
        <v>18</v>
      </c>
      <c r="F331" s="4">
        <v>9</v>
      </c>
      <c r="G331" s="4">
        <v>21</v>
      </c>
      <c r="H331" s="45">
        <v>6.1356000000000002</v>
      </c>
      <c r="I331" s="4">
        <v>6.9999999999999999E-4</v>
      </c>
      <c r="J331" s="45">
        <v>-37.862099999999998</v>
      </c>
      <c r="K331" s="4">
        <v>1.1999999999999999E-3</v>
      </c>
      <c r="L331" s="4">
        <v>4.2999999999999997E-2</v>
      </c>
      <c r="M331" s="4">
        <v>6.0000000000000001E-3</v>
      </c>
      <c r="N331" s="4">
        <v>-5.5999999999999999E-3</v>
      </c>
      <c r="O331" s="4">
        <v>2.0000000000000001E-4</v>
      </c>
      <c r="P331" s="4">
        <v>124.37</v>
      </c>
      <c r="Q331" s="4">
        <v>0.19</v>
      </c>
      <c r="R331" s="45">
        <f>P331*E331/G331^3</f>
        <v>0.24172983479105928</v>
      </c>
      <c r="S331" s="22">
        <f>Q331*E331/G331^3</f>
        <v>3.6929057337220603E-4</v>
      </c>
    </row>
    <row r="332" spans="1:19">
      <c r="A332" s="23" t="s">
        <v>862</v>
      </c>
      <c r="B332" s="4" t="s">
        <v>1159</v>
      </c>
      <c r="D332" s="4">
        <v>0.5</v>
      </c>
      <c r="E332" s="4">
        <v>18</v>
      </c>
      <c r="F332" s="4">
        <v>9</v>
      </c>
      <c r="G332" s="4">
        <v>21</v>
      </c>
      <c r="H332" s="4">
        <v>5.2514000000000003</v>
      </c>
      <c r="I332" s="4">
        <v>4.0000000000000002E-4</v>
      </c>
      <c r="J332" s="4">
        <v>-32.733800000000002</v>
      </c>
      <c r="K332" s="4">
        <v>2.2000000000000001E-3</v>
      </c>
      <c r="L332" s="4">
        <v>4.4999999999999998E-2</v>
      </c>
      <c r="M332" s="4">
        <v>1.2E-2</v>
      </c>
      <c r="N332" s="4">
        <v>-6.8999999999999999E-3</v>
      </c>
      <c r="O332" s="4">
        <v>2.0000000000000001E-4</v>
      </c>
      <c r="P332" s="4">
        <v>121.99</v>
      </c>
      <c r="Q332" s="4">
        <v>0.16</v>
      </c>
      <c r="R332" s="4">
        <f t="shared" si="28"/>
        <v>0.23710398445092321</v>
      </c>
      <c r="S332" s="22">
        <f t="shared" si="29"/>
        <v>3.1098153547133139E-4</v>
      </c>
    </row>
    <row r="333" spans="1:19">
      <c r="A333" s="28" t="s">
        <v>862</v>
      </c>
      <c r="B333" s="29" t="s">
        <v>1159</v>
      </c>
      <c r="C333" s="29"/>
      <c r="D333" s="29">
        <v>0.75</v>
      </c>
      <c r="E333" s="4">
        <v>18</v>
      </c>
      <c r="F333" s="4">
        <v>9</v>
      </c>
      <c r="G333" s="4">
        <v>21</v>
      </c>
      <c r="H333" s="29">
        <v>4.3627000000000002</v>
      </c>
      <c r="I333" s="4">
        <v>5.9999999999999995E-4</v>
      </c>
      <c r="J333" s="29">
        <v>-28.029199999999999</v>
      </c>
      <c r="K333" s="4">
        <v>1.6000000000000001E-3</v>
      </c>
      <c r="L333" s="4">
        <v>9.9000000000000005E-2</v>
      </c>
      <c r="M333" s="4">
        <v>1.0999999999999999E-2</v>
      </c>
      <c r="N333" s="4">
        <v>-1.04E-2</v>
      </c>
      <c r="O333" s="4">
        <v>5.0000000000000001E-4</v>
      </c>
      <c r="P333" s="4">
        <v>114.19</v>
      </c>
      <c r="Q333" s="4">
        <v>0.43</v>
      </c>
      <c r="R333" s="29">
        <f t="shared" si="28"/>
        <v>0.22194363459669583</v>
      </c>
      <c r="S333" s="22">
        <f t="shared" si="29"/>
        <v>8.3576287657920309E-4</v>
      </c>
    </row>
    <row r="334" spans="1:19">
      <c r="A334" s="44" t="s">
        <v>863</v>
      </c>
      <c r="B334" s="45" t="s">
        <v>1160</v>
      </c>
      <c r="C334" s="45"/>
      <c r="D334" s="45">
        <v>0.25</v>
      </c>
      <c r="E334" s="4">
        <v>18</v>
      </c>
      <c r="F334" s="4">
        <v>9</v>
      </c>
      <c r="G334" s="4">
        <v>21</v>
      </c>
      <c r="H334" s="45">
        <v>6.0965999999999996</v>
      </c>
      <c r="I334" s="4">
        <v>8.0000000000000004E-4</v>
      </c>
      <c r="J334" s="45">
        <v>-37.951900000000002</v>
      </c>
      <c r="K334" s="4">
        <v>2.0999999999999999E-3</v>
      </c>
      <c r="L334" s="4">
        <v>3.9E-2</v>
      </c>
      <c r="M334" s="4">
        <v>5.0000000000000001E-3</v>
      </c>
      <c r="N334" s="4">
        <v>-5.5999999999999999E-3</v>
      </c>
      <c r="O334" s="4">
        <v>2.0000000000000001E-4</v>
      </c>
      <c r="P334" s="4">
        <v>124.33</v>
      </c>
      <c r="Q334" s="4">
        <v>0.2</v>
      </c>
      <c r="R334" s="45">
        <f>P334*E334/G334^3</f>
        <v>0.24165208940719146</v>
      </c>
      <c r="S334" s="22">
        <f>Q334*E334/G334^3</f>
        <v>3.8872691933916425E-4</v>
      </c>
    </row>
    <row r="335" spans="1:19">
      <c r="A335" s="23" t="s">
        <v>863</v>
      </c>
      <c r="B335" s="4" t="s">
        <v>1160</v>
      </c>
      <c r="D335" s="4">
        <v>0.5</v>
      </c>
      <c r="E335" s="4">
        <v>18</v>
      </c>
      <c r="F335" s="4">
        <v>9</v>
      </c>
      <c r="G335" s="4">
        <v>21</v>
      </c>
      <c r="H335" s="4">
        <v>5.1630000000000003</v>
      </c>
      <c r="I335" s="4">
        <v>8.9999999999999998E-4</v>
      </c>
      <c r="J335" s="4">
        <v>-33.027299999999997</v>
      </c>
      <c r="K335" s="4">
        <v>2E-3</v>
      </c>
      <c r="L335" s="4">
        <v>8.6999999999999994E-2</v>
      </c>
      <c r="M335" s="4">
        <v>1.4E-2</v>
      </c>
      <c r="N335" s="4">
        <v>-7.6E-3</v>
      </c>
      <c r="O335" s="4">
        <v>1E-4</v>
      </c>
      <c r="P335" s="4">
        <v>120.54</v>
      </c>
      <c r="Q335" s="4">
        <v>0.12</v>
      </c>
      <c r="R335" s="4">
        <f t="shared" si="28"/>
        <v>0.23428571428571432</v>
      </c>
      <c r="S335" s="22">
        <f t="shared" si="29"/>
        <v>2.3323615160349855E-4</v>
      </c>
    </row>
    <row r="336" spans="1:19">
      <c r="A336" s="28" t="s">
        <v>863</v>
      </c>
      <c r="B336" s="29" t="s">
        <v>1160</v>
      </c>
      <c r="C336" s="29"/>
      <c r="D336" s="29">
        <v>0.75</v>
      </c>
      <c r="E336" s="4">
        <v>18</v>
      </c>
      <c r="F336" s="4">
        <v>9</v>
      </c>
      <c r="G336" s="4">
        <v>21</v>
      </c>
      <c r="H336" s="41">
        <v>4.1901999999999999</v>
      </c>
      <c r="I336" s="4">
        <v>1E-3</v>
      </c>
      <c r="J336" s="29">
        <v>-28.8901</v>
      </c>
      <c r="K336" s="4">
        <v>3.5000000000000001E-3</v>
      </c>
      <c r="L336" s="4">
        <v>0.24299999999999999</v>
      </c>
      <c r="M336" s="4">
        <v>1.6E-2</v>
      </c>
      <c r="N336" s="4">
        <v>-1.43E-2</v>
      </c>
      <c r="O336" s="4">
        <v>5.0000000000000001E-4</v>
      </c>
      <c r="P336" s="4">
        <v>105.45</v>
      </c>
      <c r="Q336" s="4">
        <v>0.78</v>
      </c>
      <c r="R336" s="29">
        <f t="shared" si="28"/>
        <v>0.20495626822157437</v>
      </c>
      <c r="S336" s="22">
        <f t="shared" si="29"/>
        <v>1.5160349854227407E-3</v>
      </c>
    </row>
    <row r="337" spans="1:19">
      <c r="A337" s="44" t="s">
        <v>864</v>
      </c>
      <c r="B337" s="45" t="s">
        <v>1161</v>
      </c>
      <c r="C337" s="45"/>
      <c r="D337" s="45">
        <v>0.25</v>
      </c>
      <c r="E337" s="4">
        <v>18</v>
      </c>
      <c r="F337" s="4">
        <v>9</v>
      </c>
      <c r="G337" s="4">
        <v>21</v>
      </c>
      <c r="H337" s="45">
        <v>6.1485000000000003</v>
      </c>
      <c r="I337" s="4">
        <v>8.9999999999999998E-4</v>
      </c>
      <c r="J337" s="45">
        <v>-37.801299999999998</v>
      </c>
      <c r="K337" s="4">
        <v>2.3999999999999998E-3</v>
      </c>
      <c r="L337" s="4">
        <v>2.7E-2</v>
      </c>
      <c r="M337" s="4">
        <v>7.0000000000000001E-3</v>
      </c>
      <c r="N337" s="4">
        <v>-5.5999999999999999E-3</v>
      </c>
      <c r="O337" s="4">
        <v>1E-4</v>
      </c>
      <c r="P337" s="4">
        <v>123.99</v>
      </c>
      <c r="Q337" s="4">
        <v>0.16</v>
      </c>
      <c r="R337" s="45">
        <f>P337*E337/G337^3</f>
        <v>0.24099125364431484</v>
      </c>
      <c r="S337" s="22">
        <f>Q337*E337/G337^3</f>
        <v>3.1098153547133139E-4</v>
      </c>
    </row>
    <row r="338" spans="1:19">
      <c r="A338" s="23" t="s">
        <v>864</v>
      </c>
      <c r="B338" s="4" t="s">
        <v>1161</v>
      </c>
      <c r="D338" s="4">
        <v>0.5</v>
      </c>
      <c r="E338" s="4">
        <v>18</v>
      </c>
      <c r="F338" s="4">
        <v>9</v>
      </c>
      <c r="G338" s="4">
        <v>21</v>
      </c>
      <c r="H338" s="4">
        <v>5.2835000000000001</v>
      </c>
      <c r="I338" s="4">
        <v>6.9999999999999999E-4</v>
      </c>
      <c r="J338" s="4">
        <v>-32.665300000000002</v>
      </c>
      <c r="K338" s="4">
        <v>1.5E-3</v>
      </c>
      <c r="L338" s="4">
        <v>7.5999999999999998E-2</v>
      </c>
      <c r="M338" s="4">
        <v>1.4E-2</v>
      </c>
      <c r="N338" s="4">
        <v>-6.8999999999999999E-3</v>
      </c>
      <c r="O338" s="4">
        <v>1E-4</v>
      </c>
      <c r="P338" s="4">
        <v>121.15</v>
      </c>
      <c r="Q338" s="4">
        <v>0.25</v>
      </c>
      <c r="R338" s="4">
        <f t="shared" si="28"/>
        <v>0.23547133138969878</v>
      </c>
      <c r="S338" s="22">
        <f t="shared" si="29"/>
        <v>4.8590864917395527E-4</v>
      </c>
    </row>
    <row r="339" spans="1:19">
      <c r="A339" s="28" t="s">
        <v>864</v>
      </c>
      <c r="B339" s="29" t="s">
        <v>1161</v>
      </c>
      <c r="C339" s="29"/>
      <c r="D339" s="29">
        <v>0.75</v>
      </c>
      <c r="E339" s="4">
        <v>18</v>
      </c>
      <c r="F339" s="4">
        <v>9</v>
      </c>
      <c r="G339" s="4">
        <v>21</v>
      </c>
      <c r="H339" s="29">
        <v>4.4325999999999999</v>
      </c>
      <c r="I339" s="4">
        <v>5.0000000000000001E-4</v>
      </c>
      <c r="J339" s="29">
        <v>-28.061800000000002</v>
      </c>
      <c r="K339" s="4">
        <v>2.7000000000000001E-3</v>
      </c>
      <c r="L339" s="4">
        <v>9.1999999999999998E-2</v>
      </c>
      <c r="M339" s="4">
        <v>1.9E-2</v>
      </c>
      <c r="N339" s="4">
        <v>-1.04E-2</v>
      </c>
      <c r="O339" s="4">
        <v>2.9999999999999997E-4</v>
      </c>
      <c r="P339" s="4">
        <v>111.12</v>
      </c>
      <c r="Q339" s="4">
        <v>0.19</v>
      </c>
      <c r="R339" s="29">
        <f t="shared" si="28"/>
        <v>0.21597667638483967</v>
      </c>
      <c r="S339" s="22">
        <f t="shared" si="29"/>
        <v>3.6929057337220603E-4</v>
      </c>
    </row>
    <row r="340" spans="1:19">
      <c r="A340" s="44" t="s">
        <v>865</v>
      </c>
      <c r="B340" s="45" t="s">
        <v>1162</v>
      </c>
      <c r="C340" s="45"/>
      <c r="D340" s="45">
        <v>0.25</v>
      </c>
      <c r="E340" s="4">
        <v>18</v>
      </c>
      <c r="F340" s="4">
        <v>9</v>
      </c>
      <c r="G340" s="4">
        <v>21</v>
      </c>
      <c r="H340" s="45">
        <v>6.1375000000000002</v>
      </c>
      <c r="I340" s="4">
        <v>2.9999999999999997E-4</v>
      </c>
      <c r="J340" s="45">
        <v>-37.934699999999999</v>
      </c>
      <c r="K340" s="4">
        <v>1.1000000000000001E-3</v>
      </c>
      <c r="L340" s="4">
        <v>2.9000000000000001E-2</v>
      </c>
      <c r="M340" s="4">
        <v>3.0000000000000001E-3</v>
      </c>
      <c r="N340" s="4">
        <v>-5.4000000000000003E-3</v>
      </c>
      <c r="O340" s="4">
        <v>1E-4</v>
      </c>
      <c r="P340" s="4">
        <v>124.4</v>
      </c>
      <c r="Q340" s="4">
        <v>0.15</v>
      </c>
      <c r="R340" s="45">
        <f>P340*E340/G340^3</f>
        <v>0.24178814382896019</v>
      </c>
      <c r="S340" s="22">
        <f>Q340*E340/G340^3</f>
        <v>2.9154518950437317E-4</v>
      </c>
    </row>
    <row r="341" spans="1:19">
      <c r="A341" s="23" t="s">
        <v>865</v>
      </c>
      <c r="B341" s="4" t="s">
        <v>1162</v>
      </c>
      <c r="D341" s="4">
        <v>0.5</v>
      </c>
      <c r="E341" s="4">
        <v>18</v>
      </c>
      <c r="F341" s="4">
        <v>9</v>
      </c>
      <c r="G341" s="4">
        <v>21</v>
      </c>
      <c r="H341" s="4">
        <v>5.2545000000000002</v>
      </c>
      <c r="I341" s="4">
        <v>8.9999999999999998E-4</v>
      </c>
      <c r="J341" s="4">
        <v>-32.916699999999999</v>
      </c>
      <c r="K341" s="4">
        <v>2.2000000000000001E-3</v>
      </c>
      <c r="L341" s="4">
        <v>5.3999999999999999E-2</v>
      </c>
      <c r="M341" s="4">
        <v>1.0999999999999999E-2</v>
      </c>
      <c r="N341" s="4">
        <v>-7.1000000000000004E-3</v>
      </c>
      <c r="O341" s="4">
        <v>2.9999999999999997E-4</v>
      </c>
      <c r="P341" s="4">
        <v>121.56</v>
      </c>
      <c r="Q341" s="4">
        <v>0.28999999999999998</v>
      </c>
      <c r="R341" s="4">
        <f t="shared" si="28"/>
        <v>0.23626822157434402</v>
      </c>
      <c r="S341" s="22">
        <f t="shared" si="29"/>
        <v>5.6365403304178808E-4</v>
      </c>
    </row>
    <row r="342" spans="1:19">
      <c r="A342" s="28" t="s">
        <v>865</v>
      </c>
      <c r="B342" s="29" t="s">
        <v>1162</v>
      </c>
      <c r="C342" s="29"/>
      <c r="D342" s="29">
        <v>0.75</v>
      </c>
      <c r="E342" s="4">
        <v>18</v>
      </c>
      <c r="F342" s="4">
        <v>9</v>
      </c>
      <c r="G342" s="4">
        <v>21</v>
      </c>
      <c r="H342" s="29">
        <v>4.3746</v>
      </c>
      <c r="I342" s="4">
        <v>8.9999999999999998E-4</v>
      </c>
      <c r="J342" s="29">
        <v>-28.386600000000001</v>
      </c>
      <c r="K342" s="4">
        <v>1.6000000000000001E-3</v>
      </c>
      <c r="L342" s="4">
        <v>0.11</v>
      </c>
      <c r="M342" s="4">
        <v>1.4999999999999999E-2</v>
      </c>
      <c r="N342" s="4">
        <v>-1.0699999999999999E-2</v>
      </c>
      <c r="O342" s="4">
        <v>2.9999999999999997E-4</v>
      </c>
      <c r="P342" s="4">
        <v>112.58</v>
      </c>
      <c r="Q342" s="4">
        <v>0.28999999999999998</v>
      </c>
      <c r="R342" s="29">
        <f t="shared" si="28"/>
        <v>0.21881438289601554</v>
      </c>
      <c r="S342" s="22">
        <f t="shared" si="29"/>
        <v>5.6365403304178808E-4</v>
      </c>
    </row>
    <row r="343" spans="1:19">
      <c r="A343" s="44" t="s">
        <v>866</v>
      </c>
      <c r="B343" s="45" t="s">
        <v>1163</v>
      </c>
      <c r="C343" s="45"/>
      <c r="D343" s="45">
        <v>0.25</v>
      </c>
      <c r="E343" s="4">
        <v>18</v>
      </c>
      <c r="F343" s="4">
        <v>9</v>
      </c>
      <c r="G343" s="4">
        <v>21</v>
      </c>
      <c r="H343" s="45">
        <v>6.1764999999999999</v>
      </c>
      <c r="I343" s="4">
        <v>8.0000000000000004E-4</v>
      </c>
      <c r="J343" s="45">
        <v>-37.7286</v>
      </c>
      <c r="K343" s="4">
        <v>1.6999999999999999E-3</v>
      </c>
      <c r="L343" s="4">
        <v>2.5999999999999999E-2</v>
      </c>
      <c r="M343" s="4">
        <v>0.01</v>
      </c>
      <c r="N343" s="4">
        <v>-5.3E-3</v>
      </c>
      <c r="O343" s="4">
        <v>1E-4</v>
      </c>
      <c r="P343" s="4">
        <v>124.46</v>
      </c>
      <c r="Q343" s="4">
        <v>0.09</v>
      </c>
      <c r="R343" s="45">
        <f>P343*E343/G343^3</f>
        <v>0.24190476190476187</v>
      </c>
      <c r="S343" s="22">
        <f>Q343*E343/G343^3</f>
        <v>1.7492711370262388E-4</v>
      </c>
    </row>
    <row r="344" spans="1:19">
      <c r="A344" s="23" t="s">
        <v>866</v>
      </c>
      <c r="B344" s="4" t="s">
        <v>1163</v>
      </c>
      <c r="D344" s="4">
        <v>0.5</v>
      </c>
      <c r="E344" s="4">
        <v>18</v>
      </c>
      <c r="F344" s="4">
        <v>9</v>
      </c>
      <c r="G344" s="4">
        <v>21</v>
      </c>
      <c r="H344" s="4">
        <v>5.3369</v>
      </c>
      <c r="I344" s="4">
        <v>4.0000000000000002E-4</v>
      </c>
      <c r="J344" s="4">
        <v>-32.444099999999999</v>
      </c>
      <c r="K344" s="4">
        <v>1E-3</v>
      </c>
      <c r="L344" s="4">
        <v>2.9000000000000001E-2</v>
      </c>
      <c r="M344" s="4">
        <v>4.0000000000000001E-3</v>
      </c>
      <c r="N344" s="4">
        <v>-6.3E-3</v>
      </c>
      <c r="O344" s="4">
        <v>2.0000000000000001E-4</v>
      </c>
      <c r="P344" s="4">
        <v>122.38</v>
      </c>
      <c r="Q344" s="4">
        <v>0.28999999999999998</v>
      </c>
      <c r="R344" s="4">
        <f t="shared" si="28"/>
        <v>0.2378620019436346</v>
      </c>
      <c r="S344" s="22">
        <f t="shared" si="29"/>
        <v>5.6365403304178808E-4</v>
      </c>
    </row>
    <row r="345" spans="1:19">
      <c r="A345" s="28" t="s">
        <v>866</v>
      </c>
      <c r="B345" s="29" t="s">
        <v>1163</v>
      </c>
      <c r="C345" s="29"/>
      <c r="D345" s="29">
        <v>0.75</v>
      </c>
      <c r="E345" s="4">
        <v>18</v>
      </c>
      <c r="F345" s="4">
        <v>9</v>
      </c>
      <c r="G345" s="4">
        <v>21</v>
      </c>
      <c r="H345" s="29">
        <v>4.5107999999999997</v>
      </c>
      <c r="I345" s="4">
        <v>6.9999999999999999E-4</v>
      </c>
      <c r="J345" s="29">
        <v>-27.488600000000002</v>
      </c>
      <c r="K345" s="4">
        <v>1E-3</v>
      </c>
      <c r="L345" s="4">
        <v>0.03</v>
      </c>
      <c r="M345" s="4">
        <v>5.0000000000000001E-3</v>
      </c>
      <c r="N345" s="4">
        <v>-8.3999999999999995E-3</v>
      </c>
      <c r="O345" s="4">
        <v>2.0000000000000001E-4</v>
      </c>
      <c r="P345" s="4">
        <v>116.79</v>
      </c>
      <c r="Q345" s="4">
        <v>0.12</v>
      </c>
      <c r="R345" s="29">
        <f t="shared" si="28"/>
        <v>0.22699708454810499</v>
      </c>
      <c r="S345" s="22">
        <f t="shared" si="29"/>
        <v>2.3323615160349855E-4</v>
      </c>
    </row>
    <row r="346" spans="1:19">
      <c r="A346" s="33" t="s">
        <v>866</v>
      </c>
      <c r="B346" s="34" t="s">
        <v>1163</v>
      </c>
      <c r="C346" s="34"/>
      <c r="D346" s="34">
        <v>1</v>
      </c>
      <c r="E346" s="4">
        <v>18</v>
      </c>
      <c r="F346" s="4">
        <v>9</v>
      </c>
      <c r="G346" s="4">
        <v>21</v>
      </c>
      <c r="H346" s="34">
        <v>3.7311999999999999</v>
      </c>
      <c r="I346" s="4">
        <v>1E-3</v>
      </c>
      <c r="J346" s="34">
        <v>-23.164000000000001</v>
      </c>
      <c r="K346" s="4">
        <v>2.3999999999999998E-3</v>
      </c>
      <c r="L346" s="4">
        <v>5.8999999999999997E-2</v>
      </c>
      <c r="M346" s="4">
        <v>1.7000000000000001E-2</v>
      </c>
      <c r="N346" s="4">
        <v>-1.3100000000000001E-2</v>
      </c>
      <c r="O346" s="4">
        <v>2.0000000000000001E-4</v>
      </c>
      <c r="P346" s="4">
        <v>104.13</v>
      </c>
      <c r="Q346" s="4">
        <v>0.21</v>
      </c>
      <c r="R346" s="34">
        <f t="shared" si="28"/>
        <v>0.20239067055393586</v>
      </c>
      <c r="S346" s="22">
        <f t="shared" si="29"/>
        <v>4.0816326530612241E-4</v>
      </c>
    </row>
    <row r="347" spans="1:19">
      <c r="A347" s="44" t="s">
        <v>867</v>
      </c>
      <c r="B347" s="45" t="s">
        <v>1164</v>
      </c>
      <c r="C347" s="45"/>
      <c r="D347" s="45">
        <v>0.25</v>
      </c>
      <c r="E347" s="4">
        <v>18</v>
      </c>
      <c r="F347" s="4">
        <v>9</v>
      </c>
      <c r="G347" s="4">
        <v>21</v>
      </c>
      <c r="H347" s="45">
        <v>6.1547000000000001</v>
      </c>
      <c r="I347" s="4">
        <v>5.9999999999999995E-4</v>
      </c>
      <c r="J347" s="45">
        <v>-37.8277</v>
      </c>
      <c r="K347" s="4">
        <v>1.6000000000000001E-3</v>
      </c>
      <c r="L347" s="4">
        <v>2.5999999999999999E-2</v>
      </c>
      <c r="M347" s="4">
        <v>5.0000000000000001E-3</v>
      </c>
      <c r="N347" s="4">
        <v>-5.4999999999999997E-3</v>
      </c>
      <c r="O347" s="4">
        <v>2.0000000000000001E-4</v>
      </c>
      <c r="P347" s="4">
        <v>124.14</v>
      </c>
      <c r="Q347" s="4">
        <v>0.21</v>
      </c>
      <c r="R347" s="45">
        <f>P347*E347/G347^3</f>
        <v>0.24128279883381923</v>
      </c>
      <c r="S347" s="22">
        <f>Q347*E347/G347^3</f>
        <v>4.0816326530612241E-4</v>
      </c>
    </row>
    <row r="348" spans="1:19">
      <c r="A348" s="23" t="s">
        <v>867</v>
      </c>
      <c r="B348" s="4" t="s">
        <v>1164</v>
      </c>
      <c r="D348" s="4">
        <v>0.5</v>
      </c>
      <c r="E348" s="4">
        <v>18</v>
      </c>
      <c r="F348" s="4">
        <v>9</v>
      </c>
      <c r="G348" s="4">
        <v>21</v>
      </c>
      <c r="H348" s="4">
        <v>5.2901999999999996</v>
      </c>
      <c r="I348" s="4">
        <v>1E-3</v>
      </c>
      <c r="J348" s="4">
        <v>-32.669699999999999</v>
      </c>
      <c r="K348" s="4">
        <v>2.2000000000000001E-3</v>
      </c>
      <c r="L348" s="4">
        <v>2.5999999999999999E-2</v>
      </c>
      <c r="M348" s="4">
        <v>6.0000000000000001E-3</v>
      </c>
      <c r="N348" s="4">
        <v>-6.7000000000000002E-3</v>
      </c>
      <c r="O348" s="4">
        <v>2.9999999999999997E-4</v>
      </c>
      <c r="P348" s="4">
        <v>121.65</v>
      </c>
      <c r="Q348" s="4">
        <v>0.32</v>
      </c>
      <c r="R348" s="4">
        <f t="shared" si="28"/>
        <v>0.23644314868804667</v>
      </c>
      <c r="S348" s="22">
        <f t="shared" si="29"/>
        <v>6.2196307094266278E-4</v>
      </c>
    </row>
    <row r="349" spans="1:19">
      <c r="A349" s="28" t="s">
        <v>867</v>
      </c>
      <c r="B349" s="29" t="s">
        <v>1164</v>
      </c>
      <c r="C349" s="29"/>
      <c r="D349" s="29">
        <v>0.75</v>
      </c>
      <c r="E349" s="4">
        <v>18</v>
      </c>
      <c r="F349" s="4">
        <v>9</v>
      </c>
      <c r="G349" s="4">
        <v>21</v>
      </c>
      <c r="H349" s="29">
        <v>4.4337999999999997</v>
      </c>
      <c r="I349" s="4">
        <v>8.9999999999999998E-4</v>
      </c>
      <c r="J349" s="29">
        <v>-27.9102</v>
      </c>
      <c r="K349" s="4">
        <v>1.2999999999999999E-3</v>
      </c>
      <c r="L349" s="4">
        <v>6.4000000000000001E-2</v>
      </c>
      <c r="M349" s="4">
        <v>1.0999999999999999E-2</v>
      </c>
      <c r="N349" s="4">
        <v>-9.7999999999999997E-3</v>
      </c>
      <c r="O349" s="4">
        <v>2.9999999999999997E-4</v>
      </c>
      <c r="P349" s="4">
        <v>114.32</v>
      </c>
      <c r="Q349" s="4">
        <v>0.2</v>
      </c>
      <c r="R349" s="29">
        <f t="shared" si="28"/>
        <v>0.22219630709426624</v>
      </c>
      <c r="S349" s="22">
        <f t="shared" si="29"/>
        <v>3.8872691933916425E-4</v>
      </c>
    </row>
    <row r="350" spans="1:19">
      <c r="A350" s="33" t="s">
        <v>867</v>
      </c>
      <c r="B350" s="34" t="s">
        <v>1164</v>
      </c>
      <c r="C350" s="34"/>
      <c r="D350" s="34">
        <v>1</v>
      </c>
      <c r="E350" s="4">
        <v>18</v>
      </c>
      <c r="F350" s="4">
        <v>9</v>
      </c>
      <c r="G350" s="4">
        <v>21</v>
      </c>
      <c r="H350" s="34">
        <v>3.6126</v>
      </c>
      <c r="I350" s="4">
        <v>1E-4</v>
      </c>
      <c r="J350" s="34">
        <v>-23.983499999999999</v>
      </c>
      <c r="K350" s="4">
        <v>5.9999999999999995E-4</v>
      </c>
      <c r="L350" s="4">
        <v>0.107</v>
      </c>
      <c r="M350" s="4">
        <v>1.6E-2</v>
      </c>
      <c r="N350" s="4">
        <v>-1.6500000000000001E-2</v>
      </c>
      <c r="O350" s="4">
        <v>4.0000000000000002E-4</v>
      </c>
      <c r="P350" s="4">
        <v>96.14</v>
      </c>
      <c r="Q350" s="4">
        <v>0.57999999999999996</v>
      </c>
      <c r="R350" s="34">
        <f t="shared" si="28"/>
        <v>0.18686103012633626</v>
      </c>
      <c r="S350" s="22">
        <f t="shared" si="29"/>
        <v>1.1273080660835762E-3</v>
      </c>
    </row>
    <row r="351" spans="1:19">
      <c r="A351" s="44" t="s">
        <v>868</v>
      </c>
      <c r="B351" s="45" t="s">
        <v>1165</v>
      </c>
      <c r="C351" s="45"/>
      <c r="D351" s="45">
        <v>0.25</v>
      </c>
      <c r="E351" s="4">
        <v>18</v>
      </c>
      <c r="F351" s="4">
        <v>9</v>
      </c>
      <c r="G351" s="4">
        <v>21</v>
      </c>
      <c r="H351" s="45">
        <v>6.1496000000000004</v>
      </c>
      <c r="I351" s="4">
        <v>5.9999999999999995E-4</v>
      </c>
      <c r="J351" s="45">
        <v>-37.911099999999998</v>
      </c>
      <c r="K351" s="4">
        <v>6.9999999999999999E-4</v>
      </c>
      <c r="L351" s="4">
        <v>3.6999999999999998E-2</v>
      </c>
      <c r="M351" s="4">
        <v>3.0000000000000001E-3</v>
      </c>
      <c r="N351" s="4">
        <v>-5.5999999999999999E-3</v>
      </c>
      <c r="O351" s="4">
        <v>1E-4</v>
      </c>
      <c r="P351" s="4">
        <v>123.93</v>
      </c>
      <c r="Q351" s="4">
        <v>0.13</v>
      </c>
      <c r="R351" s="45">
        <f>P351*E351/G351^3</f>
        <v>0.24087463556851316</v>
      </c>
      <c r="S351" s="22">
        <f>Q351*E351/G351^3</f>
        <v>2.5267249757045674E-4</v>
      </c>
    </row>
    <row r="352" spans="1:19">
      <c r="A352" s="23" t="s">
        <v>868</v>
      </c>
      <c r="B352" s="4" t="s">
        <v>1165</v>
      </c>
      <c r="D352" s="4">
        <v>0.5</v>
      </c>
      <c r="E352" s="4">
        <v>18</v>
      </c>
      <c r="F352" s="4">
        <v>9</v>
      </c>
      <c r="G352" s="4">
        <v>21</v>
      </c>
      <c r="H352" s="4">
        <v>5.2732999999999999</v>
      </c>
      <c r="I352" s="4">
        <v>5.9999999999999995E-4</v>
      </c>
      <c r="J352" s="4">
        <v>-32.913400000000003</v>
      </c>
      <c r="K352" s="4">
        <v>8.9999999999999998E-4</v>
      </c>
      <c r="L352" s="4">
        <v>5.8999999999999997E-2</v>
      </c>
      <c r="M352" s="4">
        <v>5.0000000000000001E-3</v>
      </c>
      <c r="N352" s="4">
        <v>-7.4000000000000003E-3</v>
      </c>
      <c r="O352" s="4">
        <v>2.0000000000000001E-4</v>
      </c>
      <c r="P352" s="4">
        <v>119.72</v>
      </c>
      <c r="Q352" s="4">
        <v>0.22</v>
      </c>
      <c r="R352" s="4">
        <f t="shared" si="28"/>
        <v>0.2326919339164237</v>
      </c>
      <c r="S352" s="22">
        <f t="shared" si="29"/>
        <v>4.2759961127308068E-4</v>
      </c>
    </row>
    <row r="353" spans="1:19">
      <c r="A353" s="28" t="s">
        <v>868</v>
      </c>
      <c r="B353" s="29" t="s">
        <v>1165</v>
      </c>
      <c r="C353" s="29"/>
      <c r="D353" s="29">
        <v>0.75</v>
      </c>
      <c r="E353" s="4">
        <v>18</v>
      </c>
      <c r="F353" s="4">
        <v>9</v>
      </c>
      <c r="G353" s="4">
        <v>21</v>
      </c>
      <c r="H353" s="29">
        <v>4.3764000000000003</v>
      </c>
      <c r="I353" s="4">
        <v>8.0000000000000004E-4</v>
      </c>
      <c r="J353" s="29">
        <v>-28.556899999999999</v>
      </c>
      <c r="K353" s="4">
        <v>5.9999999999999995E-4</v>
      </c>
      <c r="L353" s="4">
        <v>0.14599999999999999</v>
      </c>
      <c r="M353" s="4">
        <v>1.2999999999999999E-2</v>
      </c>
      <c r="N353" s="4">
        <v>-1.47E-2</v>
      </c>
      <c r="O353" s="4">
        <v>1E-4</v>
      </c>
      <c r="P353" s="4">
        <v>102.57</v>
      </c>
      <c r="Q353" s="4">
        <v>0.28999999999999998</v>
      </c>
      <c r="R353" s="29">
        <f t="shared" si="28"/>
        <v>0.19935860058309035</v>
      </c>
      <c r="S353" s="22">
        <f t="shared" si="29"/>
        <v>5.6365403304178808E-4</v>
      </c>
    </row>
    <row r="354" spans="1:19">
      <c r="A354" s="44" t="s">
        <v>869</v>
      </c>
      <c r="B354" s="45" t="s">
        <v>1166</v>
      </c>
      <c r="C354" s="45"/>
      <c r="D354" s="45">
        <v>0.25</v>
      </c>
      <c r="E354" s="4">
        <v>18</v>
      </c>
      <c r="F354" s="4">
        <v>9</v>
      </c>
      <c r="G354" s="4">
        <v>21</v>
      </c>
      <c r="H354" s="45">
        <v>6.1379000000000001</v>
      </c>
      <c r="I354" s="4">
        <v>5.9999999999999995E-4</v>
      </c>
      <c r="J354" s="45">
        <v>-37.797699999999999</v>
      </c>
      <c r="K354" s="4">
        <v>2E-3</v>
      </c>
      <c r="L354" s="4">
        <v>3.4000000000000002E-2</v>
      </c>
      <c r="M354" s="4">
        <v>6.0000000000000001E-3</v>
      </c>
      <c r="N354" s="4">
        <v>-5.4999999999999997E-3</v>
      </c>
      <c r="O354" s="4">
        <v>2.0000000000000001E-4</v>
      </c>
      <c r="P354" s="4">
        <v>124.59</v>
      </c>
      <c r="Q354" s="4">
        <v>0.19</v>
      </c>
      <c r="R354" s="45">
        <f>P354*E354/G354^3</f>
        <v>0.24215743440233234</v>
      </c>
      <c r="S354" s="22">
        <f>Q354*E354/G354^3</f>
        <v>3.6929057337220603E-4</v>
      </c>
    </row>
    <row r="355" spans="1:19">
      <c r="A355" s="23" t="s">
        <v>869</v>
      </c>
      <c r="B355" s="4" t="s">
        <v>1166</v>
      </c>
      <c r="D355" s="4">
        <v>0.5</v>
      </c>
      <c r="E355" s="4">
        <v>18</v>
      </c>
      <c r="F355" s="4">
        <v>9</v>
      </c>
      <c r="G355" s="4">
        <v>21</v>
      </c>
      <c r="H355" s="4">
        <v>5.2554999999999996</v>
      </c>
      <c r="I355" s="4">
        <v>8.9999999999999998E-4</v>
      </c>
      <c r="J355" s="4">
        <v>-32.574399999999997</v>
      </c>
      <c r="K355" s="4">
        <v>2.0999999999999999E-3</v>
      </c>
      <c r="L355" s="4">
        <v>5.7000000000000002E-2</v>
      </c>
      <c r="M355" s="4">
        <v>2.7E-2</v>
      </c>
      <c r="N355" s="4">
        <v>-6.4999999999999997E-3</v>
      </c>
      <c r="O355" s="4">
        <v>2.0000000000000001E-4</v>
      </c>
      <c r="P355" s="4">
        <v>122.88</v>
      </c>
      <c r="Q355" s="4">
        <v>0.18</v>
      </c>
      <c r="R355" s="4">
        <f t="shared" si="28"/>
        <v>0.23883381924198252</v>
      </c>
      <c r="S355" s="22">
        <f t="shared" si="29"/>
        <v>3.4985422740524776E-4</v>
      </c>
    </row>
    <row r="356" spans="1:19">
      <c r="A356" s="28" t="s">
        <v>869</v>
      </c>
      <c r="B356" s="29" t="s">
        <v>1166</v>
      </c>
      <c r="C356" s="29"/>
      <c r="D356" s="29">
        <v>0.75</v>
      </c>
      <c r="E356" s="4">
        <v>18</v>
      </c>
      <c r="F356" s="4">
        <v>9</v>
      </c>
      <c r="G356" s="4">
        <v>21</v>
      </c>
      <c r="H356" s="29">
        <v>4.3817000000000004</v>
      </c>
      <c r="I356" s="4">
        <v>4.0000000000000002E-4</v>
      </c>
      <c r="J356" s="29">
        <v>-27.671099999999999</v>
      </c>
      <c r="K356" s="4">
        <v>5.0000000000000001E-4</v>
      </c>
      <c r="L356" s="4">
        <v>7.0000000000000007E-2</v>
      </c>
      <c r="M356" s="4">
        <v>1.2E-2</v>
      </c>
      <c r="N356" s="4">
        <v>-9.1999999999999998E-3</v>
      </c>
      <c r="O356" s="4">
        <v>5.0000000000000001E-4</v>
      </c>
      <c r="P356" s="4">
        <v>117.68</v>
      </c>
      <c r="Q356" s="4">
        <v>0.5</v>
      </c>
      <c r="R356" s="29">
        <f t="shared" si="28"/>
        <v>0.22872691933916425</v>
      </c>
      <c r="S356" s="22">
        <f t="shared" si="29"/>
        <v>9.7181729834791054E-4</v>
      </c>
    </row>
    <row r="357" spans="1:19">
      <c r="A357" s="33" t="s">
        <v>869</v>
      </c>
      <c r="B357" s="34" t="s">
        <v>1166</v>
      </c>
      <c r="C357" s="34"/>
      <c r="D357" s="34">
        <v>1</v>
      </c>
      <c r="E357" s="4">
        <v>18</v>
      </c>
      <c r="F357" s="4">
        <v>9</v>
      </c>
      <c r="G357" s="4">
        <v>21</v>
      </c>
      <c r="H357" s="34">
        <v>3.5211999999999999</v>
      </c>
      <c r="I357" s="4">
        <v>1E-3</v>
      </c>
      <c r="J357" s="34">
        <v>-23.4742</v>
      </c>
      <c r="K357" s="4">
        <v>2.3999999999999998E-3</v>
      </c>
      <c r="L357" s="4">
        <v>0.125</v>
      </c>
      <c r="M357" s="4">
        <v>6.0999999999999999E-2</v>
      </c>
      <c r="N357" s="4">
        <v>-1.43E-2</v>
      </c>
      <c r="O357" s="4">
        <v>8.9999999999999998E-4</v>
      </c>
      <c r="P357" s="4">
        <v>104.7</v>
      </c>
      <c r="Q357" s="4">
        <v>0.6</v>
      </c>
      <c r="R357" s="34">
        <f t="shared" si="28"/>
        <v>0.20349854227405248</v>
      </c>
      <c r="S357" s="22">
        <f t="shared" si="29"/>
        <v>1.1661807580174927E-3</v>
      </c>
    </row>
    <row r="358" spans="1:19">
      <c r="A358" s="44" t="s">
        <v>870</v>
      </c>
      <c r="B358" s="45" t="s">
        <v>1167</v>
      </c>
      <c r="C358" s="45"/>
      <c r="D358" s="45">
        <v>0.25</v>
      </c>
      <c r="E358" s="4">
        <v>18</v>
      </c>
      <c r="F358" s="4">
        <v>9</v>
      </c>
      <c r="G358" s="4">
        <v>21</v>
      </c>
      <c r="H358" s="45">
        <v>6.1859999999999999</v>
      </c>
      <c r="I358" s="4">
        <v>6.9999999999999999E-4</v>
      </c>
      <c r="J358" s="45">
        <v>-37.741399999999999</v>
      </c>
      <c r="K358" s="4">
        <v>1.6000000000000001E-3</v>
      </c>
      <c r="L358" s="4">
        <v>2.7E-2</v>
      </c>
      <c r="M358" s="4">
        <v>4.0000000000000001E-3</v>
      </c>
      <c r="N358" s="4">
        <v>-5.3E-3</v>
      </c>
      <c r="O358" s="4">
        <v>1E-4</v>
      </c>
      <c r="P358" s="4">
        <v>124.25</v>
      </c>
      <c r="Q358" s="4">
        <v>0.13</v>
      </c>
      <c r="R358" s="45">
        <f>P358*E358/G358^3</f>
        <v>0.24149659863945577</v>
      </c>
      <c r="S358" s="22">
        <f>Q358*E358/G358^3</f>
        <v>2.5267249757045674E-4</v>
      </c>
    </row>
    <row r="359" spans="1:19">
      <c r="A359" s="23" t="s">
        <v>870</v>
      </c>
      <c r="B359" s="4" t="s">
        <v>1167</v>
      </c>
      <c r="D359" s="4">
        <v>0.5</v>
      </c>
      <c r="E359" s="4">
        <v>18</v>
      </c>
      <c r="F359" s="4">
        <v>9</v>
      </c>
      <c r="G359" s="4">
        <v>21</v>
      </c>
      <c r="H359" s="4">
        <v>5.3548999999999998</v>
      </c>
      <c r="I359" s="4">
        <v>6.9999999999999999E-4</v>
      </c>
      <c r="J359" s="4">
        <v>-32.497599999999998</v>
      </c>
      <c r="K359" s="4">
        <v>5.0000000000000001E-4</v>
      </c>
      <c r="L359" s="4">
        <v>2.3E-2</v>
      </c>
      <c r="M359" s="4">
        <v>5.0000000000000001E-3</v>
      </c>
      <c r="N359" s="4">
        <v>-6.6E-3</v>
      </c>
      <c r="O359" s="4">
        <v>1E-4</v>
      </c>
      <c r="P359" s="4">
        <v>121.42</v>
      </c>
      <c r="Q359" s="4">
        <v>0.17</v>
      </c>
      <c r="R359" s="4">
        <f t="shared" si="28"/>
        <v>0.23599611273080659</v>
      </c>
      <c r="S359" s="22">
        <f t="shared" si="29"/>
        <v>3.304178814382896E-4</v>
      </c>
    </row>
    <row r="360" spans="1:19">
      <c r="A360" s="28" t="s">
        <v>870</v>
      </c>
      <c r="B360" s="29" t="s">
        <v>1167</v>
      </c>
      <c r="C360" s="29"/>
      <c r="D360" s="29">
        <v>0.75</v>
      </c>
      <c r="E360" s="4">
        <v>18</v>
      </c>
      <c r="F360" s="4">
        <v>9</v>
      </c>
      <c r="G360" s="4">
        <v>21</v>
      </c>
      <c r="H360" s="29">
        <v>4.5395000000000003</v>
      </c>
      <c r="I360" s="4">
        <v>5.9999999999999995E-4</v>
      </c>
      <c r="J360" s="29">
        <v>-27.627600000000001</v>
      </c>
      <c r="K360" s="4">
        <v>1.6999999999999999E-3</v>
      </c>
      <c r="L360" s="4">
        <v>2.5999999999999999E-2</v>
      </c>
      <c r="M360" s="4">
        <v>1.7999999999999999E-2</v>
      </c>
      <c r="N360" s="4">
        <v>-8.9999999999999993E-3</v>
      </c>
      <c r="O360" s="4">
        <v>1E-4</v>
      </c>
      <c r="P360" s="4">
        <v>114.59</v>
      </c>
      <c r="Q360" s="4">
        <v>0.17</v>
      </c>
      <c r="R360" s="29">
        <f t="shared" si="28"/>
        <v>0.22272108843537414</v>
      </c>
      <c r="S360" s="22">
        <f t="shared" si="29"/>
        <v>3.304178814382896E-4</v>
      </c>
    </row>
    <row r="361" spans="1:19">
      <c r="A361" s="33" t="s">
        <v>870</v>
      </c>
      <c r="B361" s="34" t="s">
        <v>1167</v>
      </c>
      <c r="C361" s="34"/>
      <c r="D361" s="34">
        <v>1</v>
      </c>
      <c r="E361" s="4">
        <v>18</v>
      </c>
      <c r="F361" s="4">
        <v>9</v>
      </c>
      <c r="G361" s="4">
        <v>21</v>
      </c>
      <c r="H361" s="34">
        <v>3.7745000000000002</v>
      </c>
      <c r="I361" s="4">
        <v>8.0000000000000004E-4</v>
      </c>
      <c r="J361" s="34">
        <v>-23.522500000000001</v>
      </c>
      <c r="K361" s="4">
        <v>3.0999999999999999E-3</v>
      </c>
      <c r="L361" s="4">
        <v>0.06</v>
      </c>
      <c r="M361" s="4">
        <v>4.0000000000000001E-3</v>
      </c>
      <c r="N361" s="4">
        <v>-1.47E-2</v>
      </c>
      <c r="O361" s="4">
        <v>2.0000000000000001E-4</v>
      </c>
      <c r="P361" s="4">
        <v>98.24</v>
      </c>
      <c r="Q361" s="4">
        <v>0.28000000000000003</v>
      </c>
      <c r="R361" s="34">
        <f t="shared" si="28"/>
        <v>0.19094266277939748</v>
      </c>
      <c r="S361" s="22">
        <f t="shared" si="29"/>
        <v>5.4421768707483002E-4</v>
      </c>
    </row>
    <row r="362" spans="1:19">
      <c r="A362" s="44" t="s">
        <v>871</v>
      </c>
      <c r="B362" s="45" t="s">
        <v>1168</v>
      </c>
      <c r="C362" s="45"/>
      <c r="D362" s="45">
        <v>0.25</v>
      </c>
      <c r="E362" s="4">
        <v>18</v>
      </c>
      <c r="F362" s="4">
        <v>9</v>
      </c>
      <c r="G362" s="4">
        <v>21</v>
      </c>
      <c r="H362" s="45">
        <v>6.1543000000000001</v>
      </c>
      <c r="I362" s="4">
        <v>5.9999999999999995E-4</v>
      </c>
      <c r="J362" s="45">
        <v>-37.863199999999999</v>
      </c>
      <c r="K362" s="4">
        <v>8.9999999999999998E-4</v>
      </c>
      <c r="L362" s="4">
        <v>2.3E-2</v>
      </c>
      <c r="M362" s="4">
        <v>3.0000000000000001E-3</v>
      </c>
      <c r="N362" s="4">
        <v>-5.4000000000000003E-3</v>
      </c>
      <c r="O362" s="4">
        <v>2.0000000000000001E-4</v>
      </c>
      <c r="P362" s="4">
        <v>124.51</v>
      </c>
      <c r="Q362" s="4">
        <v>0.3</v>
      </c>
      <c r="R362" s="45">
        <f>P362*E362/G362^3</f>
        <v>0.24200194363459673</v>
      </c>
      <c r="S362" s="22">
        <f>Q362*E362/G362^3</f>
        <v>5.8309037900874635E-4</v>
      </c>
    </row>
    <row r="363" spans="1:19">
      <c r="A363" s="23" t="s">
        <v>871</v>
      </c>
      <c r="B363" s="4" t="s">
        <v>1168</v>
      </c>
      <c r="D363" s="4">
        <v>0.5</v>
      </c>
      <c r="E363" s="4">
        <v>18</v>
      </c>
      <c r="F363" s="4">
        <v>9</v>
      </c>
      <c r="G363" s="4">
        <v>21</v>
      </c>
      <c r="H363" s="4">
        <v>5.2915999999999999</v>
      </c>
      <c r="I363" s="4">
        <v>5.0000000000000001E-4</v>
      </c>
      <c r="J363" s="4">
        <v>-32.685499999999998</v>
      </c>
      <c r="K363" s="4">
        <v>1E-3</v>
      </c>
      <c r="L363" s="4">
        <v>3.9E-2</v>
      </c>
      <c r="M363" s="4">
        <v>4.0000000000000001E-3</v>
      </c>
      <c r="N363" s="4">
        <v>-6.6E-3</v>
      </c>
      <c r="O363" s="4">
        <v>2.0000000000000001E-4</v>
      </c>
      <c r="P363" s="4">
        <v>122.73</v>
      </c>
      <c r="Q363" s="4">
        <v>0.11</v>
      </c>
      <c r="R363" s="4">
        <f t="shared" si="28"/>
        <v>0.23854227405247813</v>
      </c>
      <c r="S363" s="22">
        <f t="shared" si="29"/>
        <v>2.1379980563654034E-4</v>
      </c>
    </row>
    <row r="364" spans="1:19">
      <c r="A364" s="28" t="s">
        <v>871</v>
      </c>
      <c r="B364" s="29" t="s">
        <v>1168</v>
      </c>
      <c r="C364" s="29"/>
      <c r="D364" s="29">
        <v>0.75</v>
      </c>
      <c r="E364" s="4">
        <v>18</v>
      </c>
      <c r="F364" s="4">
        <v>9</v>
      </c>
      <c r="G364" s="4">
        <v>21</v>
      </c>
      <c r="H364" s="29">
        <v>4.4347000000000003</v>
      </c>
      <c r="I364" s="4">
        <v>6.9999999999999999E-4</v>
      </c>
      <c r="J364" s="29">
        <v>-27.792899999999999</v>
      </c>
      <c r="K364" s="4">
        <v>3.2000000000000002E-3</v>
      </c>
      <c r="L364" s="4">
        <v>3.5999999999999997E-2</v>
      </c>
      <c r="M364" s="4">
        <v>3.0000000000000001E-3</v>
      </c>
      <c r="N364" s="4">
        <v>-8.8000000000000005E-3</v>
      </c>
      <c r="O364" s="4">
        <v>2.0000000000000001E-4</v>
      </c>
      <c r="P364" s="4">
        <v>118.06</v>
      </c>
      <c r="Q364" s="4">
        <v>0.39</v>
      </c>
      <c r="R364" s="29">
        <f t="shared" si="28"/>
        <v>0.22946550048590864</v>
      </c>
      <c r="S364" s="22">
        <f t="shared" si="29"/>
        <v>7.5801749271137034E-4</v>
      </c>
    </row>
    <row r="365" spans="1:19">
      <c r="A365" s="33" t="s">
        <v>871</v>
      </c>
      <c r="B365" s="34" t="s">
        <v>1168</v>
      </c>
      <c r="C365" s="34"/>
      <c r="D365" s="34">
        <v>1</v>
      </c>
      <c r="E365" s="4">
        <v>18</v>
      </c>
      <c r="F365" s="4">
        <v>9</v>
      </c>
      <c r="G365" s="4">
        <v>21</v>
      </c>
      <c r="H365" s="34">
        <v>3.6040000000000001</v>
      </c>
      <c r="I365" s="4">
        <v>1E-3</v>
      </c>
      <c r="J365" s="34">
        <v>-23.447299999999998</v>
      </c>
      <c r="K365" s="4">
        <v>1.5E-3</v>
      </c>
      <c r="L365" s="4">
        <v>6.2E-2</v>
      </c>
      <c r="M365" s="4">
        <v>2.8000000000000001E-2</v>
      </c>
      <c r="N365" s="4">
        <v>-1.32E-2</v>
      </c>
      <c r="O365" s="4">
        <v>5.9999999999999995E-4</v>
      </c>
      <c r="P365" s="4">
        <v>106.54</v>
      </c>
      <c r="Q365" s="4">
        <v>0.3</v>
      </c>
      <c r="R365" s="34">
        <f t="shared" si="28"/>
        <v>0.20707482993197279</v>
      </c>
      <c r="S365" s="22">
        <f t="shared" si="29"/>
        <v>5.8309037900874635E-4</v>
      </c>
    </row>
    <row r="366" spans="1:19">
      <c r="A366" s="44" t="s">
        <v>872</v>
      </c>
      <c r="B366" s="45" t="s">
        <v>1169</v>
      </c>
      <c r="C366" s="45"/>
      <c r="D366" s="45">
        <v>0.25</v>
      </c>
      <c r="E366" s="4">
        <v>18</v>
      </c>
      <c r="F366" s="4">
        <v>9</v>
      </c>
      <c r="G366" s="4">
        <v>21</v>
      </c>
      <c r="H366" s="45">
        <v>6.1230000000000002</v>
      </c>
      <c r="I366" s="4">
        <v>6.9999999999999999E-4</v>
      </c>
      <c r="J366" s="45">
        <v>-37.929000000000002</v>
      </c>
      <c r="K366" s="4">
        <v>2E-3</v>
      </c>
      <c r="L366" s="4">
        <v>0.04</v>
      </c>
      <c r="M366" s="4">
        <v>6.0000000000000001E-3</v>
      </c>
      <c r="N366" s="4">
        <v>-5.5999999999999999E-3</v>
      </c>
      <c r="O366" s="4">
        <v>1E-4</v>
      </c>
      <c r="P366" s="4">
        <v>124.33</v>
      </c>
      <c r="Q366" s="4">
        <v>0.17</v>
      </c>
      <c r="R366" s="45">
        <f>P366*E366/G366^3</f>
        <v>0.24165208940719146</v>
      </c>
      <c r="S366" s="22">
        <f>Q366*E366/G366^3</f>
        <v>3.304178814382896E-4</v>
      </c>
    </row>
    <row r="367" spans="1:19">
      <c r="A367" s="23" t="s">
        <v>872</v>
      </c>
      <c r="B367" s="4" t="s">
        <v>1169</v>
      </c>
      <c r="D367" s="4">
        <v>0.5</v>
      </c>
      <c r="E367" s="4">
        <v>18</v>
      </c>
      <c r="F367" s="4">
        <v>9</v>
      </c>
      <c r="G367" s="4">
        <v>21</v>
      </c>
      <c r="H367" s="4">
        <v>5.2222999999999997</v>
      </c>
      <c r="I367" s="4">
        <v>2.0000000000000001E-4</v>
      </c>
      <c r="J367" s="4">
        <v>-32.898800000000001</v>
      </c>
      <c r="K367" s="4">
        <v>1E-3</v>
      </c>
      <c r="L367" s="4">
        <v>5.6000000000000001E-2</v>
      </c>
      <c r="M367" s="4">
        <v>4.0000000000000001E-3</v>
      </c>
      <c r="N367" s="4">
        <v>-7.4000000000000003E-3</v>
      </c>
      <c r="O367" s="4">
        <v>1E-4</v>
      </c>
      <c r="P367" s="4">
        <v>121.11</v>
      </c>
      <c r="Q367" s="4">
        <v>0.1</v>
      </c>
      <c r="R367" s="4">
        <f t="shared" si="28"/>
        <v>0.23539358600583091</v>
      </c>
      <c r="S367" s="22">
        <f t="shared" si="29"/>
        <v>1.9436345966958212E-4</v>
      </c>
    </row>
    <row r="368" spans="1:19">
      <c r="A368" s="44" t="s">
        <v>873</v>
      </c>
      <c r="B368" s="45" t="s">
        <v>1170</v>
      </c>
      <c r="C368" s="45"/>
      <c r="D368" s="45">
        <v>0.25</v>
      </c>
      <c r="E368" s="4">
        <v>18</v>
      </c>
      <c r="F368" s="4">
        <v>9</v>
      </c>
      <c r="G368" s="4">
        <v>21</v>
      </c>
      <c r="H368" s="45">
        <v>6.181</v>
      </c>
      <c r="I368" s="4">
        <v>2.0000000000000001E-4</v>
      </c>
      <c r="J368" s="45">
        <v>-37.8461</v>
      </c>
      <c r="K368" s="4">
        <v>1.9E-3</v>
      </c>
      <c r="L368" s="4">
        <v>2.1999999999999999E-2</v>
      </c>
      <c r="M368" s="4">
        <v>5.0000000000000001E-3</v>
      </c>
      <c r="N368" s="4">
        <v>-5.4999999999999997E-3</v>
      </c>
      <c r="O368" s="4">
        <v>2.9999999999999997E-4</v>
      </c>
      <c r="P368" s="4">
        <v>123.73</v>
      </c>
      <c r="Q368" s="4">
        <v>0.34</v>
      </c>
      <c r="R368" s="45">
        <f>P368*E368/G368^3</f>
        <v>0.24048590864917394</v>
      </c>
      <c r="S368" s="22">
        <f>Q368*E368/G368^3</f>
        <v>6.6083576287657921E-4</v>
      </c>
    </row>
    <row r="369" spans="1:19">
      <c r="A369" s="23" t="s">
        <v>873</v>
      </c>
      <c r="B369" s="4" t="s">
        <v>1170</v>
      </c>
      <c r="D369" s="4">
        <v>0.5</v>
      </c>
      <c r="E369" s="4">
        <v>18</v>
      </c>
      <c r="F369" s="4">
        <v>9</v>
      </c>
      <c r="G369" s="4">
        <v>21</v>
      </c>
      <c r="H369" s="4">
        <v>5.3396999999999997</v>
      </c>
      <c r="I369" s="4">
        <v>2.9999999999999997E-4</v>
      </c>
      <c r="J369" s="4">
        <v>-32.863500000000002</v>
      </c>
      <c r="K369" s="4">
        <v>1.6999999999999999E-3</v>
      </c>
      <c r="L369" s="4">
        <v>3.6999999999999998E-2</v>
      </c>
      <c r="M369" s="4">
        <v>4.0000000000000001E-3</v>
      </c>
      <c r="N369" s="4">
        <v>-7.6E-3</v>
      </c>
      <c r="O369" s="4">
        <v>1E-4</v>
      </c>
      <c r="P369" s="4">
        <v>118.04</v>
      </c>
      <c r="Q369" s="4">
        <v>0.18</v>
      </c>
      <c r="R369" s="4">
        <f t="shared" si="28"/>
        <v>0.22942662779397477</v>
      </c>
      <c r="S369" s="22">
        <f t="shared" si="29"/>
        <v>3.4985422740524776E-4</v>
      </c>
    </row>
    <row r="370" spans="1:19">
      <c r="A370" s="28" t="s">
        <v>873</v>
      </c>
      <c r="B370" s="29" t="s">
        <v>1170</v>
      </c>
      <c r="C370" s="29"/>
      <c r="D370" s="29">
        <v>0.75</v>
      </c>
      <c r="E370" s="4">
        <v>18</v>
      </c>
      <c r="F370" s="4">
        <v>9</v>
      </c>
      <c r="G370" s="4">
        <v>21</v>
      </c>
      <c r="H370" s="29">
        <v>4.4939</v>
      </c>
      <c r="I370" s="4">
        <v>5.9999999999999995E-4</v>
      </c>
      <c r="J370" s="29">
        <v>-28.7166</v>
      </c>
      <c r="K370" s="4">
        <v>2.0999999999999999E-3</v>
      </c>
      <c r="L370" s="4">
        <v>0.13200000000000001</v>
      </c>
      <c r="M370" s="4">
        <v>1.4999999999999999E-2</v>
      </c>
      <c r="N370" s="4">
        <v>-1.47E-2</v>
      </c>
      <c r="O370" s="4">
        <v>2.0000000000000001E-4</v>
      </c>
      <c r="P370" s="4">
        <v>98.28</v>
      </c>
      <c r="Q370" s="4">
        <v>0.28999999999999998</v>
      </c>
      <c r="R370" s="29">
        <f t="shared" si="28"/>
        <v>0.19102040816326529</v>
      </c>
      <c r="S370" s="22">
        <f t="shared" si="29"/>
        <v>5.6365403304178808E-4</v>
      </c>
    </row>
    <row r="371" spans="1:19">
      <c r="A371" s="44" t="s">
        <v>874</v>
      </c>
      <c r="B371" s="45" t="s">
        <v>1171</v>
      </c>
      <c r="C371" s="45"/>
      <c r="D371" s="45">
        <v>0.25</v>
      </c>
      <c r="E371" s="4">
        <v>18</v>
      </c>
      <c r="F371" s="4">
        <v>9</v>
      </c>
      <c r="G371" s="4">
        <v>21</v>
      </c>
      <c r="H371" s="45">
        <v>6.1497000000000002</v>
      </c>
      <c r="I371" s="4">
        <v>5.9999999999999995E-4</v>
      </c>
      <c r="J371" s="45">
        <v>-37.717100000000002</v>
      </c>
      <c r="K371" s="4">
        <v>6.9999999999999999E-4</v>
      </c>
      <c r="L371" s="4">
        <v>0.03</v>
      </c>
      <c r="M371" s="4">
        <v>8.0000000000000002E-3</v>
      </c>
      <c r="N371" s="4">
        <v>-5.5999999999999999E-3</v>
      </c>
      <c r="O371" s="4">
        <v>1E-4</v>
      </c>
      <c r="P371" s="4">
        <v>124.01</v>
      </c>
      <c r="Q371" s="4">
        <v>0.09</v>
      </c>
      <c r="R371" s="45">
        <f>P371*E371/G371^3</f>
        <v>0.24103012633624882</v>
      </c>
      <c r="S371" s="22">
        <f>Q371*E371/G371^3</f>
        <v>1.7492711370262388E-4</v>
      </c>
    </row>
    <row r="372" spans="1:19">
      <c r="A372" s="23" t="s">
        <v>874</v>
      </c>
      <c r="B372" s="4" t="s">
        <v>1171</v>
      </c>
      <c r="D372" s="4">
        <v>0.5</v>
      </c>
      <c r="E372" s="4">
        <v>18</v>
      </c>
      <c r="F372" s="4">
        <v>9</v>
      </c>
      <c r="G372" s="4">
        <v>21</v>
      </c>
      <c r="H372" s="4">
        <v>5.2835000000000001</v>
      </c>
      <c r="I372" s="4">
        <v>1E-3</v>
      </c>
      <c r="J372" s="4">
        <v>-32.549900000000001</v>
      </c>
      <c r="K372" s="4">
        <v>2.5000000000000001E-3</v>
      </c>
      <c r="L372" s="4">
        <v>9.4E-2</v>
      </c>
      <c r="M372" s="4">
        <v>1.2E-2</v>
      </c>
      <c r="N372" s="4">
        <v>-7.3000000000000001E-3</v>
      </c>
      <c r="O372" s="4">
        <v>2.9999999999999997E-4</v>
      </c>
      <c r="P372" s="4">
        <v>119.84</v>
      </c>
      <c r="Q372" s="4">
        <v>0.28000000000000003</v>
      </c>
      <c r="R372" s="4">
        <f t="shared" si="28"/>
        <v>0.23292517006802721</v>
      </c>
      <c r="S372" s="22">
        <f t="shared" si="29"/>
        <v>5.4421768707483002E-4</v>
      </c>
    </row>
    <row r="373" spans="1:19">
      <c r="A373" s="28" t="s">
        <v>874</v>
      </c>
      <c r="B373" s="29" t="s">
        <v>1171</v>
      </c>
      <c r="C373" s="29"/>
      <c r="D373" s="29">
        <v>0.75</v>
      </c>
      <c r="E373" s="4">
        <v>18</v>
      </c>
      <c r="F373" s="4">
        <v>9</v>
      </c>
      <c r="G373" s="4">
        <v>21</v>
      </c>
      <c r="H373" s="29">
        <v>4.4234999999999998</v>
      </c>
      <c r="I373" s="4">
        <v>5.0000000000000001E-4</v>
      </c>
      <c r="J373" s="29">
        <v>-28.0427</v>
      </c>
      <c r="K373" s="4">
        <v>1.2999999999999999E-3</v>
      </c>
      <c r="L373" s="4">
        <v>0.114</v>
      </c>
      <c r="M373" s="4">
        <v>6.0000000000000001E-3</v>
      </c>
      <c r="N373" s="4">
        <v>-1.17E-2</v>
      </c>
      <c r="O373" s="4">
        <v>1E-4</v>
      </c>
      <c r="P373" s="4">
        <v>107.74</v>
      </c>
      <c r="Q373" s="4">
        <v>0.14000000000000001</v>
      </c>
      <c r="R373" s="29">
        <f t="shared" si="28"/>
        <v>0.20940719144800776</v>
      </c>
      <c r="S373" s="22">
        <f t="shared" si="29"/>
        <v>2.7210884353741501E-4</v>
      </c>
    </row>
    <row r="374" spans="1:19">
      <c r="A374" s="44" t="s">
        <v>875</v>
      </c>
      <c r="B374" s="45" t="s">
        <v>1172</v>
      </c>
      <c r="C374" s="45"/>
      <c r="D374" s="45">
        <v>0.25</v>
      </c>
      <c r="E374" s="4">
        <v>18</v>
      </c>
      <c r="F374" s="4">
        <v>9</v>
      </c>
      <c r="G374" s="4">
        <v>21</v>
      </c>
      <c r="H374" s="45">
        <v>6.1676000000000002</v>
      </c>
      <c r="I374" s="4">
        <v>8.0000000000000004E-4</v>
      </c>
      <c r="J374" s="45">
        <v>-37.749400000000001</v>
      </c>
      <c r="K374" s="4">
        <v>8.0000000000000004E-4</v>
      </c>
      <c r="L374" s="4">
        <v>3.6999999999999998E-2</v>
      </c>
      <c r="M374" s="4">
        <v>1.2999999999999999E-2</v>
      </c>
      <c r="N374" s="4">
        <v>-5.1999999999999998E-3</v>
      </c>
      <c r="O374" s="4">
        <v>2.0000000000000001E-4</v>
      </c>
      <c r="P374" s="4">
        <v>124.65</v>
      </c>
      <c r="Q374" s="4">
        <v>0.22</v>
      </c>
      <c r="R374" s="45">
        <f>P374*E374/G374^3</f>
        <v>0.24227405247813413</v>
      </c>
      <c r="S374" s="22">
        <f>Q374*E374/G374^3</f>
        <v>4.2759961127308068E-4</v>
      </c>
    </row>
    <row r="375" spans="1:19">
      <c r="A375" s="23" t="s">
        <v>875</v>
      </c>
      <c r="B375" s="4" t="s">
        <v>1172</v>
      </c>
      <c r="D375" s="4">
        <v>0.5</v>
      </c>
      <c r="E375" s="4">
        <v>18</v>
      </c>
      <c r="F375" s="4">
        <v>9</v>
      </c>
      <c r="G375" s="4">
        <v>21</v>
      </c>
      <c r="H375" s="4">
        <v>5.3193999999999999</v>
      </c>
      <c r="I375" s="4">
        <v>2.9999999999999997E-4</v>
      </c>
      <c r="J375" s="4">
        <v>-32.476599999999998</v>
      </c>
      <c r="K375" s="4">
        <v>8.9999999999999998E-4</v>
      </c>
      <c r="L375" s="4">
        <v>6.7000000000000004E-2</v>
      </c>
      <c r="M375" s="4">
        <v>1.0999999999999999E-2</v>
      </c>
      <c r="N375" s="4">
        <v>-6.0000000000000001E-3</v>
      </c>
      <c r="O375" s="4">
        <v>2.0000000000000001E-4</v>
      </c>
      <c r="P375" s="4">
        <v>122.72</v>
      </c>
      <c r="Q375" s="4">
        <v>0.16</v>
      </c>
      <c r="R375" s="4">
        <f t="shared" si="28"/>
        <v>0.23852283770651117</v>
      </c>
      <c r="S375" s="22">
        <f t="shared" si="29"/>
        <v>3.1098153547133139E-4</v>
      </c>
    </row>
    <row r="376" spans="1:19">
      <c r="A376" s="28" t="s">
        <v>875</v>
      </c>
      <c r="B376" s="29" t="s">
        <v>1172</v>
      </c>
      <c r="C376" s="29"/>
      <c r="D376" s="29">
        <v>0.75</v>
      </c>
      <c r="E376" s="4">
        <v>18</v>
      </c>
      <c r="F376" s="4">
        <v>9</v>
      </c>
      <c r="G376" s="4">
        <v>21</v>
      </c>
      <c r="H376" s="29">
        <v>4.4848999999999997</v>
      </c>
      <c r="I376" s="4">
        <v>6.9999999999999999E-4</v>
      </c>
      <c r="J376" s="29">
        <v>-27.519100000000002</v>
      </c>
      <c r="K376" s="4">
        <v>5.9999999999999995E-4</v>
      </c>
      <c r="L376" s="4">
        <v>3.5000000000000003E-2</v>
      </c>
      <c r="M376" s="4">
        <v>1.4999999999999999E-2</v>
      </c>
      <c r="N376" s="4">
        <v>-8.5000000000000006E-3</v>
      </c>
      <c r="O376" s="4">
        <v>1E-4</v>
      </c>
      <c r="P376" s="4">
        <v>116.94</v>
      </c>
      <c r="Q376" s="4">
        <v>0.09</v>
      </c>
      <c r="R376" s="29">
        <f t="shared" si="28"/>
        <v>0.22728862973760933</v>
      </c>
      <c r="S376" s="22">
        <f t="shared" si="29"/>
        <v>1.7492711370262388E-4</v>
      </c>
    </row>
    <row r="377" spans="1:19">
      <c r="A377" s="33" t="s">
        <v>875</v>
      </c>
      <c r="B377" s="34" t="s">
        <v>1172</v>
      </c>
      <c r="C377" s="34"/>
      <c r="D377" s="34">
        <v>1</v>
      </c>
      <c r="E377" s="4">
        <v>18</v>
      </c>
      <c r="F377" s="4">
        <v>9</v>
      </c>
      <c r="G377" s="4">
        <v>21</v>
      </c>
      <c r="H377" s="34">
        <v>3.6888999999999998</v>
      </c>
      <c r="I377" s="4">
        <v>6.9999999999999999E-4</v>
      </c>
      <c r="J377" s="34">
        <v>-23.191500000000001</v>
      </c>
      <c r="K377" s="4">
        <v>5.9999999999999995E-4</v>
      </c>
      <c r="L377" s="4">
        <v>8.6999999999999994E-2</v>
      </c>
      <c r="M377" s="4">
        <v>2.9000000000000001E-2</v>
      </c>
      <c r="N377" s="4">
        <v>-1.34E-2</v>
      </c>
      <c r="O377" s="4">
        <v>2.9999999999999997E-4</v>
      </c>
      <c r="P377" s="4">
        <v>103.73</v>
      </c>
      <c r="Q377" s="4">
        <v>0.43</v>
      </c>
      <c r="R377" s="34">
        <f t="shared" si="28"/>
        <v>0.20161321671525753</v>
      </c>
      <c r="S377" s="22">
        <f t="shared" si="29"/>
        <v>8.3576287657920309E-4</v>
      </c>
    </row>
    <row r="378" spans="1:19">
      <c r="A378" s="44" t="s">
        <v>876</v>
      </c>
      <c r="B378" s="45" t="s">
        <v>1173</v>
      </c>
      <c r="C378" s="45"/>
      <c r="D378" s="45">
        <v>0.25</v>
      </c>
      <c r="E378" s="4">
        <v>18</v>
      </c>
      <c r="F378" s="4">
        <v>9</v>
      </c>
      <c r="G378" s="4">
        <v>21</v>
      </c>
      <c r="H378" s="45">
        <v>6.1562000000000001</v>
      </c>
      <c r="I378" s="4">
        <v>1E-3</v>
      </c>
      <c r="J378" s="45">
        <v>-37.812399999999997</v>
      </c>
      <c r="K378" s="4">
        <v>3.5999999999999999E-3</v>
      </c>
      <c r="L378" s="4">
        <v>4.2000000000000003E-2</v>
      </c>
      <c r="M378" s="4">
        <v>0.01</v>
      </c>
      <c r="N378" s="4">
        <v>-5.3E-3</v>
      </c>
      <c r="O378" s="4">
        <v>2.0000000000000001E-4</v>
      </c>
      <c r="P378" s="4">
        <v>124.43</v>
      </c>
      <c r="Q378" s="4">
        <v>0.3</v>
      </c>
      <c r="R378" s="45">
        <f>P378*E378/G378^3</f>
        <v>0.24184645286686104</v>
      </c>
      <c r="S378" s="22">
        <f>Q378*E378/G378^3</f>
        <v>5.8309037900874635E-4</v>
      </c>
    </row>
    <row r="379" spans="1:19">
      <c r="A379" s="23" t="s">
        <v>876</v>
      </c>
      <c r="B379" s="4" t="s">
        <v>1173</v>
      </c>
      <c r="D379" s="4">
        <v>0.5</v>
      </c>
      <c r="E379" s="4">
        <v>18</v>
      </c>
      <c r="F379" s="4">
        <v>9</v>
      </c>
      <c r="G379" s="4">
        <v>21</v>
      </c>
      <c r="H379" s="4">
        <v>5.2992999999999997</v>
      </c>
      <c r="I379" s="4">
        <v>1E-3</v>
      </c>
      <c r="J379" s="4">
        <v>-32.625500000000002</v>
      </c>
      <c r="K379" s="4">
        <v>1.4E-3</v>
      </c>
      <c r="L379" s="4">
        <v>3.5999999999999997E-2</v>
      </c>
      <c r="M379" s="4">
        <v>4.0000000000000001E-3</v>
      </c>
      <c r="N379" s="4">
        <v>-6.8999999999999999E-3</v>
      </c>
      <c r="O379" s="4">
        <v>1E-4</v>
      </c>
      <c r="P379" s="4">
        <v>121.68</v>
      </c>
      <c r="Q379" s="4">
        <v>0.19</v>
      </c>
      <c r="R379" s="4">
        <f t="shared" si="28"/>
        <v>0.23650145772594755</v>
      </c>
      <c r="S379" s="22">
        <f t="shared" si="29"/>
        <v>3.6929057337220603E-4</v>
      </c>
    </row>
    <row r="380" spans="1:19">
      <c r="A380" s="28" t="s">
        <v>876</v>
      </c>
      <c r="B380" s="29" t="s">
        <v>1173</v>
      </c>
      <c r="C380" s="29"/>
      <c r="D380" s="29">
        <v>0.75</v>
      </c>
      <c r="E380" s="4">
        <v>18</v>
      </c>
      <c r="F380" s="4">
        <v>9</v>
      </c>
      <c r="G380" s="4">
        <v>21</v>
      </c>
      <c r="H380" s="29">
        <v>4.4497</v>
      </c>
      <c r="I380" s="4">
        <v>5.0000000000000001E-4</v>
      </c>
      <c r="J380" s="29">
        <v>-27.827400000000001</v>
      </c>
      <c r="K380" s="4">
        <v>1.1999999999999999E-3</v>
      </c>
      <c r="L380" s="4">
        <v>4.7E-2</v>
      </c>
      <c r="M380" s="4">
        <v>4.0000000000000001E-3</v>
      </c>
      <c r="N380" s="4">
        <v>-9.4999999999999998E-3</v>
      </c>
      <c r="O380" s="4">
        <v>1E-4</v>
      </c>
      <c r="P380" s="4">
        <v>114.53</v>
      </c>
      <c r="Q380" s="4">
        <v>0.17</v>
      </c>
      <c r="R380" s="29">
        <f t="shared" si="28"/>
        <v>0.2226044703595724</v>
      </c>
      <c r="S380" s="22">
        <f t="shared" si="29"/>
        <v>3.304178814382896E-4</v>
      </c>
    </row>
    <row r="381" spans="1:19">
      <c r="A381" s="33" t="s">
        <v>876</v>
      </c>
      <c r="B381" s="34" t="s">
        <v>1173</v>
      </c>
      <c r="C381" s="34"/>
      <c r="D381" s="34">
        <v>1</v>
      </c>
      <c r="E381" s="4">
        <v>18</v>
      </c>
      <c r="F381" s="4">
        <v>9</v>
      </c>
      <c r="G381" s="4">
        <v>21</v>
      </c>
      <c r="H381" s="34">
        <v>3.6236000000000002</v>
      </c>
      <c r="I381" s="4">
        <v>5.0000000000000001E-4</v>
      </c>
      <c r="J381" s="34">
        <v>-23.922899999999998</v>
      </c>
      <c r="K381" s="4">
        <v>1.6999999999999999E-3</v>
      </c>
      <c r="L381" s="4">
        <v>0.115</v>
      </c>
      <c r="M381" s="4">
        <v>3.0000000000000001E-3</v>
      </c>
      <c r="N381" s="4">
        <v>-1.67E-2</v>
      </c>
      <c r="O381" s="4">
        <v>2.9999999999999997E-4</v>
      </c>
      <c r="P381" s="4">
        <v>95.14</v>
      </c>
      <c r="Q381" s="4">
        <v>0.39</v>
      </c>
      <c r="R381" s="34">
        <f t="shared" si="28"/>
        <v>0.18491739552964043</v>
      </c>
      <c r="S381" s="22">
        <f t="shared" si="29"/>
        <v>7.5801749271137034E-4</v>
      </c>
    </row>
    <row r="382" spans="1:19">
      <c r="A382" s="44" t="s">
        <v>877</v>
      </c>
      <c r="B382" s="45" t="s">
        <v>1174</v>
      </c>
      <c r="C382" s="45"/>
      <c r="D382" s="45">
        <v>0.25</v>
      </c>
      <c r="E382" s="4">
        <v>18</v>
      </c>
      <c r="F382" s="4">
        <v>9</v>
      </c>
      <c r="G382" s="4">
        <v>21</v>
      </c>
      <c r="H382" s="45">
        <v>6.0951000000000004</v>
      </c>
      <c r="I382" s="4">
        <v>5.9999999999999995E-4</v>
      </c>
      <c r="J382" s="45">
        <v>-38.029899999999998</v>
      </c>
      <c r="K382" s="4">
        <v>4.0000000000000002E-4</v>
      </c>
      <c r="L382" s="4">
        <v>4.9000000000000002E-2</v>
      </c>
      <c r="M382" s="4">
        <v>6.0000000000000001E-3</v>
      </c>
      <c r="N382" s="4">
        <v>-5.7000000000000002E-3</v>
      </c>
      <c r="O382" s="4">
        <v>2.0000000000000001E-4</v>
      </c>
      <c r="P382" s="4">
        <v>124.04</v>
      </c>
      <c r="Q382" s="4">
        <v>0.26</v>
      </c>
      <c r="R382" s="45">
        <f>P382*E382/G382^3</f>
        <v>0.2410884353741497</v>
      </c>
      <c r="S382" s="22">
        <f>Q382*E382/G382^3</f>
        <v>5.0534499514091349E-4</v>
      </c>
    </row>
    <row r="383" spans="1:19">
      <c r="A383" s="23" t="s">
        <v>877</v>
      </c>
      <c r="B383" s="4" t="s">
        <v>1174</v>
      </c>
      <c r="D383" s="4">
        <v>0.5</v>
      </c>
      <c r="E383" s="4">
        <v>18</v>
      </c>
      <c r="F383" s="4">
        <v>9</v>
      </c>
      <c r="G383" s="4">
        <v>21</v>
      </c>
      <c r="H383" s="4">
        <v>5.1536999999999997</v>
      </c>
      <c r="I383" s="4">
        <v>5.9999999999999995E-4</v>
      </c>
      <c r="J383" s="4">
        <v>-33.265099999999997</v>
      </c>
      <c r="K383" s="4">
        <v>1.8E-3</v>
      </c>
      <c r="L383" s="4">
        <v>0.11700000000000001</v>
      </c>
      <c r="M383" s="4">
        <v>2E-3</v>
      </c>
      <c r="N383" s="4">
        <v>-8.6E-3</v>
      </c>
      <c r="O383" s="4">
        <v>2.0000000000000001E-4</v>
      </c>
      <c r="P383" s="4">
        <v>117.84</v>
      </c>
      <c r="Q383" s="4">
        <v>0.15</v>
      </c>
      <c r="R383" s="4">
        <f t="shared" si="28"/>
        <v>0.22903790087463555</v>
      </c>
      <c r="S383" s="22">
        <f t="shared" si="29"/>
        <v>2.9154518950437317E-4</v>
      </c>
    </row>
    <row r="384" spans="1:19">
      <c r="A384" s="28" t="s">
        <v>877</v>
      </c>
      <c r="B384" s="29" t="s">
        <v>1174</v>
      </c>
      <c r="C384" s="29"/>
      <c r="D384" s="29">
        <v>0.75</v>
      </c>
      <c r="E384" s="4">
        <v>18</v>
      </c>
      <c r="F384" s="4">
        <v>9</v>
      </c>
      <c r="G384" s="4">
        <v>21</v>
      </c>
      <c r="H384" s="29">
        <v>4.1444000000000001</v>
      </c>
      <c r="I384" s="4">
        <v>6.9999999999999999E-4</v>
      </c>
      <c r="J384" s="29">
        <v>-29.591799999999999</v>
      </c>
      <c r="K384" s="4">
        <v>1.1999999999999999E-3</v>
      </c>
      <c r="L384" s="4">
        <v>8.3000000000000004E-2</v>
      </c>
      <c r="M384" s="4">
        <v>2.8000000000000001E-2</v>
      </c>
      <c r="N384" s="4">
        <v>-1.8800000000000001E-2</v>
      </c>
      <c r="O384" s="4">
        <v>0</v>
      </c>
      <c r="P384" s="4">
        <v>89</v>
      </c>
      <c r="Q384" s="4">
        <v>0.22</v>
      </c>
      <c r="R384" s="29">
        <f t="shared" si="28"/>
        <v>0.1729834791059281</v>
      </c>
      <c r="S384" s="22">
        <f t="shared" si="29"/>
        <v>4.2759961127308068E-4</v>
      </c>
    </row>
    <row r="385" spans="1:19">
      <c r="A385" s="44" t="s">
        <v>878</v>
      </c>
      <c r="B385" s="45" t="s">
        <v>1175</v>
      </c>
      <c r="C385" s="45"/>
      <c r="D385" s="45">
        <v>0.25</v>
      </c>
      <c r="E385" s="4">
        <v>18</v>
      </c>
      <c r="F385" s="4">
        <v>9</v>
      </c>
      <c r="G385" s="4">
        <v>21</v>
      </c>
      <c r="H385" s="45">
        <v>6.1078000000000001</v>
      </c>
      <c r="I385" s="4">
        <v>5.9999999999999995E-4</v>
      </c>
      <c r="J385" s="45">
        <v>-37.878599999999999</v>
      </c>
      <c r="K385" s="4">
        <v>2.0999999999999999E-3</v>
      </c>
      <c r="L385" s="4">
        <v>4.3999999999999997E-2</v>
      </c>
      <c r="M385" s="4">
        <v>1.0999999999999999E-2</v>
      </c>
      <c r="N385" s="4">
        <v>-5.7999999999999996E-3</v>
      </c>
      <c r="O385" s="4">
        <v>2.0000000000000001E-4</v>
      </c>
      <c r="P385" s="4">
        <v>124.12</v>
      </c>
      <c r="Q385" s="4">
        <v>0.22</v>
      </c>
      <c r="R385" s="45">
        <f>P385*E385/G385^3</f>
        <v>0.24124392614188531</v>
      </c>
      <c r="S385" s="22">
        <f>Q385*E385/G385^3</f>
        <v>4.2759961127308068E-4</v>
      </c>
    </row>
    <row r="386" spans="1:19">
      <c r="A386" s="23" t="s">
        <v>878</v>
      </c>
      <c r="B386" s="4" t="s">
        <v>1175</v>
      </c>
      <c r="D386" s="4">
        <v>0.5</v>
      </c>
      <c r="E386" s="4">
        <v>18</v>
      </c>
      <c r="F386" s="4">
        <v>9</v>
      </c>
      <c r="G386" s="4">
        <v>21</v>
      </c>
      <c r="H386" s="4">
        <v>5.1887999999999996</v>
      </c>
      <c r="I386" s="4">
        <v>4.0000000000000002E-4</v>
      </c>
      <c r="J386" s="4">
        <v>-32.842599999999997</v>
      </c>
      <c r="K386" s="4">
        <v>8.9999999999999998E-4</v>
      </c>
      <c r="L386" s="4">
        <v>0.08</v>
      </c>
      <c r="M386" s="4">
        <v>8.0000000000000002E-3</v>
      </c>
      <c r="N386" s="4">
        <v>-7.3000000000000001E-3</v>
      </c>
      <c r="O386" s="4">
        <v>0</v>
      </c>
      <c r="P386" s="4">
        <v>121.02</v>
      </c>
      <c r="Q386" s="4">
        <v>0.06</v>
      </c>
      <c r="R386" s="4">
        <f t="shared" si="28"/>
        <v>0.23521865889212829</v>
      </c>
      <c r="S386" s="22">
        <f t="shared" si="29"/>
        <v>1.1661807580174928E-4</v>
      </c>
    </row>
    <row r="387" spans="1:19">
      <c r="A387" s="28" t="s">
        <v>878</v>
      </c>
      <c r="B387" s="29" t="s">
        <v>1175</v>
      </c>
      <c r="C387" s="29"/>
      <c r="D387" s="29">
        <v>0.75</v>
      </c>
      <c r="E387" s="4">
        <v>18</v>
      </c>
      <c r="F387" s="4">
        <v>9</v>
      </c>
      <c r="G387" s="4">
        <v>21</v>
      </c>
      <c r="H387" s="41">
        <v>4.2484000000000002</v>
      </c>
      <c r="I387" s="4">
        <v>8.0000000000000004E-4</v>
      </c>
      <c r="J387" s="29">
        <v>-28.459</v>
      </c>
      <c r="K387" s="4">
        <v>2.5000000000000001E-3</v>
      </c>
      <c r="L387" s="4">
        <v>0.17499999999999999</v>
      </c>
      <c r="M387" s="4">
        <v>8.0000000000000002E-3</v>
      </c>
      <c r="N387" s="4">
        <v>-1.2999999999999999E-2</v>
      </c>
      <c r="O387" s="4">
        <v>2.0000000000000001E-4</v>
      </c>
      <c r="P387" s="4">
        <v>108.23</v>
      </c>
      <c r="Q387" s="4">
        <v>0.17</v>
      </c>
      <c r="R387" s="29">
        <f t="shared" si="28"/>
        <v>0.21035957240038874</v>
      </c>
      <c r="S387" s="22">
        <f t="shared" si="29"/>
        <v>3.304178814382896E-4</v>
      </c>
    </row>
    <row r="388" spans="1:19">
      <c r="A388" s="44" t="s">
        <v>879</v>
      </c>
      <c r="B388" s="45" t="s">
        <v>1176</v>
      </c>
      <c r="C388" s="45"/>
      <c r="D388" s="45">
        <v>0.25</v>
      </c>
      <c r="E388" s="4">
        <v>18</v>
      </c>
      <c r="F388" s="4">
        <v>9</v>
      </c>
      <c r="G388" s="4">
        <v>21</v>
      </c>
      <c r="H388" s="45">
        <v>6.1555</v>
      </c>
      <c r="I388" s="4">
        <v>6.9999999999999999E-4</v>
      </c>
      <c r="J388" s="45">
        <v>-37.976599999999998</v>
      </c>
      <c r="K388" s="4">
        <v>1.6000000000000001E-3</v>
      </c>
      <c r="L388" s="4">
        <v>4.2000000000000003E-2</v>
      </c>
      <c r="M388" s="4">
        <v>0.01</v>
      </c>
      <c r="N388" s="4">
        <v>-5.7000000000000002E-3</v>
      </c>
      <c r="O388" s="4">
        <v>2.0000000000000001E-4</v>
      </c>
      <c r="P388" s="4">
        <v>123.81</v>
      </c>
      <c r="Q388" s="4">
        <v>0.33</v>
      </c>
      <c r="R388" s="45">
        <f>P388*E388/G388^3</f>
        <v>0.24064139941690962</v>
      </c>
      <c r="S388" s="22">
        <f>Q388*E388/G388^3</f>
        <v>6.4139941690962105E-4</v>
      </c>
    </row>
    <row r="389" spans="1:19">
      <c r="A389" s="23" t="s">
        <v>879</v>
      </c>
      <c r="B389" s="4" t="s">
        <v>1176</v>
      </c>
      <c r="D389" s="4">
        <v>0.5</v>
      </c>
      <c r="E389" s="4">
        <v>18</v>
      </c>
      <c r="F389" s="4">
        <v>9</v>
      </c>
      <c r="G389" s="4">
        <v>21</v>
      </c>
      <c r="H389" s="4">
        <v>5.2859999999999996</v>
      </c>
      <c r="I389" s="4">
        <v>4.0000000000000002E-4</v>
      </c>
      <c r="J389" s="4">
        <v>-33.091299999999997</v>
      </c>
      <c r="K389" s="4">
        <v>2.9999999999999997E-4</v>
      </c>
      <c r="L389" s="4">
        <v>5.8000000000000003E-2</v>
      </c>
      <c r="M389" s="4">
        <v>5.0000000000000001E-3</v>
      </c>
      <c r="N389" s="4">
        <v>-7.6E-3</v>
      </c>
      <c r="O389" s="4">
        <v>1E-4</v>
      </c>
      <c r="P389" s="4">
        <v>118.75</v>
      </c>
      <c r="Q389" s="4">
        <v>0.15</v>
      </c>
      <c r="R389" s="4">
        <f t="shared" si="28"/>
        <v>0.23080660835762876</v>
      </c>
      <c r="S389" s="22">
        <f t="shared" si="29"/>
        <v>2.9154518950437317E-4</v>
      </c>
    </row>
    <row r="390" spans="1:19">
      <c r="A390" s="28" t="s">
        <v>879</v>
      </c>
      <c r="B390" s="29" t="s">
        <v>1176</v>
      </c>
      <c r="C390" s="29"/>
      <c r="D390" s="29">
        <v>0.75</v>
      </c>
      <c r="E390" s="4">
        <v>18</v>
      </c>
      <c r="F390" s="4">
        <v>9</v>
      </c>
      <c r="G390" s="4">
        <v>21</v>
      </c>
      <c r="H390" s="41">
        <v>4.3967999999999998</v>
      </c>
      <c r="I390" s="4">
        <v>2.0000000000000001E-4</v>
      </c>
      <c r="J390" s="29">
        <v>-28.977699999999999</v>
      </c>
      <c r="K390" s="4">
        <v>2.0000000000000001E-4</v>
      </c>
      <c r="L390" s="4">
        <v>0.153</v>
      </c>
      <c r="M390" s="4">
        <v>0.01</v>
      </c>
      <c r="N390" s="4">
        <v>-1.5100000000000001E-2</v>
      </c>
      <c r="O390" s="4">
        <v>2.0000000000000001E-4</v>
      </c>
      <c r="P390" s="4">
        <v>99.35</v>
      </c>
      <c r="Q390" s="4">
        <v>0.21</v>
      </c>
      <c r="R390" s="29">
        <f t="shared" si="28"/>
        <v>0.19310009718172982</v>
      </c>
      <c r="S390" s="22">
        <f t="shared" si="29"/>
        <v>4.0816326530612241E-4</v>
      </c>
    </row>
    <row r="391" spans="1:19">
      <c r="A391" s="44" t="s">
        <v>880</v>
      </c>
      <c r="B391" s="45" t="s">
        <v>1177</v>
      </c>
      <c r="C391" s="45"/>
      <c r="D391" s="45">
        <v>0.25</v>
      </c>
      <c r="E391" s="4">
        <v>18</v>
      </c>
      <c r="F391" s="4">
        <v>9</v>
      </c>
      <c r="G391" s="4">
        <v>21</v>
      </c>
      <c r="H391" s="45">
        <v>6.1193</v>
      </c>
      <c r="I391" s="4">
        <v>4.0000000000000002E-4</v>
      </c>
      <c r="J391" s="45">
        <v>-38.051299999999998</v>
      </c>
      <c r="K391" s="4">
        <v>8.0000000000000004E-4</v>
      </c>
      <c r="L391" s="4">
        <v>3.9E-2</v>
      </c>
      <c r="M391" s="4">
        <v>6.0000000000000001E-3</v>
      </c>
      <c r="N391" s="4">
        <v>-5.7999999999999996E-3</v>
      </c>
      <c r="O391" s="4">
        <v>2.9999999999999997E-4</v>
      </c>
      <c r="P391" s="4">
        <v>123.67</v>
      </c>
      <c r="Q391" s="4">
        <v>0.26</v>
      </c>
      <c r="R391" s="45">
        <f>P391*E391/G391^3</f>
        <v>0.2403692905733722</v>
      </c>
      <c r="S391" s="22">
        <f>Q391*E391/G391^3</f>
        <v>5.0534499514091349E-4</v>
      </c>
    </row>
    <row r="392" spans="1:19">
      <c r="A392" s="23" t="s">
        <v>880</v>
      </c>
      <c r="B392" s="4" t="s">
        <v>1177</v>
      </c>
      <c r="D392" s="4">
        <v>0.5</v>
      </c>
      <c r="E392" s="4">
        <v>18</v>
      </c>
      <c r="F392" s="4">
        <v>9</v>
      </c>
      <c r="G392" s="4">
        <v>21</v>
      </c>
      <c r="H392" s="4">
        <v>5.1997</v>
      </c>
      <c r="I392" s="4">
        <v>6.9999999999999999E-4</v>
      </c>
      <c r="J392" s="4">
        <v>-33.3705</v>
      </c>
      <c r="K392" s="4">
        <v>2E-3</v>
      </c>
      <c r="L392" s="4">
        <v>0.111</v>
      </c>
      <c r="M392" s="4">
        <v>1.7999999999999999E-2</v>
      </c>
      <c r="N392" s="4">
        <v>-8.9999999999999993E-3</v>
      </c>
      <c r="O392" s="4">
        <v>2.0000000000000001E-4</v>
      </c>
      <c r="P392" s="4">
        <v>115.91</v>
      </c>
      <c r="Q392" s="4">
        <v>0.28999999999999998</v>
      </c>
      <c r="R392" s="4">
        <f t="shared" si="28"/>
        <v>0.22528668610301264</v>
      </c>
      <c r="S392" s="22">
        <f t="shared" si="29"/>
        <v>5.6365403304178808E-4</v>
      </c>
    </row>
    <row r="393" spans="1:19">
      <c r="A393" s="44" t="s">
        <v>881</v>
      </c>
      <c r="B393" s="132" t="s">
        <v>1178</v>
      </c>
      <c r="C393" s="132"/>
      <c r="D393" s="45">
        <v>0.25</v>
      </c>
      <c r="E393" s="4">
        <v>18</v>
      </c>
      <c r="F393" s="4">
        <v>9</v>
      </c>
      <c r="G393" s="4">
        <v>21</v>
      </c>
      <c r="H393" s="45">
        <v>6.1436000000000002</v>
      </c>
      <c r="I393" s="4">
        <v>8.0000000000000004E-4</v>
      </c>
      <c r="J393" s="45">
        <v>-37.829799999999999</v>
      </c>
      <c r="K393" s="4">
        <v>1.2999999999999999E-3</v>
      </c>
      <c r="L393" s="4">
        <v>2.8000000000000001E-2</v>
      </c>
      <c r="M393" s="4">
        <v>3.0000000000000001E-3</v>
      </c>
      <c r="N393" s="4">
        <v>-5.4999999999999997E-3</v>
      </c>
      <c r="O393" s="4">
        <v>2.0000000000000001E-4</v>
      </c>
      <c r="P393" s="4">
        <v>124.47</v>
      </c>
      <c r="Q393" s="4">
        <v>0.28999999999999998</v>
      </c>
      <c r="R393" s="45">
        <f>P393*E393/G393^3</f>
        <v>0.24192419825072886</v>
      </c>
      <c r="S393" s="22">
        <f>Q393*E393/G393^3</f>
        <v>5.6365403304178808E-4</v>
      </c>
    </row>
    <row r="394" spans="1:19">
      <c r="A394" s="23" t="s">
        <v>881</v>
      </c>
      <c r="B394" s="129" t="s">
        <v>1178</v>
      </c>
      <c r="C394" s="129"/>
      <c r="D394" s="4">
        <v>0.5</v>
      </c>
      <c r="E394" s="4">
        <v>18</v>
      </c>
      <c r="F394" s="4">
        <v>9</v>
      </c>
      <c r="G394" s="4">
        <v>21</v>
      </c>
      <c r="H394" s="4">
        <v>5.2683999999999997</v>
      </c>
      <c r="I394" s="4">
        <v>5.0000000000000001E-4</v>
      </c>
      <c r="J394" s="4">
        <v>-32.6569</v>
      </c>
      <c r="K394" s="4">
        <v>1.1999999999999999E-3</v>
      </c>
      <c r="L394" s="4">
        <v>3.6999999999999998E-2</v>
      </c>
      <c r="M394" s="4">
        <v>8.9999999999999993E-3</v>
      </c>
      <c r="N394" s="4">
        <v>-6.7000000000000002E-3</v>
      </c>
      <c r="O394" s="4">
        <v>2.0000000000000001E-4</v>
      </c>
      <c r="P394" s="4">
        <v>122.27</v>
      </c>
      <c r="Q394" s="4">
        <v>0.26</v>
      </c>
      <c r="R394" s="4">
        <f t="shared" si="28"/>
        <v>0.23764820213799806</v>
      </c>
      <c r="S394" s="22">
        <f t="shared" si="29"/>
        <v>5.0534499514091349E-4</v>
      </c>
    </row>
    <row r="395" spans="1:19">
      <c r="A395" s="44" t="s">
        <v>882</v>
      </c>
      <c r="B395" s="45" t="s">
        <v>1179</v>
      </c>
      <c r="C395" s="45"/>
      <c r="D395" s="45">
        <v>0.25</v>
      </c>
      <c r="E395" s="4">
        <v>18</v>
      </c>
      <c r="F395" s="4">
        <v>9</v>
      </c>
      <c r="G395" s="4">
        <v>21</v>
      </c>
      <c r="H395" s="45">
        <v>6.1040000000000001</v>
      </c>
      <c r="I395" s="4">
        <v>8.0000000000000004E-4</v>
      </c>
      <c r="J395" s="45">
        <v>-37.863199999999999</v>
      </c>
      <c r="K395" s="4">
        <v>1.9E-3</v>
      </c>
      <c r="L395" s="4">
        <v>4.9000000000000002E-2</v>
      </c>
      <c r="M395" s="4">
        <v>3.0000000000000001E-3</v>
      </c>
      <c r="N395" s="4">
        <v>-5.8999999999999999E-3</v>
      </c>
      <c r="O395" s="4">
        <v>2.9999999999999997E-4</v>
      </c>
      <c r="P395" s="4">
        <v>123.71</v>
      </c>
      <c r="Q395" s="4">
        <v>0.28999999999999998</v>
      </c>
      <c r="R395" s="45">
        <f>P395*E395/G395^3</f>
        <v>0.24044703595724001</v>
      </c>
      <c r="S395" s="22">
        <f>Q395*E395/G395^3</f>
        <v>5.6365403304178808E-4</v>
      </c>
    </row>
    <row r="396" spans="1:19">
      <c r="A396" s="23" t="s">
        <v>882</v>
      </c>
      <c r="B396" s="4" t="s">
        <v>1179</v>
      </c>
      <c r="D396" s="4">
        <v>0.5</v>
      </c>
      <c r="E396" s="4">
        <v>18</v>
      </c>
      <c r="F396" s="4">
        <v>9</v>
      </c>
      <c r="G396" s="4">
        <v>21</v>
      </c>
      <c r="H396" s="4">
        <v>5.1798000000000002</v>
      </c>
      <c r="I396" s="4">
        <v>6.9999999999999999E-4</v>
      </c>
      <c r="J396" s="4">
        <v>-32.997300000000003</v>
      </c>
      <c r="K396" s="4">
        <v>1.4E-3</v>
      </c>
      <c r="L396" s="4">
        <v>9.6000000000000002E-2</v>
      </c>
      <c r="M396" s="4">
        <v>1.0999999999999999E-2</v>
      </c>
      <c r="N396" s="4">
        <v>-8.3000000000000001E-3</v>
      </c>
      <c r="O396" s="4">
        <v>2.9999999999999997E-4</v>
      </c>
      <c r="P396" s="4">
        <v>118.16</v>
      </c>
      <c r="Q396" s="4">
        <v>0.36</v>
      </c>
      <c r="R396" s="4">
        <f t="shared" si="28"/>
        <v>0.22965986394557825</v>
      </c>
      <c r="S396" s="22">
        <f t="shared" si="29"/>
        <v>6.9970845481049553E-4</v>
      </c>
    </row>
    <row r="397" spans="1:19">
      <c r="A397" s="44" t="s">
        <v>883</v>
      </c>
      <c r="B397" s="45" t="s">
        <v>1180</v>
      </c>
      <c r="C397" s="45"/>
      <c r="D397" s="45">
        <v>0.25</v>
      </c>
      <c r="E397" s="4">
        <v>18</v>
      </c>
      <c r="F397" s="4">
        <v>9</v>
      </c>
      <c r="G397" s="4">
        <v>21</v>
      </c>
      <c r="H397" s="45">
        <v>6.1204000000000001</v>
      </c>
      <c r="I397" s="4">
        <v>6.9999999999999999E-4</v>
      </c>
      <c r="J397" s="45">
        <v>-37.9694</v>
      </c>
      <c r="K397" s="4">
        <v>1.6000000000000001E-3</v>
      </c>
      <c r="L397" s="4">
        <v>3.4000000000000002E-2</v>
      </c>
      <c r="M397" s="4">
        <v>1.4E-2</v>
      </c>
      <c r="N397" s="4">
        <v>-5.4999999999999997E-3</v>
      </c>
      <c r="O397" s="4">
        <v>2.0000000000000001E-4</v>
      </c>
      <c r="P397" s="4">
        <v>124.17</v>
      </c>
      <c r="Q397" s="4">
        <v>0.15</v>
      </c>
      <c r="R397" s="45">
        <f>P397*E397/G397^3</f>
        <v>0.24134110787172011</v>
      </c>
      <c r="S397" s="22">
        <f>Q397*E397/G397^3</f>
        <v>2.9154518950437317E-4</v>
      </c>
    </row>
    <row r="398" spans="1:19">
      <c r="A398" s="23" t="s">
        <v>883</v>
      </c>
      <c r="B398" s="4" t="s">
        <v>1180</v>
      </c>
      <c r="D398" s="4">
        <v>0.5</v>
      </c>
      <c r="E398" s="4">
        <v>18</v>
      </c>
      <c r="F398" s="4">
        <v>9</v>
      </c>
      <c r="G398" s="4">
        <v>21</v>
      </c>
      <c r="H398" s="4">
        <v>5.2152000000000003</v>
      </c>
      <c r="I398" s="4">
        <v>6.9999999999999999E-4</v>
      </c>
      <c r="J398" s="4">
        <v>-33.017299999999999</v>
      </c>
      <c r="K398" s="4">
        <v>1.6999999999999999E-3</v>
      </c>
      <c r="L398" s="4">
        <v>6.5000000000000002E-2</v>
      </c>
      <c r="M398" s="4">
        <v>1.0999999999999999E-2</v>
      </c>
      <c r="N398" s="4">
        <v>-7.6E-3</v>
      </c>
      <c r="O398" s="4">
        <v>2.0000000000000001E-4</v>
      </c>
      <c r="P398" s="4">
        <v>119.94</v>
      </c>
      <c r="Q398" s="4">
        <v>0.18</v>
      </c>
      <c r="R398" s="4">
        <f t="shared" si="28"/>
        <v>0.23311953352769679</v>
      </c>
      <c r="S398" s="22">
        <f t="shared" si="29"/>
        <v>3.4985422740524776E-4</v>
      </c>
    </row>
    <row r="399" spans="1:19">
      <c r="A399" s="44" t="s">
        <v>884</v>
      </c>
      <c r="B399" s="45" t="s">
        <v>1181</v>
      </c>
      <c r="C399" s="45"/>
      <c r="D399" s="45">
        <v>0.25</v>
      </c>
      <c r="E399" s="4">
        <v>18</v>
      </c>
      <c r="F399" s="4">
        <v>9</v>
      </c>
      <c r="G399" s="4">
        <v>21</v>
      </c>
      <c r="H399" s="45">
        <v>6.1284999999999998</v>
      </c>
      <c r="I399" s="4">
        <v>8.0000000000000004E-4</v>
      </c>
      <c r="J399" s="45">
        <v>-37.924599999999998</v>
      </c>
      <c r="K399" s="4">
        <v>2.8E-3</v>
      </c>
      <c r="L399" s="4">
        <v>3.6999999999999998E-2</v>
      </c>
      <c r="M399" s="4">
        <v>6.0000000000000001E-3</v>
      </c>
      <c r="N399" s="4">
        <v>-5.4999999999999997E-3</v>
      </c>
      <c r="O399" s="4">
        <v>1E-4</v>
      </c>
      <c r="P399" s="4">
        <v>124.37</v>
      </c>
      <c r="Q399" s="4">
        <v>0.1</v>
      </c>
      <c r="R399" s="45">
        <f>P399*E399/G399^3</f>
        <v>0.24172983479105928</v>
      </c>
      <c r="S399" s="22">
        <f>Q399*E399/G399^3</f>
        <v>1.9436345966958212E-4</v>
      </c>
    </row>
    <row r="400" spans="1:19">
      <c r="A400" s="23" t="s">
        <v>884</v>
      </c>
      <c r="B400" s="4" t="s">
        <v>1181</v>
      </c>
      <c r="D400" s="4">
        <v>0.5</v>
      </c>
      <c r="E400" s="4">
        <v>18</v>
      </c>
      <c r="F400" s="4">
        <v>9</v>
      </c>
      <c r="G400" s="4">
        <v>21</v>
      </c>
      <c r="H400" s="4">
        <v>5.2329999999999997</v>
      </c>
      <c r="I400" s="4">
        <v>8.0000000000000004E-4</v>
      </c>
      <c r="J400" s="4">
        <v>-32.894300000000001</v>
      </c>
      <c r="K400" s="4">
        <v>3.0000000000000001E-3</v>
      </c>
      <c r="L400" s="4">
        <v>5.8999999999999997E-2</v>
      </c>
      <c r="M400" s="4">
        <v>6.0000000000000001E-3</v>
      </c>
      <c r="N400" s="4">
        <v>-7.1999999999999998E-3</v>
      </c>
      <c r="O400" s="4">
        <v>1E-4</v>
      </c>
      <c r="P400" s="4">
        <v>121.37</v>
      </c>
      <c r="Q400" s="4">
        <v>0.21</v>
      </c>
      <c r="R400" s="4">
        <f t="shared" si="28"/>
        <v>0.23589893100097181</v>
      </c>
      <c r="S400" s="22">
        <f t="shared" si="29"/>
        <v>4.0816326530612241E-4</v>
      </c>
    </row>
    <row r="401" spans="1:19">
      <c r="A401" s="44" t="s">
        <v>885</v>
      </c>
      <c r="B401" s="45" t="s">
        <v>1182</v>
      </c>
      <c r="C401" s="45"/>
      <c r="D401" s="45">
        <v>0.25</v>
      </c>
      <c r="E401" s="4">
        <v>18</v>
      </c>
      <c r="F401" s="4">
        <v>9</v>
      </c>
      <c r="G401" s="4">
        <v>21</v>
      </c>
      <c r="H401" s="45">
        <v>6.1874000000000002</v>
      </c>
      <c r="I401" s="4">
        <v>1E-3</v>
      </c>
      <c r="J401" s="45">
        <v>-37.945399999999999</v>
      </c>
      <c r="K401" s="4">
        <v>2.3E-3</v>
      </c>
      <c r="L401" s="4">
        <v>2.3E-2</v>
      </c>
      <c r="M401" s="4">
        <v>4.0000000000000001E-3</v>
      </c>
      <c r="N401" s="4">
        <v>-5.4999999999999997E-3</v>
      </c>
      <c r="O401" s="4">
        <v>2.0000000000000001E-4</v>
      </c>
      <c r="P401" s="4">
        <v>123.39</v>
      </c>
      <c r="Q401" s="4">
        <v>0.15</v>
      </c>
      <c r="R401" s="45">
        <f>P401*E401/G401^3</f>
        <v>0.23982507288629737</v>
      </c>
      <c r="S401" s="22">
        <f>Q401*E401/G401^3</f>
        <v>2.9154518950437317E-4</v>
      </c>
    </row>
    <row r="402" spans="1:19">
      <c r="A402" s="23" t="s">
        <v>885</v>
      </c>
      <c r="B402" s="4" t="s">
        <v>1182</v>
      </c>
      <c r="D402" s="4">
        <v>0.5</v>
      </c>
      <c r="E402" s="4">
        <v>18</v>
      </c>
      <c r="F402" s="4">
        <v>9</v>
      </c>
      <c r="G402" s="4">
        <v>21</v>
      </c>
      <c r="H402" s="4">
        <v>5.3574000000000002</v>
      </c>
      <c r="I402" s="4">
        <v>8.9999999999999998E-4</v>
      </c>
      <c r="J402" s="4">
        <v>-33.116700000000002</v>
      </c>
      <c r="K402" s="4">
        <v>2.5999999999999999E-3</v>
      </c>
      <c r="L402" s="4">
        <v>4.9000000000000002E-2</v>
      </c>
      <c r="M402" s="4">
        <v>1.2E-2</v>
      </c>
      <c r="N402" s="4">
        <v>-7.6E-3</v>
      </c>
      <c r="O402" s="4">
        <v>2.0000000000000001E-4</v>
      </c>
      <c r="P402" s="4">
        <v>117.64</v>
      </c>
      <c r="Q402" s="4">
        <v>0.21</v>
      </c>
      <c r="R402" s="4">
        <f t="shared" si="28"/>
        <v>0.22864917395529641</v>
      </c>
      <c r="S402" s="22">
        <f t="shared" si="29"/>
        <v>4.0816326530612241E-4</v>
      </c>
    </row>
    <row r="403" spans="1:19">
      <c r="A403" s="44" t="s">
        <v>886</v>
      </c>
      <c r="B403" s="45" t="s">
        <v>1183</v>
      </c>
      <c r="C403" s="45"/>
      <c r="D403" s="45">
        <v>0.25</v>
      </c>
      <c r="E403" s="4">
        <v>18</v>
      </c>
      <c r="F403" s="4">
        <v>9</v>
      </c>
      <c r="G403" s="4">
        <v>21</v>
      </c>
      <c r="H403" s="45">
        <v>6.1494999999999997</v>
      </c>
      <c r="I403" s="4">
        <v>5.0000000000000001E-4</v>
      </c>
      <c r="J403" s="45">
        <v>-37.770499999999998</v>
      </c>
      <c r="K403" s="4">
        <v>1.4E-3</v>
      </c>
      <c r="L403" s="4">
        <v>3.9E-2</v>
      </c>
      <c r="M403" s="4">
        <v>8.0000000000000002E-3</v>
      </c>
      <c r="N403" s="4">
        <v>-5.4999999999999997E-3</v>
      </c>
      <c r="O403" s="4">
        <v>0</v>
      </c>
      <c r="P403" s="4">
        <v>124.17</v>
      </c>
      <c r="Q403" s="4">
        <v>0.17</v>
      </c>
      <c r="R403" s="45">
        <f>P403*E403/G403^3</f>
        <v>0.24134110787172011</v>
      </c>
      <c r="S403" s="22">
        <f>Q403*E403/G403^3</f>
        <v>3.304178814382896E-4</v>
      </c>
    </row>
    <row r="404" spans="1:19">
      <c r="A404" s="23" t="s">
        <v>886</v>
      </c>
      <c r="B404" s="4" t="s">
        <v>1183</v>
      </c>
      <c r="D404" s="4">
        <v>0.5</v>
      </c>
      <c r="E404" s="4">
        <v>18</v>
      </c>
      <c r="F404" s="4">
        <v>9</v>
      </c>
      <c r="G404" s="4">
        <v>21</v>
      </c>
      <c r="H404" s="4">
        <v>5.2759</v>
      </c>
      <c r="I404" s="4">
        <v>5.9999999999999995E-4</v>
      </c>
      <c r="J404" s="4">
        <v>-32.620899999999999</v>
      </c>
      <c r="K404" s="4">
        <v>1.6000000000000001E-3</v>
      </c>
      <c r="L404" s="4">
        <v>8.5000000000000006E-2</v>
      </c>
      <c r="M404" s="4">
        <v>7.0000000000000001E-3</v>
      </c>
      <c r="N404" s="4">
        <v>-7.1000000000000004E-3</v>
      </c>
      <c r="O404" s="4">
        <v>4.0000000000000002E-4</v>
      </c>
      <c r="P404" s="4">
        <v>120.4</v>
      </c>
      <c r="Q404" s="4">
        <v>0.33</v>
      </c>
      <c r="R404" s="4">
        <f t="shared" si="28"/>
        <v>0.23401360544217689</v>
      </c>
      <c r="S404" s="22">
        <f t="shared" si="29"/>
        <v>6.4139941690962105E-4</v>
      </c>
    </row>
    <row r="405" spans="1:19">
      <c r="A405" s="44" t="s">
        <v>887</v>
      </c>
      <c r="B405" s="45" t="s">
        <v>1184</v>
      </c>
      <c r="C405" s="45"/>
      <c r="D405" s="45">
        <v>0.25</v>
      </c>
      <c r="E405" s="4">
        <v>18</v>
      </c>
      <c r="F405" s="4">
        <v>9</v>
      </c>
      <c r="G405" s="4">
        <v>21</v>
      </c>
      <c r="H405" s="45">
        <v>6.1547000000000001</v>
      </c>
      <c r="I405" s="4">
        <v>4.0000000000000002E-4</v>
      </c>
      <c r="J405" s="45">
        <v>-38.048400000000001</v>
      </c>
      <c r="K405" s="4">
        <v>1.2999999999999999E-3</v>
      </c>
      <c r="L405" s="4">
        <v>3.5000000000000003E-2</v>
      </c>
      <c r="M405" s="4">
        <v>1.0999999999999999E-2</v>
      </c>
      <c r="N405" s="4">
        <v>-5.7999999999999996E-3</v>
      </c>
      <c r="O405" s="4">
        <v>2.0000000000000001E-4</v>
      </c>
      <c r="P405" s="4">
        <v>122.55</v>
      </c>
      <c r="Q405" s="4">
        <v>0.24</v>
      </c>
      <c r="R405" s="45">
        <f>P405*E405/G405^3</f>
        <v>0.23819241982507289</v>
      </c>
      <c r="S405" s="22">
        <f>Q405*E405/G405^3</f>
        <v>4.6647230320699711E-4</v>
      </c>
    </row>
    <row r="406" spans="1:19">
      <c r="A406" s="23" t="s">
        <v>887</v>
      </c>
      <c r="B406" s="4" t="s">
        <v>1184</v>
      </c>
      <c r="D406" s="4">
        <v>0.5</v>
      </c>
      <c r="E406" s="4">
        <v>18</v>
      </c>
      <c r="F406" s="4">
        <v>9</v>
      </c>
      <c r="G406" s="4">
        <v>21</v>
      </c>
      <c r="H406" s="4">
        <v>5.2812999999999999</v>
      </c>
      <c r="I406" s="4">
        <v>8.0000000000000004E-4</v>
      </c>
      <c r="J406" s="4">
        <v>-33.721400000000003</v>
      </c>
      <c r="K406" s="4">
        <v>8.0000000000000004E-4</v>
      </c>
      <c r="L406" s="4">
        <v>0.13600000000000001</v>
      </c>
      <c r="M406" s="4">
        <v>1.4E-2</v>
      </c>
      <c r="N406" s="4">
        <v>-1.03E-2</v>
      </c>
      <c r="O406" s="4">
        <v>1E-4</v>
      </c>
      <c r="P406" s="4">
        <v>108.52</v>
      </c>
      <c r="Q406" s="4">
        <v>0.18</v>
      </c>
      <c r="R406" s="4">
        <f t="shared" si="28"/>
        <v>0.21092322643343051</v>
      </c>
      <c r="S406" s="22">
        <f t="shared" si="29"/>
        <v>3.4985422740524776E-4</v>
      </c>
    </row>
    <row r="407" spans="1:19">
      <c r="A407" s="44" t="s">
        <v>888</v>
      </c>
      <c r="B407" s="45" t="s">
        <v>1185</v>
      </c>
      <c r="C407" s="45"/>
      <c r="D407" s="45">
        <v>0.25</v>
      </c>
      <c r="E407" s="4">
        <v>18</v>
      </c>
      <c r="F407" s="4">
        <v>9</v>
      </c>
      <c r="G407" s="4">
        <v>21</v>
      </c>
      <c r="H407" s="45">
        <v>6.1422999999999996</v>
      </c>
      <c r="I407" s="4">
        <v>8.0000000000000004E-4</v>
      </c>
      <c r="J407" s="45">
        <v>-37.911999999999999</v>
      </c>
      <c r="K407" s="4">
        <v>2.3999999999999998E-3</v>
      </c>
      <c r="L407" s="4">
        <v>3.2000000000000001E-2</v>
      </c>
      <c r="M407" s="4">
        <v>0.01</v>
      </c>
      <c r="N407" s="4">
        <v>-5.5999999999999999E-3</v>
      </c>
      <c r="O407" s="4">
        <v>1E-4</v>
      </c>
      <c r="P407" s="4">
        <v>124.21</v>
      </c>
      <c r="Q407" s="4">
        <v>0.14000000000000001</v>
      </c>
      <c r="R407" s="45">
        <f>P407*E407/G407^3</f>
        <v>0.24141885325558793</v>
      </c>
      <c r="S407" s="22">
        <f>Q407*E407/G407^3</f>
        <v>2.7210884353741501E-4</v>
      </c>
    </row>
    <row r="408" spans="1:19">
      <c r="A408" s="23" t="s">
        <v>888</v>
      </c>
      <c r="B408" s="4" t="s">
        <v>1185</v>
      </c>
      <c r="D408" s="4">
        <v>0.5</v>
      </c>
      <c r="E408" s="4">
        <v>18</v>
      </c>
      <c r="F408" s="4">
        <v>9</v>
      </c>
      <c r="G408" s="4">
        <v>21</v>
      </c>
      <c r="H408" s="4">
        <v>5.2625999999999999</v>
      </c>
      <c r="I408" s="4">
        <v>4.0000000000000002E-4</v>
      </c>
      <c r="J408" s="4">
        <v>-32.876199999999997</v>
      </c>
      <c r="K408" s="4">
        <v>6.9999999999999999E-4</v>
      </c>
      <c r="L408" s="4">
        <v>4.2999999999999997E-2</v>
      </c>
      <c r="M408" s="4">
        <v>6.0000000000000001E-3</v>
      </c>
      <c r="N408" s="4">
        <v>-7.1999999999999998E-3</v>
      </c>
      <c r="O408" s="4">
        <v>2.0000000000000001E-4</v>
      </c>
      <c r="P408" s="4">
        <v>120.9</v>
      </c>
      <c r="Q408" s="4">
        <v>0.21</v>
      </c>
      <c r="R408" s="4">
        <f t="shared" si="28"/>
        <v>0.23498542274052481</v>
      </c>
      <c r="S408" s="22">
        <f t="shared" si="29"/>
        <v>4.0816326530612241E-4</v>
      </c>
    </row>
    <row r="409" spans="1:19">
      <c r="A409" s="44" t="s">
        <v>889</v>
      </c>
      <c r="B409" s="45" t="s">
        <v>1186</v>
      </c>
      <c r="C409" s="45"/>
      <c r="D409" s="45">
        <v>0.25</v>
      </c>
      <c r="E409" s="4">
        <v>18</v>
      </c>
      <c r="F409" s="4">
        <v>9</v>
      </c>
      <c r="G409" s="4">
        <v>21</v>
      </c>
      <c r="H409" s="45">
        <v>6.1311999999999998</v>
      </c>
      <c r="I409" s="4">
        <v>8.9999999999999998E-4</v>
      </c>
      <c r="J409" s="45">
        <v>-37.697499999999998</v>
      </c>
      <c r="K409" s="4">
        <v>2.2000000000000001E-3</v>
      </c>
      <c r="L409" s="4">
        <v>3.1E-2</v>
      </c>
      <c r="M409" s="4">
        <v>3.0000000000000001E-3</v>
      </c>
      <c r="N409" s="4">
        <v>-5.4999999999999997E-3</v>
      </c>
      <c r="O409" s="4">
        <v>1E-4</v>
      </c>
      <c r="P409" s="4">
        <v>124.55</v>
      </c>
      <c r="Q409" s="4">
        <v>0.16</v>
      </c>
      <c r="R409" s="45">
        <f>P409*E409/G409^3</f>
        <v>0.24207968901846455</v>
      </c>
      <c r="S409" s="22">
        <f>Q409*E409/G409^3</f>
        <v>3.1098153547133139E-4</v>
      </c>
    </row>
    <row r="410" spans="1:19">
      <c r="A410" s="23" t="s">
        <v>889</v>
      </c>
      <c r="B410" s="4" t="s">
        <v>1186</v>
      </c>
      <c r="D410" s="4">
        <v>0.5</v>
      </c>
      <c r="E410" s="4">
        <v>18</v>
      </c>
      <c r="F410" s="4">
        <v>9</v>
      </c>
      <c r="G410" s="4">
        <v>21</v>
      </c>
      <c r="H410" s="4">
        <v>5.2431999999999999</v>
      </c>
      <c r="I410" s="4">
        <v>1E-3</v>
      </c>
      <c r="J410" s="4">
        <v>-32.391500000000001</v>
      </c>
      <c r="K410" s="4">
        <v>1.8E-3</v>
      </c>
      <c r="L410" s="4">
        <v>4.2000000000000003E-2</v>
      </c>
      <c r="M410" s="4">
        <v>4.0000000000000001E-3</v>
      </c>
      <c r="N410" s="4">
        <v>-7.0000000000000001E-3</v>
      </c>
      <c r="O410" s="4">
        <v>1E-4</v>
      </c>
      <c r="P410" s="4">
        <v>122.28</v>
      </c>
      <c r="Q410" s="4">
        <v>0.11</v>
      </c>
      <c r="R410" s="4">
        <f t="shared" si="28"/>
        <v>0.23766763848396502</v>
      </c>
      <c r="S410" s="22">
        <f t="shared" si="29"/>
        <v>2.1379980563654034E-4</v>
      </c>
    </row>
    <row r="411" spans="1:19">
      <c r="A411" s="44" t="s">
        <v>890</v>
      </c>
      <c r="B411" s="45" t="s">
        <v>1187</v>
      </c>
      <c r="C411" s="45"/>
      <c r="D411" s="45">
        <v>0.25</v>
      </c>
      <c r="E411" s="4">
        <v>18</v>
      </c>
      <c r="F411" s="4">
        <v>9</v>
      </c>
      <c r="G411" s="4">
        <v>21</v>
      </c>
      <c r="H411" s="45">
        <v>6.1497999999999999</v>
      </c>
      <c r="I411" s="4">
        <v>5.9999999999999995E-4</v>
      </c>
      <c r="J411" s="45">
        <v>-37.8889</v>
      </c>
      <c r="K411" s="4">
        <v>1.6000000000000001E-3</v>
      </c>
      <c r="L411" s="4">
        <v>3.4000000000000002E-2</v>
      </c>
      <c r="M411" s="4">
        <v>6.0000000000000001E-3</v>
      </c>
      <c r="N411" s="4">
        <v>-5.4000000000000003E-3</v>
      </c>
      <c r="O411" s="4">
        <v>1E-4</v>
      </c>
      <c r="P411" s="4">
        <v>124.52</v>
      </c>
      <c r="Q411" s="4">
        <v>0.06</v>
      </c>
      <c r="R411" s="45">
        <f>P411*E411/G411^3</f>
        <v>0.24202137998056367</v>
      </c>
      <c r="S411" s="22">
        <f>Q411*E411/G411^3</f>
        <v>1.1661807580174928E-4</v>
      </c>
    </row>
    <row r="412" spans="1:19">
      <c r="A412" s="23" t="s">
        <v>890</v>
      </c>
      <c r="B412" s="4" t="s">
        <v>1187</v>
      </c>
      <c r="D412" s="4">
        <v>0.5</v>
      </c>
      <c r="E412" s="4">
        <v>18</v>
      </c>
      <c r="F412" s="4">
        <v>9</v>
      </c>
      <c r="G412" s="4">
        <v>21</v>
      </c>
      <c r="H412" s="4">
        <v>5.2805999999999997</v>
      </c>
      <c r="I412" s="4">
        <v>4.0000000000000002E-4</v>
      </c>
      <c r="J412" s="4">
        <v>-32.808799999999998</v>
      </c>
      <c r="K412" s="4">
        <v>5.0000000000000001E-4</v>
      </c>
      <c r="L412" s="4">
        <v>4.2999999999999997E-2</v>
      </c>
      <c r="M412" s="4">
        <v>8.0000000000000002E-3</v>
      </c>
      <c r="N412" s="4">
        <v>-7.0000000000000001E-3</v>
      </c>
      <c r="O412" s="4">
        <v>1E-4</v>
      </c>
      <c r="P412" s="4">
        <v>121.54</v>
      </c>
      <c r="Q412" s="4">
        <v>0.12</v>
      </c>
      <c r="R412" s="4">
        <f t="shared" si="28"/>
        <v>0.23622934888241012</v>
      </c>
      <c r="S412" s="22">
        <f t="shared" si="29"/>
        <v>2.3323615160349855E-4</v>
      </c>
    </row>
    <row r="413" spans="1:19">
      <c r="A413" s="44" t="s">
        <v>891</v>
      </c>
      <c r="B413" s="45" t="s">
        <v>1188</v>
      </c>
      <c r="C413" s="45"/>
      <c r="D413" s="45">
        <v>0.25</v>
      </c>
      <c r="E413" s="4">
        <v>18</v>
      </c>
      <c r="F413" s="4">
        <v>9</v>
      </c>
      <c r="G413" s="4">
        <v>21</v>
      </c>
      <c r="H413" s="45">
        <v>6.1589999999999998</v>
      </c>
      <c r="I413" s="4">
        <v>5.9999999999999995E-4</v>
      </c>
      <c r="J413" s="45">
        <v>-37.755400000000002</v>
      </c>
      <c r="K413" s="4">
        <v>1.4E-3</v>
      </c>
      <c r="L413" s="4">
        <v>2.5000000000000001E-2</v>
      </c>
      <c r="M413" s="4">
        <v>4.0000000000000001E-3</v>
      </c>
      <c r="N413" s="4">
        <v>-5.4000000000000003E-3</v>
      </c>
      <c r="O413" s="4">
        <v>1E-4</v>
      </c>
      <c r="P413" s="4">
        <v>124.39</v>
      </c>
      <c r="Q413" s="4">
        <v>0.16</v>
      </c>
      <c r="R413" s="45">
        <f>P413*E413/G413^3</f>
        <v>0.2417687074829932</v>
      </c>
      <c r="S413" s="22">
        <f>Q413*E413/G413^3</f>
        <v>3.1098153547133139E-4</v>
      </c>
    </row>
    <row r="414" spans="1:19">
      <c r="A414" s="23" t="s">
        <v>891</v>
      </c>
      <c r="B414" s="4" t="s">
        <v>1188</v>
      </c>
      <c r="D414" s="4">
        <v>0.5</v>
      </c>
      <c r="E414" s="4">
        <v>18</v>
      </c>
      <c r="F414" s="4">
        <v>9</v>
      </c>
      <c r="G414" s="4">
        <v>21</v>
      </c>
      <c r="H414" s="4">
        <v>5.3014999999999999</v>
      </c>
      <c r="I414" s="4">
        <v>2.9999999999999997E-4</v>
      </c>
      <c r="J414" s="4">
        <v>-32.493400000000001</v>
      </c>
      <c r="K414" s="4">
        <v>1.6000000000000001E-3</v>
      </c>
      <c r="L414" s="4">
        <v>5.0999999999999997E-2</v>
      </c>
      <c r="M414" s="4">
        <v>5.0000000000000001E-3</v>
      </c>
      <c r="N414" s="4">
        <v>-6.7000000000000002E-3</v>
      </c>
      <c r="O414" s="4">
        <v>2.0000000000000001E-4</v>
      </c>
      <c r="P414" s="4">
        <v>122.14</v>
      </c>
      <c r="Q414" s="4">
        <v>0.2</v>
      </c>
      <c r="R414" s="4">
        <f t="shared" si="28"/>
        <v>0.23739552964042759</v>
      </c>
      <c r="S414" s="22">
        <f t="shared" si="29"/>
        <v>3.8872691933916425E-4</v>
      </c>
    </row>
    <row r="415" spans="1:19">
      <c r="A415" s="44" t="s">
        <v>892</v>
      </c>
      <c r="B415" s="45" t="s">
        <v>1189</v>
      </c>
      <c r="C415" s="45"/>
      <c r="D415" s="45">
        <v>0.25</v>
      </c>
      <c r="E415" s="4">
        <v>18</v>
      </c>
      <c r="F415" s="4">
        <v>9</v>
      </c>
      <c r="G415" s="4">
        <v>21</v>
      </c>
      <c r="H415" s="45">
        <v>6.1555999999999997</v>
      </c>
      <c r="I415" s="4">
        <v>8.9999999999999998E-4</v>
      </c>
      <c r="J415" s="45">
        <v>-37.801600000000001</v>
      </c>
      <c r="K415" s="4">
        <v>4.0000000000000002E-4</v>
      </c>
      <c r="L415" s="4">
        <v>2.4E-2</v>
      </c>
      <c r="M415" s="4">
        <v>6.0000000000000001E-3</v>
      </c>
      <c r="N415" s="4">
        <v>-5.4000000000000003E-3</v>
      </c>
      <c r="O415" s="4">
        <v>1E-4</v>
      </c>
      <c r="P415" s="4">
        <v>124.07</v>
      </c>
      <c r="Q415" s="4">
        <v>0.18</v>
      </c>
      <c r="R415" s="45">
        <f>P415*E415/G415^3</f>
        <v>0.2411467444120505</v>
      </c>
      <c r="S415" s="22">
        <f>Q415*E415/G415^3</f>
        <v>3.4985422740524776E-4</v>
      </c>
    </row>
    <row r="416" spans="1:19">
      <c r="A416" s="23" t="s">
        <v>892</v>
      </c>
      <c r="B416" s="4" t="s">
        <v>1189</v>
      </c>
      <c r="D416" s="4">
        <v>0.5</v>
      </c>
      <c r="E416" s="4">
        <v>18</v>
      </c>
      <c r="F416" s="4">
        <v>9</v>
      </c>
      <c r="G416" s="4">
        <v>21</v>
      </c>
      <c r="H416" s="4">
        <v>5.2901999999999996</v>
      </c>
      <c r="I416" s="4">
        <v>6.9999999999999999E-4</v>
      </c>
      <c r="J416" s="4">
        <v>-32.708100000000002</v>
      </c>
      <c r="K416" s="4">
        <v>1E-3</v>
      </c>
      <c r="L416" s="4">
        <v>5.3999999999999999E-2</v>
      </c>
      <c r="M416" s="4">
        <v>1.4999999999999999E-2</v>
      </c>
      <c r="N416" s="4">
        <v>-7.3000000000000001E-3</v>
      </c>
      <c r="O416" s="4">
        <v>2.0000000000000001E-4</v>
      </c>
      <c r="P416" s="4">
        <v>119.73</v>
      </c>
      <c r="Q416" s="4">
        <v>0.27</v>
      </c>
      <c r="R416" s="4">
        <f t="shared" si="28"/>
        <v>0.23271137026239067</v>
      </c>
      <c r="S416" s="22">
        <f t="shared" si="29"/>
        <v>5.2478134110787176E-4</v>
      </c>
    </row>
    <row r="417" spans="1:19">
      <c r="A417" s="44" t="s">
        <v>893</v>
      </c>
      <c r="B417" s="45" t="s">
        <v>1190</v>
      </c>
      <c r="C417" s="45"/>
      <c r="D417" s="45">
        <v>0.25</v>
      </c>
      <c r="E417" s="4">
        <v>18</v>
      </c>
      <c r="F417" s="4">
        <v>9</v>
      </c>
      <c r="G417" s="4">
        <v>21</v>
      </c>
      <c r="H417" s="45">
        <v>6.1266999999999996</v>
      </c>
      <c r="I417" s="4">
        <v>2.9999999999999997E-4</v>
      </c>
      <c r="J417" s="45">
        <v>-37.819099999999999</v>
      </c>
      <c r="K417" s="4">
        <v>1.2999999999999999E-3</v>
      </c>
      <c r="L417" s="4">
        <v>3.1E-2</v>
      </c>
      <c r="M417" s="4">
        <v>2E-3</v>
      </c>
      <c r="N417" s="4">
        <v>-5.4999999999999997E-3</v>
      </c>
      <c r="O417" s="4">
        <v>1E-4</v>
      </c>
      <c r="P417" s="4">
        <v>124.26</v>
      </c>
      <c r="Q417" s="4">
        <v>0.19</v>
      </c>
      <c r="R417" s="45">
        <f>P417*E417/G417^3</f>
        <v>0.24151603498542276</v>
      </c>
      <c r="S417" s="22">
        <f>Q417*E417/G417^3</f>
        <v>3.6929057337220603E-4</v>
      </c>
    </row>
    <row r="418" spans="1:19">
      <c r="A418" s="23" t="s">
        <v>893</v>
      </c>
      <c r="B418" s="4" t="s">
        <v>1190</v>
      </c>
      <c r="D418" s="4">
        <v>0.5</v>
      </c>
      <c r="E418" s="4">
        <v>18</v>
      </c>
      <c r="F418" s="4">
        <v>9</v>
      </c>
      <c r="G418" s="4">
        <v>21</v>
      </c>
      <c r="H418" s="4">
        <v>5.2337999999999996</v>
      </c>
      <c r="I418" s="4">
        <v>1E-3</v>
      </c>
      <c r="J418" s="4">
        <v>-32.779800000000002</v>
      </c>
      <c r="K418" s="4">
        <v>5.9999999999999995E-4</v>
      </c>
      <c r="L418" s="4">
        <v>6.7000000000000004E-2</v>
      </c>
      <c r="M418" s="4">
        <v>0.01</v>
      </c>
      <c r="N418" s="4">
        <v>-7.3000000000000001E-3</v>
      </c>
      <c r="O418" s="4">
        <v>4.0000000000000002E-4</v>
      </c>
      <c r="P418" s="4">
        <v>120.38</v>
      </c>
      <c r="Q418" s="4">
        <v>0.44</v>
      </c>
      <c r="R418" s="4">
        <f t="shared" si="28"/>
        <v>0.23397473275024297</v>
      </c>
      <c r="S418" s="22">
        <f t="shared" si="29"/>
        <v>8.5519922254616136E-4</v>
      </c>
    </row>
    <row r="419" spans="1:19">
      <c r="A419" s="44" t="s">
        <v>894</v>
      </c>
      <c r="B419" s="45" t="s">
        <v>1191</v>
      </c>
      <c r="C419" s="45"/>
      <c r="D419" s="45">
        <v>0.25</v>
      </c>
      <c r="E419" s="4">
        <v>18</v>
      </c>
      <c r="F419" s="4">
        <v>9</v>
      </c>
      <c r="G419" s="4">
        <v>21</v>
      </c>
      <c r="H419" s="45">
        <v>6.1436000000000002</v>
      </c>
      <c r="I419" s="4">
        <v>1E-3</v>
      </c>
      <c r="J419" s="45">
        <v>-37.958199999999998</v>
      </c>
      <c r="K419" s="4">
        <v>1.8E-3</v>
      </c>
      <c r="L419" s="4">
        <v>3.5999999999999997E-2</v>
      </c>
      <c r="M419" s="4">
        <v>6.0000000000000001E-3</v>
      </c>
      <c r="N419" s="4">
        <v>-5.7000000000000002E-3</v>
      </c>
      <c r="O419" s="4">
        <v>2.0000000000000001E-4</v>
      </c>
      <c r="P419" s="4">
        <v>123.92</v>
      </c>
      <c r="Q419" s="4">
        <v>0.3</v>
      </c>
      <c r="R419" s="45">
        <f>P419*E419/G419^3</f>
        <v>0.24085519922254617</v>
      </c>
      <c r="S419" s="22">
        <f>Q419*E419/G419^3</f>
        <v>5.8309037900874635E-4</v>
      </c>
    </row>
    <row r="420" spans="1:19">
      <c r="A420" s="23" t="s">
        <v>894</v>
      </c>
      <c r="B420" s="4" t="s">
        <v>1191</v>
      </c>
      <c r="D420" s="4">
        <v>0.5</v>
      </c>
      <c r="E420" s="4">
        <v>18</v>
      </c>
      <c r="F420" s="4">
        <v>9</v>
      </c>
      <c r="G420" s="4">
        <v>21</v>
      </c>
      <c r="H420" s="4">
        <v>5.2624000000000004</v>
      </c>
      <c r="I420" s="4">
        <v>6.9999999999999999E-4</v>
      </c>
      <c r="J420" s="4">
        <v>-33.0745</v>
      </c>
      <c r="K420" s="4">
        <v>1.5E-3</v>
      </c>
      <c r="L420" s="4">
        <v>7.6999999999999999E-2</v>
      </c>
      <c r="M420" s="4">
        <v>5.0000000000000001E-3</v>
      </c>
      <c r="N420" s="4">
        <v>-7.4999999999999997E-3</v>
      </c>
      <c r="O420" s="4">
        <v>5.0000000000000001E-4</v>
      </c>
      <c r="P420" s="4">
        <v>119.57</v>
      </c>
      <c r="Q420" s="4">
        <v>0.56999999999999995</v>
      </c>
      <c r="R420" s="4">
        <f t="shared" si="28"/>
        <v>0.23240038872691932</v>
      </c>
      <c r="S420" s="22">
        <f t="shared" si="29"/>
        <v>1.1078717201166181E-3</v>
      </c>
    </row>
    <row r="421" spans="1:19">
      <c r="A421" s="44" t="s">
        <v>895</v>
      </c>
      <c r="B421" s="45" t="s">
        <v>1192</v>
      </c>
      <c r="C421" s="45"/>
      <c r="D421" s="104">
        <v>0.25</v>
      </c>
      <c r="E421" s="4">
        <v>18</v>
      </c>
      <c r="F421" s="4">
        <v>9</v>
      </c>
      <c r="G421" s="4">
        <v>21</v>
      </c>
      <c r="H421" s="45">
        <v>6.1318000000000001</v>
      </c>
      <c r="I421" s="4">
        <v>8.0000000000000004E-4</v>
      </c>
      <c r="J421" s="45">
        <v>-38.312199999999997</v>
      </c>
      <c r="K421" s="4">
        <v>1.8E-3</v>
      </c>
      <c r="L421" s="4">
        <v>0.05</v>
      </c>
      <c r="M421" s="4">
        <v>6.0000000000000001E-3</v>
      </c>
      <c r="N421" s="4">
        <v>-6.1999999999999998E-3</v>
      </c>
      <c r="O421" s="4">
        <v>2.9999999999999997E-4</v>
      </c>
      <c r="P421" s="4">
        <v>121.74</v>
      </c>
      <c r="Q421" s="4">
        <v>0.3</v>
      </c>
      <c r="R421" s="45">
        <f>P421*E421/G421^3</f>
        <v>0.23661807580174923</v>
      </c>
      <c r="S421" s="22">
        <f>Q421*E421/G421^3</f>
        <v>5.8309037900874635E-4</v>
      </c>
    </row>
    <row r="422" spans="1:19">
      <c r="A422" s="23" t="s">
        <v>895</v>
      </c>
      <c r="B422" s="4" t="s">
        <v>1192</v>
      </c>
      <c r="D422" s="83">
        <v>0.5</v>
      </c>
      <c r="E422" s="4">
        <v>18</v>
      </c>
      <c r="F422" s="4">
        <v>9</v>
      </c>
      <c r="G422" s="4">
        <v>21</v>
      </c>
      <c r="H422" s="4">
        <v>5.1957000000000004</v>
      </c>
      <c r="I422" s="4">
        <v>1E-3</v>
      </c>
      <c r="J422" s="4">
        <v>-34.7288</v>
      </c>
      <c r="K422" s="4">
        <v>2E-3</v>
      </c>
      <c r="L422" s="4">
        <v>0.113</v>
      </c>
      <c r="M422" s="4">
        <v>5.0000000000000001E-3</v>
      </c>
      <c r="N422" s="4">
        <v>-1.4800000000000001E-2</v>
      </c>
      <c r="O422" s="4">
        <v>0</v>
      </c>
      <c r="P422" s="4">
        <v>95.12</v>
      </c>
      <c r="Q422" s="4">
        <v>0.12</v>
      </c>
      <c r="R422" s="4">
        <f t="shared" si="28"/>
        <v>0.18487852283770653</v>
      </c>
      <c r="S422" s="22">
        <f t="shared" si="29"/>
        <v>2.3323615160349855E-4</v>
      </c>
    </row>
    <row r="423" spans="1:19">
      <c r="A423" s="44" t="s">
        <v>896</v>
      </c>
      <c r="B423" s="45" t="s">
        <v>1193</v>
      </c>
      <c r="C423" s="45"/>
      <c r="D423" s="104">
        <v>0.25</v>
      </c>
      <c r="E423" s="4">
        <v>18</v>
      </c>
      <c r="F423" s="4">
        <v>9</v>
      </c>
      <c r="G423" s="4">
        <v>21</v>
      </c>
      <c r="H423" s="48">
        <v>6.1586999999999996</v>
      </c>
      <c r="I423" s="4">
        <v>5.0000000000000001E-4</v>
      </c>
      <c r="J423" s="45">
        <v>-37.779499999999999</v>
      </c>
      <c r="K423" s="4">
        <v>8.9999999999999998E-4</v>
      </c>
      <c r="L423" s="4">
        <v>2.5999999999999999E-2</v>
      </c>
      <c r="M423" s="4">
        <v>4.0000000000000001E-3</v>
      </c>
      <c r="N423" s="4">
        <v>-5.4000000000000003E-3</v>
      </c>
      <c r="O423" s="4">
        <v>2.0000000000000001E-4</v>
      </c>
      <c r="P423" s="4">
        <v>124.32</v>
      </c>
      <c r="Q423" s="4">
        <v>0.19</v>
      </c>
      <c r="R423" s="45">
        <f>P423*E423/G423^3</f>
        <v>0.24163265306122447</v>
      </c>
      <c r="S423" s="22">
        <f>Q423*E423/G423^3</f>
        <v>3.6929057337220603E-4</v>
      </c>
    </row>
    <row r="424" spans="1:19">
      <c r="A424" s="23" t="s">
        <v>896</v>
      </c>
      <c r="B424" s="4" t="s">
        <v>1193</v>
      </c>
      <c r="D424" s="83">
        <v>0.5</v>
      </c>
      <c r="E424" s="4">
        <v>18</v>
      </c>
      <c r="F424" s="4">
        <v>9</v>
      </c>
      <c r="G424" s="4">
        <v>21</v>
      </c>
      <c r="H424" s="4">
        <v>5.2988999999999997</v>
      </c>
      <c r="I424" s="4">
        <v>1E-3</v>
      </c>
      <c r="J424" s="4">
        <v>-32.553199999999997</v>
      </c>
      <c r="K424" s="4">
        <v>1.1000000000000001E-3</v>
      </c>
      <c r="L424" s="4">
        <v>4.2000000000000003E-2</v>
      </c>
      <c r="M424" s="4">
        <v>1.2999999999999999E-2</v>
      </c>
      <c r="N424" s="4">
        <v>-6.4000000000000003E-3</v>
      </c>
      <c r="O424" s="4">
        <v>2.0000000000000001E-4</v>
      </c>
      <c r="P424" s="4">
        <v>122.16</v>
      </c>
      <c r="Q424" s="4">
        <v>0.33</v>
      </c>
      <c r="R424" s="4">
        <f t="shared" si="28"/>
        <v>0.23743440233236152</v>
      </c>
      <c r="S424" s="22">
        <f t="shared" si="29"/>
        <v>6.4139941690962105E-4</v>
      </c>
    </row>
    <row r="425" spans="1:19">
      <c r="A425" s="44" t="s">
        <v>897</v>
      </c>
      <c r="B425" s="45" t="s">
        <v>1194</v>
      </c>
      <c r="C425" s="45"/>
      <c r="D425" s="104">
        <v>0.25</v>
      </c>
      <c r="E425" s="4">
        <v>18</v>
      </c>
      <c r="F425" s="4">
        <v>9</v>
      </c>
      <c r="G425" s="4">
        <v>21</v>
      </c>
      <c r="H425" s="48">
        <v>6.1595000000000004</v>
      </c>
      <c r="I425" s="4">
        <v>4.0000000000000002E-4</v>
      </c>
      <c r="J425" s="45">
        <v>-37.7684</v>
      </c>
      <c r="K425" s="4">
        <v>1.6000000000000001E-3</v>
      </c>
      <c r="L425" s="4">
        <v>2.7E-2</v>
      </c>
      <c r="M425" s="4">
        <v>1.2E-2</v>
      </c>
      <c r="N425" s="4">
        <v>-5.4000000000000003E-3</v>
      </c>
      <c r="O425" s="4">
        <v>2.9999999999999997E-4</v>
      </c>
      <c r="P425" s="4">
        <v>124.29</v>
      </c>
      <c r="Q425" s="4">
        <v>0.21</v>
      </c>
      <c r="R425" s="45">
        <f>P425*E425/G425^3</f>
        <v>0.24157434402332364</v>
      </c>
      <c r="S425" s="22">
        <f>Q425*E425/G425^3</f>
        <v>4.0816326530612241E-4</v>
      </c>
    </row>
    <row r="426" spans="1:19">
      <c r="A426" s="23" t="s">
        <v>897</v>
      </c>
      <c r="B426" s="4" t="s">
        <v>1194</v>
      </c>
      <c r="D426" s="83">
        <v>0.5</v>
      </c>
      <c r="E426" s="4">
        <v>18</v>
      </c>
      <c r="F426" s="4">
        <v>9</v>
      </c>
      <c r="G426" s="4">
        <v>21</v>
      </c>
      <c r="H426" s="4">
        <v>5.3003999999999998</v>
      </c>
      <c r="I426" s="4">
        <v>6.9999999999999999E-4</v>
      </c>
      <c r="J426" s="4">
        <v>-32.540300000000002</v>
      </c>
      <c r="K426" s="4">
        <v>1.6999999999999999E-3</v>
      </c>
      <c r="L426" s="4">
        <v>3.4000000000000002E-2</v>
      </c>
      <c r="M426" s="4">
        <v>5.0000000000000001E-3</v>
      </c>
      <c r="N426" s="4">
        <v>-6.7999999999999996E-3</v>
      </c>
      <c r="O426" s="4">
        <v>1E-4</v>
      </c>
      <c r="P426" s="4">
        <v>121.71</v>
      </c>
      <c r="Q426" s="4">
        <v>0.18</v>
      </c>
      <c r="R426" s="4">
        <f t="shared" si="28"/>
        <v>0.23655976676384838</v>
      </c>
      <c r="S426" s="22">
        <f t="shared" si="29"/>
        <v>3.4985422740524776E-4</v>
      </c>
    </row>
    <row r="427" spans="1:19">
      <c r="A427" s="44" t="s">
        <v>898</v>
      </c>
      <c r="B427" s="45" t="s">
        <v>1195</v>
      </c>
      <c r="C427" s="45"/>
      <c r="D427" s="104">
        <v>0.25</v>
      </c>
      <c r="E427" s="4">
        <v>18</v>
      </c>
      <c r="F427" s="4">
        <v>9</v>
      </c>
      <c r="G427" s="4">
        <v>21</v>
      </c>
      <c r="H427" s="45">
        <v>6.1121999999999996</v>
      </c>
      <c r="I427" s="4">
        <v>8.0000000000000004E-4</v>
      </c>
      <c r="J427" s="45">
        <v>-38.067399999999999</v>
      </c>
      <c r="K427" s="4">
        <v>2.0999999999999999E-3</v>
      </c>
      <c r="L427" s="4">
        <v>4.2999999999999997E-2</v>
      </c>
      <c r="M427" s="4">
        <v>1.0999999999999999E-2</v>
      </c>
      <c r="N427" s="4">
        <v>-5.7000000000000002E-3</v>
      </c>
      <c r="O427" s="4">
        <v>2.0000000000000001E-4</v>
      </c>
      <c r="P427" s="4">
        <v>123.93</v>
      </c>
      <c r="Q427" s="4">
        <v>0.25</v>
      </c>
      <c r="R427" s="45">
        <f>P427*E427/G427^3</f>
        <v>0.24087463556851316</v>
      </c>
      <c r="S427" s="22">
        <f>Q427*E427/G427^3</f>
        <v>4.8590864917395527E-4</v>
      </c>
    </row>
    <row r="428" spans="1:19">
      <c r="A428" s="23" t="s">
        <v>898</v>
      </c>
      <c r="B428" s="4" t="s">
        <v>1195</v>
      </c>
      <c r="D428" s="83">
        <v>0.5</v>
      </c>
      <c r="E428" s="4">
        <v>18</v>
      </c>
      <c r="F428" s="4">
        <v>9</v>
      </c>
      <c r="G428" s="4">
        <v>21</v>
      </c>
      <c r="H428" s="4">
        <v>5.1933999999999996</v>
      </c>
      <c r="I428" s="4">
        <v>5.9999999999999995E-4</v>
      </c>
      <c r="J428" s="4">
        <v>-33.464199999999998</v>
      </c>
      <c r="K428" s="4">
        <v>1.8E-3</v>
      </c>
      <c r="L428" s="4">
        <v>0.115</v>
      </c>
      <c r="M428" s="4">
        <v>1.0999999999999999E-2</v>
      </c>
      <c r="N428" s="4">
        <v>-8.3000000000000001E-3</v>
      </c>
      <c r="O428" s="4">
        <v>2.0000000000000001E-4</v>
      </c>
      <c r="P428" s="4">
        <v>117.23</v>
      </c>
      <c r="Q428" s="4">
        <v>0.25</v>
      </c>
      <c r="R428" s="4">
        <f t="shared" si="28"/>
        <v>0.22785228377065112</v>
      </c>
      <c r="S428" s="22">
        <f t="shared" si="29"/>
        <v>4.8590864917395527E-4</v>
      </c>
    </row>
    <row r="429" spans="1:19">
      <c r="A429" s="44" t="s">
        <v>899</v>
      </c>
      <c r="B429" s="45" t="s">
        <v>1196</v>
      </c>
      <c r="C429" s="45"/>
      <c r="D429" s="104">
        <v>0.25</v>
      </c>
      <c r="E429" s="4">
        <v>18</v>
      </c>
      <c r="F429" s="4">
        <v>9</v>
      </c>
      <c r="G429" s="4">
        <v>21</v>
      </c>
      <c r="H429" s="45">
        <v>6.1656000000000004</v>
      </c>
      <c r="I429" s="4">
        <v>8.0000000000000004E-4</v>
      </c>
      <c r="J429" s="45">
        <v>-37.742600000000003</v>
      </c>
      <c r="K429" s="4">
        <v>1.2999999999999999E-3</v>
      </c>
      <c r="L429" s="4">
        <v>3.3000000000000002E-2</v>
      </c>
      <c r="M429" s="4">
        <v>6.0000000000000001E-3</v>
      </c>
      <c r="N429" s="4">
        <v>-5.4999999999999997E-3</v>
      </c>
      <c r="O429" s="4">
        <v>2.0000000000000001E-4</v>
      </c>
      <c r="P429" s="4">
        <v>123.58</v>
      </c>
      <c r="Q429" s="4">
        <v>0.27</v>
      </c>
      <c r="R429" s="45">
        <f>P429*E429/G429^3</f>
        <v>0.24019436345966957</v>
      </c>
      <c r="S429" s="22">
        <f>Q429*E429/G429^3</f>
        <v>5.2478134110787176E-4</v>
      </c>
    </row>
    <row r="430" spans="1:19">
      <c r="A430" s="23" t="s">
        <v>899</v>
      </c>
      <c r="B430" s="4" t="s">
        <v>1196</v>
      </c>
      <c r="D430" s="83">
        <v>0.5</v>
      </c>
      <c r="E430" s="4">
        <v>18</v>
      </c>
      <c r="F430" s="4">
        <v>9</v>
      </c>
      <c r="G430" s="4">
        <v>21</v>
      </c>
      <c r="H430" s="4">
        <v>5.3174999999999999</v>
      </c>
      <c r="I430" s="4">
        <v>8.0000000000000004E-4</v>
      </c>
      <c r="J430" s="4">
        <v>-32.741</v>
      </c>
      <c r="K430" s="4">
        <v>1.8E-3</v>
      </c>
      <c r="L430" s="4">
        <v>5.0999999999999997E-2</v>
      </c>
      <c r="M430" s="4">
        <v>0.01</v>
      </c>
      <c r="N430" s="4">
        <v>-7.6E-3</v>
      </c>
      <c r="O430" s="4">
        <v>2.0000000000000001E-4</v>
      </c>
      <c r="P430" s="4">
        <v>117.63</v>
      </c>
      <c r="Q430" s="4">
        <v>0.32</v>
      </c>
      <c r="R430" s="4">
        <f t="shared" si="28"/>
        <v>0.22862973760932948</v>
      </c>
      <c r="S430" s="22">
        <f t="shared" si="29"/>
        <v>6.2196307094266278E-4</v>
      </c>
    </row>
    <row r="431" spans="1:19">
      <c r="A431" s="44" t="s">
        <v>900</v>
      </c>
      <c r="B431" s="45" t="s">
        <v>1197</v>
      </c>
      <c r="C431" s="45"/>
      <c r="D431" s="104">
        <v>0.25</v>
      </c>
      <c r="E431" s="4">
        <v>18</v>
      </c>
      <c r="F431" s="4">
        <v>9</v>
      </c>
      <c r="G431" s="4">
        <v>21</v>
      </c>
      <c r="H431" s="45">
        <v>6.1604999999999999</v>
      </c>
      <c r="I431" s="4">
        <v>1E-3</v>
      </c>
      <c r="J431" s="45">
        <v>-37.799399999999999</v>
      </c>
      <c r="K431" s="4">
        <v>1.4E-3</v>
      </c>
      <c r="L431" s="4">
        <v>2.1000000000000001E-2</v>
      </c>
      <c r="M431" s="4">
        <v>5.0000000000000001E-3</v>
      </c>
      <c r="N431" s="4">
        <v>-5.4999999999999997E-3</v>
      </c>
      <c r="O431" s="4">
        <v>2.0000000000000001E-4</v>
      </c>
      <c r="P431" s="4">
        <v>124.17</v>
      </c>
      <c r="Q431" s="4">
        <v>0.23</v>
      </c>
      <c r="R431" s="45">
        <f>P431*E431/G431^3</f>
        <v>0.24134110787172011</v>
      </c>
      <c r="S431" s="22">
        <f>Q431*E431/G431^3</f>
        <v>4.4703595724003895E-4</v>
      </c>
    </row>
    <row r="432" spans="1:19">
      <c r="A432" s="23" t="s">
        <v>900</v>
      </c>
      <c r="B432" s="4" t="s">
        <v>1197</v>
      </c>
      <c r="D432" s="83">
        <v>0.5</v>
      </c>
      <c r="E432" s="4">
        <v>18</v>
      </c>
      <c r="F432" s="4">
        <v>9</v>
      </c>
      <c r="G432" s="4">
        <v>21</v>
      </c>
      <c r="H432" s="4">
        <v>5.3021000000000003</v>
      </c>
      <c r="I432" s="4">
        <v>5.0000000000000001E-4</v>
      </c>
      <c r="J432" s="4">
        <v>-32.6143</v>
      </c>
      <c r="K432" s="4">
        <v>1.5E-3</v>
      </c>
      <c r="L432" s="4">
        <v>3.9E-2</v>
      </c>
      <c r="M432" s="4">
        <v>6.0000000000000001E-3</v>
      </c>
      <c r="N432" s="4">
        <v>-7.1000000000000004E-3</v>
      </c>
      <c r="O432" s="4">
        <v>1E-4</v>
      </c>
      <c r="P432" s="4">
        <v>121.31</v>
      </c>
      <c r="Q432" s="4">
        <v>0.05</v>
      </c>
      <c r="R432" s="4">
        <f t="shared" si="28"/>
        <v>0.23578231292517007</v>
      </c>
      <c r="S432" s="22">
        <f t="shared" si="29"/>
        <v>9.7181729834791062E-5</v>
      </c>
    </row>
    <row r="433" spans="1:19">
      <c r="A433" s="44" t="s">
        <v>901</v>
      </c>
      <c r="B433" s="45" t="s">
        <v>1198</v>
      </c>
      <c r="C433" s="45"/>
      <c r="D433" s="104">
        <v>0.25</v>
      </c>
      <c r="E433" s="4">
        <v>18</v>
      </c>
      <c r="F433" s="4">
        <v>9</v>
      </c>
      <c r="G433" s="4">
        <v>21</v>
      </c>
      <c r="H433" s="45">
        <v>6.1436999999999999</v>
      </c>
      <c r="I433" s="4">
        <v>8.0000000000000004E-4</v>
      </c>
      <c r="J433" s="45">
        <v>-37.749099999999999</v>
      </c>
      <c r="K433" s="4">
        <v>1.5E-3</v>
      </c>
      <c r="L433" s="4">
        <v>2.7E-2</v>
      </c>
      <c r="M433" s="4">
        <v>3.0000000000000001E-3</v>
      </c>
      <c r="N433" s="4">
        <v>-5.4999999999999997E-3</v>
      </c>
      <c r="O433" s="4">
        <v>1E-4</v>
      </c>
      <c r="P433" s="4">
        <v>124.29</v>
      </c>
      <c r="Q433" s="4">
        <v>0.1</v>
      </c>
      <c r="R433" s="45">
        <f>P433*E433/G433^3</f>
        <v>0.24157434402332364</v>
      </c>
      <c r="S433" s="22">
        <f>Q433*E433/G433^3</f>
        <v>1.9436345966958212E-4</v>
      </c>
    </row>
    <row r="434" spans="1:19">
      <c r="A434" s="23" t="s">
        <v>901</v>
      </c>
      <c r="B434" s="4" t="s">
        <v>1198</v>
      </c>
      <c r="D434" s="83">
        <v>0.5</v>
      </c>
      <c r="E434" s="4">
        <v>18</v>
      </c>
      <c r="F434" s="4">
        <v>9</v>
      </c>
      <c r="G434" s="4">
        <v>21</v>
      </c>
      <c r="H434" s="4">
        <v>5.2689000000000004</v>
      </c>
      <c r="I434" s="4">
        <v>8.9999999999999998E-4</v>
      </c>
      <c r="J434" s="4">
        <v>-32.534799999999997</v>
      </c>
      <c r="K434" s="4">
        <v>4.4000000000000003E-3</v>
      </c>
      <c r="L434" s="4">
        <v>4.2999999999999997E-2</v>
      </c>
      <c r="M434" s="4">
        <v>0.151</v>
      </c>
      <c r="N434" s="4">
        <v>-6.8999999999999999E-3</v>
      </c>
      <c r="O434" s="4">
        <v>3.3999999999999998E-3</v>
      </c>
      <c r="P434" s="4">
        <v>121.58</v>
      </c>
      <c r="Q434" s="4">
        <v>1.31</v>
      </c>
      <c r="R434" s="4">
        <f t="shared" si="28"/>
        <v>0.23630709426627794</v>
      </c>
      <c r="S434" s="22">
        <f t="shared" si="29"/>
        <v>2.5461613216715261E-3</v>
      </c>
    </row>
    <row r="435" spans="1:19">
      <c r="A435" s="44" t="s">
        <v>902</v>
      </c>
      <c r="B435" s="45" t="s">
        <v>1199</v>
      </c>
      <c r="C435" s="45"/>
      <c r="D435" s="104">
        <v>0.25</v>
      </c>
      <c r="E435" s="4">
        <v>18</v>
      </c>
      <c r="F435" s="4">
        <v>9</v>
      </c>
      <c r="G435" s="4">
        <v>21</v>
      </c>
      <c r="H435" s="45">
        <v>6.0811000000000002</v>
      </c>
      <c r="I435" s="4">
        <v>8.9999999999999998E-4</v>
      </c>
      <c r="J435" s="45">
        <v>-38.099400000000003</v>
      </c>
      <c r="K435" s="4">
        <v>5.0000000000000001E-4</v>
      </c>
      <c r="L435" s="4">
        <v>5.1999999999999998E-2</v>
      </c>
      <c r="M435" s="4">
        <v>1.0999999999999999E-2</v>
      </c>
      <c r="N435" s="4">
        <v>-5.7999999999999996E-3</v>
      </c>
      <c r="O435" s="4">
        <v>2.0000000000000001E-4</v>
      </c>
      <c r="P435" s="4">
        <v>123.95</v>
      </c>
      <c r="Q435" s="4">
        <v>0.19</v>
      </c>
      <c r="R435" s="45">
        <f>P435*E435/G435^3</f>
        <v>0.24091350826044702</v>
      </c>
      <c r="S435" s="22">
        <f>Q435*E435/G435^3</f>
        <v>3.6929057337220603E-4</v>
      </c>
    </row>
    <row r="436" spans="1:19">
      <c r="A436" s="23" t="s">
        <v>902</v>
      </c>
      <c r="B436" s="4" t="s">
        <v>1199</v>
      </c>
      <c r="D436" s="83">
        <v>0.5</v>
      </c>
      <c r="E436" s="4">
        <v>18</v>
      </c>
      <c r="F436" s="4">
        <v>9</v>
      </c>
      <c r="G436" s="4">
        <v>21</v>
      </c>
      <c r="H436" s="4">
        <v>5.1220999999999997</v>
      </c>
      <c r="I436" s="4">
        <v>5.9999999999999995E-4</v>
      </c>
      <c r="J436" s="4">
        <v>-33.547199999999997</v>
      </c>
      <c r="K436" s="4">
        <v>1.5E-3</v>
      </c>
      <c r="L436" s="4">
        <v>0.14099999999999999</v>
      </c>
      <c r="M436" s="4">
        <v>1.2E-2</v>
      </c>
      <c r="N436" s="4">
        <v>-9.1000000000000004E-3</v>
      </c>
      <c r="O436" s="4">
        <v>2.9999999999999997E-4</v>
      </c>
      <c r="P436" s="4">
        <v>116.17</v>
      </c>
      <c r="Q436" s="4">
        <v>0.32</v>
      </c>
      <c r="R436" s="4">
        <f t="shared" si="28"/>
        <v>0.22579203109815354</v>
      </c>
      <c r="S436" s="22">
        <f t="shared" si="29"/>
        <v>6.2196307094266278E-4</v>
      </c>
    </row>
    <row r="437" spans="1:19">
      <c r="A437" s="44" t="s">
        <v>903</v>
      </c>
      <c r="B437" s="45" t="s">
        <v>1200</v>
      </c>
      <c r="C437" s="45"/>
      <c r="D437" s="104">
        <v>0.25</v>
      </c>
      <c r="E437" s="4">
        <v>18</v>
      </c>
      <c r="F437" s="4">
        <v>9</v>
      </c>
      <c r="G437" s="4">
        <v>21</v>
      </c>
      <c r="H437" s="45">
        <v>6.1462000000000003</v>
      </c>
      <c r="I437" s="4">
        <v>2.9999999999999997E-4</v>
      </c>
      <c r="J437" s="45">
        <v>-37.827300000000001</v>
      </c>
      <c r="K437" s="4">
        <v>2.0999999999999999E-3</v>
      </c>
      <c r="L437" s="4">
        <v>3.6999999999999998E-2</v>
      </c>
      <c r="M437" s="4">
        <v>5.0000000000000001E-3</v>
      </c>
      <c r="N437" s="4">
        <v>-5.5999999999999999E-3</v>
      </c>
      <c r="O437" s="4">
        <v>1E-4</v>
      </c>
      <c r="P437" s="4">
        <v>123.94</v>
      </c>
      <c r="Q437" s="4">
        <v>0.18</v>
      </c>
      <c r="R437" s="45">
        <f>P437*E437/G437^3</f>
        <v>0.24089407191448009</v>
      </c>
      <c r="S437" s="22">
        <f>Q437*E437/G437^3</f>
        <v>3.4985422740524776E-4</v>
      </c>
    </row>
    <row r="438" spans="1:19">
      <c r="A438" s="23" t="s">
        <v>903</v>
      </c>
      <c r="B438" s="4" t="s">
        <v>1200</v>
      </c>
      <c r="D438" s="83">
        <v>0.5</v>
      </c>
      <c r="E438" s="4">
        <v>18</v>
      </c>
      <c r="F438" s="4">
        <v>9</v>
      </c>
      <c r="G438" s="4">
        <v>21</v>
      </c>
      <c r="H438" s="4">
        <v>5.2691999999999997</v>
      </c>
      <c r="I438" s="4">
        <v>1E-3</v>
      </c>
      <c r="J438" s="4">
        <v>-32.763500000000001</v>
      </c>
      <c r="K438" s="4">
        <v>2E-3</v>
      </c>
      <c r="L438" s="4">
        <v>5.2999999999999999E-2</v>
      </c>
      <c r="M438" s="4">
        <v>6.0000000000000001E-3</v>
      </c>
      <c r="N438" s="4">
        <v>-7.4000000000000003E-3</v>
      </c>
      <c r="O438" s="4">
        <v>2.0000000000000001E-4</v>
      </c>
      <c r="P438" s="4">
        <v>119.63</v>
      </c>
      <c r="Q438" s="4">
        <v>0.22</v>
      </c>
      <c r="R438" s="4">
        <f t="shared" si="28"/>
        <v>0.23251700680272111</v>
      </c>
      <c r="S438" s="22">
        <f t="shared" si="29"/>
        <v>4.2759961127308068E-4</v>
      </c>
    </row>
    <row r="439" spans="1:19">
      <c r="A439" s="44" t="s">
        <v>904</v>
      </c>
      <c r="B439" s="45" t="s">
        <v>1201</v>
      </c>
      <c r="C439" s="45"/>
      <c r="D439" s="104">
        <v>0.25</v>
      </c>
      <c r="E439" s="4">
        <v>18</v>
      </c>
      <c r="F439" s="4">
        <v>9</v>
      </c>
      <c r="G439" s="4">
        <v>21</v>
      </c>
      <c r="H439" s="45">
        <v>6.1249000000000002</v>
      </c>
      <c r="I439" s="4">
        <v>5.9999999999999995E-4</v>
      </c>
      <c r="J439" s="45">
        <v>-37.750599999999999</v>
      </c>
      <c r="K439" s="4">
        <v>2E-3</v>
      </c>
      <c r="L439" s="4">
        <v>3.5999999999999997E-2</v>
      </c>
      <c r="M439" s="4">
        <v>4.0000000000000001E-3</v>
      </c>
      <c r="N439" s="4">
        <v>-5.4999999999999997E-3</v>
      </c>
      <c r="O439" s="4">
        <v>1E-4</v>
      </c>
      <c r="P439" s="4">
        <v>124.43</v>
      </c>
      <c r="Q439" s="4">
        <v>0.13</v>
      </c>
      <c r="R439" s="45">
        <f>P439*E439/G439^3</f>
        <v>0.24184645286686104</v>
      </c>
      <c r="S439" s="22">
        <f>Q439*E439/G439^3</f>
        <v>2.5267249757045674E-4</v>
      </c>
    </row>
    <row r="440" spans="1:19">
      <c r="A440" s="23" t="s">
        <v>904</v>
      </c>
      <c r="B440" s="4" t="s">
        <v>1201</v>
      </c>
      <c r="D440" s="83">
        <v>0.5</v>
      </c>
      <c r="E440" s="4">
        <v>18</v>
      </c>
      <c r="F440" s="4">
        <v>9</v>
      </c>
      <c r="G440" s="4">
        <v>21</v>
      </c>
      <c r="H440" s="4">
        <v>5.2313999999999998</v>
      </c>
      <c r="I440" s="4">
        <v>8.0000000000000004E-4</v>
      </c>
      <c r="J440" s="4">
        <v>-32.509500000000003</v>
      </c>
      <c r="K440" s="4">
        <v>1.6000000000000001E-3</v>
      </c>
      <c r="L440" s="4">
        <v>6.8000000000000005E-2</v>
      </c>
      <c r="M440" s="4">
        <v>1.9E-2</v>
      </c>
      <c r="N440" s="4">
        <v>-6.8999999999999999E-3</v>
      </c>
      <c r="O440" s="4">
        <v>2.0000000000000001E-4</v>
      </c>
      <c r="P440" s="4">
        <v>122.45</v>
      </c>
      <c r="Q440" s="4">
        <v>0.2</v>
      </c>
      <c r="R440" s="4">
        <f t="shared" si="28"/>
        <v>0.2379980563654033</v>
      </c>
      <c r="S440" s="22">
        <f t="shared" si="29"/>
        <v>3.8872691933916425E-4</v>
      </c>
    </row>
    <row r="441" spans="1:19">
      <c r="A441" s="44" t="s">
        <v>905</v>
      </c>
      <c r="B441" s="45" t="s">
        <v>1202</v>
      </c>
      <c r="C441" s="45"/>
      <c r="D441" s="104">
        <v>0.25</v>
      </c>
      <c r="E441" s="4">
        <v>18</v>
      </c>
      <c r="F441" s="4">
        <v>9</v>
      </c>
      <c r="G441" s="4">
        <v>21</v>
      </c>
      <c r="H441" s="45">
        <v>6.1563999999999997</v>
      </c>
      <c r="I441" s="4">
        <v>1E-3</v>
      </c>
      <c r="J441" s="45">
        <v>-37.824100000000001</v>
      </c>
      <c r="K441" s="4">
        <v>1.6000000000000001E-3</v>
      </c>
      <c r="L441" s="4">
        <v>3.5000000000000003E-2</v>
      </c>
      <c r="M441" s="4">
        <v>6.0000000000000001E-3</v>
      </c>
      <c r="N441" s="4">
        <v>-5.3E-3</v>
      </c>
      <c r="O441" s="4">
        <v>2.0000000000000001E-4</v>
      </c>
      <c r="P441" s="4">
        <v>124.28</v>
      </c>
      <c r="Q441" s="4">
        <v>0.28999999999999998</v>
      </c>
      <c r="R441" s="45">
        <f>P441*E441/G441^3</f>
        <v>0.24155490767735666</v>
      </c>
      <c r="S441" s="22">
        <f>Q441*E441/G441^3</f>
        <v>5.6365403304178808E-4</v>
      </c>
    </row>
    <row r="442" spans="1:19">
      <c r="A442" s="23" t="s">
        <v>905</v>
      </c>
      <c r="B442" s="4" t="s">
        <v>1202</v>
      </c>
      <c r="D442" s="83">
        <v>0.5</v>
      </c>
      <c r="E442" s="4">
        <v>18</v>
      </c>
      <c r="F442" s="4">
        <v>9</v>
      </c>
      <c r="G442" s="4">
        <v>21</v>
      </c>
      <c r="H442" s="4">
        <v>5.2939999999999996</v>
      </c>
      <c r="I442" s="4">
        <v>8.9999999999999998E-4</v>
      </c>
      <c r="J442" s="4">
        <v>-32.737900000000003</v>
      </c>
      <c r="K442" s="4">
        <v>6.9999999999999999E-4</v>
      </c>
      <c r="L442" s="4">
        <v>5.8999999999999997E-2</v>
      </c>
      <c r="M442" s="4">
        <v>2.1999999999999999E-2</v>
      </c>
      <c r="N442" s="4">
        <v>-7.1000000000000004E-3</v>
      </c>
      <c r="O442" s="4">
        <v>2.0000000000000001E-4</v>
      </c>
      <c r="P442" s="4">
        <v>120.63</v>
      </c>
      <c r="Q442" s="4">
        <v>0.2</v>
      </c>
      <c r="R442" s="4">
        <f t="shared" si="28"/>
        <v>0.23446064139941691</v>
      </c>
      <c r="S442" s="22">
        <f t="shared" si="29"/>
        <v>3.8872691933916425E-4</v>
      </c>
    </row>
    <row r="443" spans="1:19">
      <c r="A443" s="44" t="s">
        <v>906</v>
      </c>
      <c r="B443" s="45" t="s">
        <v>1203</v>
      </c>
      <c r="C443" s="45"/>
      <c r="D443" s="104">
        <v>0.25</v>
      </c>
      <c r="E443" s="4">
        <v>18</v>
      </c>
      <c r="F443" s="4">
        <v>9</v>
      </c>
      <c r="G443" s="4">
        <v>21</v>
      </c>
      <c r="H443" s="45">
        <v>6.0858999999999996</v>
      </c>
      <c r="I443" s="4">
        <v>5.0000000000000001E-4</v>
      </c>
      <c r="J443" s="45">
        <v>-38.054600000000001</v>
      </c>
      <c r="K443" s="4">
        <v>1.1000000000000001E-3</v>
      </c>
      <c r="L443" s="4">
        <v>0.05</v>
      </c>
      <c r="M443" s="4">
        <v>5.0000000000000001E-3</v>
      </c>
      <c r="N443" s="4">
        <v>-5.5999999999999999E-3</v>
      </c>
      <c r="O443" s="4">
        <v>1E-4</v>
      </c>
      <c r="P443" s="4">
        <v>124.26</v>
      </c>
      <c r="Q443" s="4">
        <v>0.17</v>
      </c>
      <c r="R443" s="45">
        <f>P443*E443/G443^3</f>
        <v>0.24151603498542276</v>
      </c>
      <c r="S443" s="22">
        <f>Q443*E443/G443^3</f>
        <v>3.304178814382896E-4</v>
      </c>
    </row>
    <row r="444" spans="1:19">
      <c r="A444" s="23" t="s">
        <v>906</v>
      </c>
      <c r="B444" s="4" t="s">
        <v>1203</v>
      </c>
      <c r="D444" s="83">
        <v>0.5</v>
      </c>
      <c r="E444" s="4">
        <v>18</v>
      </c>
      <c r="F444" s="4">
        <v>9</v>
      </c>
      <c r="G444" s="4">
        <v>21</v>
      </c>
      <c r="H444" s="4">
        <v>5.1395999999999997</v>
      </c>
      <c r="I444" s="4">
        <v>5.9999999999999995E-4</v>
      </c>
      <c r="J444" s="4">
        <v>-33.305</v>
      </c>
      <c r="K444" s="4">
        <v>1.6000000000000001E-3</v>
      </c>
      <c r="L444" s="4">
        <v>0.14599999999999999</v>
      </c>
      <c r="M444" s="4">
        <v>1.2999999999999999E-2</v>
      </c>
      <c r="N444" s="4">
        <v>-8.3000000000000001E-3</v>
      </c>
      <c r="O444" s="4">
        <v>1E-4</v>
      </c>
      <c r="P444" s="4">
        <v>118.86</v>
      </c>
      <c r="Q444" s="4">
        <v>0.09</v>
      </c>
      <c r="R444" s="4">
        <f t="shared" si="28"/>
        <v>0.2310204081632653</v>
      </c>
      <c r="S444" s="22">
        <f t="shared" si="29"/>
        <v>1.7492711370262388E-4</v>
      </c>
    </row>
    <row r="445" spans="1:19" ht="17" thickBot="1">
      <c r="A445" s="134" t="s">
        <v>907</v>
      </c>
      <c r="B445" s="122" t="s">
        <v>1204</v>
      </c>
      <c r="C445" s="123" t="s">
        <v>17</v>
      </c>
      <c r="D445" s="124">
        <v>0.25</v>
      </c>
      <c r="E445" s="10">
        <v>18</v>
      </c>
      <c r="F445" s="10">
        <v>9</v>
      </c>
      <c r="G445" s="10">
        <v>21</v>
      </c>
      <c r="H445" s="123">
        <v>6.1394000000000002</v>
      </c>
      <c r="I445" s="10">
        <v>8.0000000000000004E-4</v>
      </c>
      <c r="J445" s="123">
        <v>-38.720700000000001</v>
      </c>
      <c r="K445" s="10">
        <v>1.8E-3</v>
      </c>
      <c r="L445" s="10">
        <v>5.6000000000000001E-2</v>
      </c>
      <c r="M445" s="10">
        <v>6.0000000000000001E-3</v>
      </c>
      <c r="N445" s="10">
        <v>-6.4999999999999997E-3</v>
      </c>
      <c r="O445" s="10">
        <v>2.0000000000000001E-4</v>
      </c>
      <c r="P445" s="10">
        <v>119.96</v>
      </c>
      <c r="Q445" s="10">
        <v>0.25</v>
      </c>
      <c r="R445" s="123">
        <f>P445*E445/G445^3</f>
        <v>0.23315840621963069</v>
      </c>
      <c r="S445" s="26">
        <f>Q445*E445/G445^3</f>
        <v>4.8590864917395527E-4</v>
      </c>
    </row>
    <row r="446" spans="1:19" ht="17" thickTop="1">
      <c r="A446" s="102" t="s">
        <v>908</v>
      </c>
      <c r="B446" s="77" t="s">
        <v>1205</v>
      </c>
      <c r="C446" s="77"/>
      <c r="D446" s="77">
        <v>0.25</v>
      </c>
      <c r="E446" s="7">
        <v>18</v>
      </c>
      <c r="F446" s="7">
        <v>10</v>
      </c>
      <c r="G446" s="7">
        <v>21</v>
      </c>
      <c r="H446" s="119">
        <v>6.3536999999999999</v>
      </c>
      <c r="I446" s="7">
        <v>6.9999999999999999E-4</v>
      </c>
      <c r="J446" s="119">
        <v>-39.255400000000002</v>
      </c>
      <c r="K446" s="7">
        <v>1.1999999999999999E-3</v>
      </c>
      <c r="L446" s="7">
        <v>0.03</v>
      </c>
      <c r="M446" s="7">
        <v>7.0000000000000001E-3</v>
      </c>
      <c r="N446" s="7">
        <v>-5.4999999999999997E-3</v>
      </c>
      <c r="O446" s="7">
        <v>1E-4</v>
      </c>
      <c r="P446" s="7">
        <v>123.57</v>
      </c>
      <c r="Q446" s="7">
        <v>0.13</v>
      </c>
      <c r="R446" s="119">
        <f>P446*E446/G446^3</f>
        <v>0.24017492711370259</v>
      </c>
      <c r="S446" s="18">
        <f>Q446*E446/G446^3</f>
        <v>2.5267249757045674E-4</v>
      </c>
    </row>
    <row r="447" spans="1:19">
      <c r="A447" s="23" t="s">
        <v>908</v>
      </c>
      <c r="B447" s="83" t="s">
        <v>1205</v>
      </c>
      <c r="C447" s="83"/>
      <c r="D447" s="83">
        <v>0.5</v>
      </c>
      <c r="E447" s="4">
        <v>18</v>
      </c>
      <c r="F447" s="4">
        <v>10</v>
      </c>
      <c r="G447" s="4">
        <v>21</v>
      </c>
      <c r="H447" s="4">
        <v>5.6710000000000003</v>
      </c>
      <c r="I447" s="4">
        <v>5.9999999999999995E-4</v>
      </c>
      <c r="J447" s="4">
        <v>-35.678699999999999</v>
      </c>
      <c r="K447" s="4">
        <v>1.5E-3</v>
      </c>
      <c r="L447" s="4">
        <v>7.0000000000000007E-2</v>
      </c>
      <c r="M447" s="4">
        <v>8.0000000000000002E-3</v>
      </c>
      <c r="N447" s="4">
        <v>-7.6E-3</v>
      </c>
      <c r="O447" s="4">
        <v>1E-4</v>
      </c>
      <c r="P447" s="4">
        <v>117.69</v>
      </c>
      <c r="Q447" s="4">
        <v>0.26</v>
      </c>
      <c r="R447" s="4">
        <f t="shared" ref="R447:R548" si="32">P447*E447/G447^3</f>
        <v>0.22874635568513121</v>
      </c>
      <c r="S447" s="22">
        <f t="shared" ref="S447:S548" si="33">Q447*E447/G447^3</f>
        <v>5.0534499514091349E-4</v>
      </c>
    </row>
    <row r="448" spans="1:19">
      <c r="A448" s="28" t="s">
        <v>908</v>
      </c>
      <c r="B448" s="85" t="s">
        <v>1205</v>
      </c>
      <c r="C448" s="85"/>
      <c r="D448" s="85">
        <v>0.75</v>
      </c>
      <c r="E448" s="4">
        <v>18</v>
      </c>
      <c r="F448" s="4">
        <v>10</v>
      </c>
      <c r="G448" s="4">
        <v>21</v>
      </c>
      <c r="H448" s="29">
        <v>4.9482999999999997</v>
      </c>
      <c r="I448" s="4">
        <v>5.0000000000000001E-4</v>
      </c>
      <c r="J448" s="29">
        <v>-32.856299999999997</v>
      </c>
      <c r="K448" s="4">
        <v>1.9E-3</v>
      </c>
      <c r="L448" s="4">
        <v>0.14899999999999999</v>
      </c>
      <c r="M448" s="4">
        <v>0.01</v>
      </c>
      <c r="N448" s="4">
        <v>-1.4500000000000001E-2</v>
      </c>
      <c r="O448" s="4">
        <v>1E-4</v>
      </c>
      <c r="P448" s="4">
        <v>97.22</v>
      </c>
      <c r="Q448" s="4">
        <v>0.17</v>
      </c>
      <c r="R448" s="29">
        <f t="shared" si="32"/>
        <v>0.18896015549076775</v>
      </c>
      <c r="S448" s="22">
        <f t="shared" si="33"/>
        <v>3.304178814382896E-4</v>
      </c>
    </row>
    <row r="449" spans="1:19">
      <c r="A449" s="44" t="s">
        <v>909</v>
      </c>
      <c r="B449" s="104" t="s">
        <v>1206</v>
      </c>
      <c r="C449" s="104"/>
      <c r="D449" s="104">
        <v>0.25</v>
      </c>
      <c r="E449" s="4">
        <v>18</v>
      </c>
      <c r="F449" s="4">
        <v>10</v>
      </c>
      <c r="G449" s="4">
        <v>21</v>
      </c>
      <c r="H449" s="45">
        <v>6.3636999999999997</v>
      </c>
      <c r="I449" s="4">
        <v>6.9999999999999999E-4</v>
      </c>
      <c r="J449" s="45">
        <v>-39.020299999999999</v>
      </c>
      <c r="K449" s="4">
        <v>2E-3</v>
      </c>
      <c r="L449" s="4">
        <v>2.7E-2</v>
      </c>
      <c r="M449" s="4">
        <v>2E-3</v>
      </c>
      <c r="N449" s="4">
        <v>-5.1999999999999998E-3</v>
      </c>
      <c r="O449" s="4">
        <v>1E-4</v>
      </c>
      <c r="P449" s="4">
        <v>124.2</v>
      </c>
      <c r="Q449" s="4">
        <v>0.11</v>
      </c>
      <c r="R449" s="45">
        <f>P449*E449/G449^3</f>
        <v>0.241399416909621</v>
      </c>
      <c r="S449" s="22">
        <f>Q449*E449/G449^3</f>
        <v>2.1379980563654034E-4</v>
      </c>
    </row>
    <row r="450" spans="1:19">
      <c r="A450" s="23" t="s">
        <v>909</v>
      </c>
      <c r="B450" s="83" t="s">
        <v>1206</v>
      </c>
      <c r="C450" s="83"/>
      <c r="D450" s="83">
        <v>0.5</v>
      </c>
      <c r="E450" s="4">
        <v>18</v>
      </c>
      <c r="F450" s="4">
        <v>10</v>
      </c>
      <c r="G450" s="4">
        <v>21</v>
      </c>
      <c r="H450" s="4">
        <v>5.7107000000000001</v>
      </c>
      <c r="I450" s="4">
        <v>8.0000000000000004E-4</v>
      </c>
      <c r="J450" s="4">
        <v>-35.098500000000001</v>
      </c>
      <c r="K450" s="4">
        <v>1.8E-3</v>
      </c>
      <c r="L450" s="4">
        <v>3.4000000000000002E-2</v>
      </c>
      <c r="M450" s="4">
        <v>1.2E-2</v>
      </c>
      <c r="N450" s="4">
        <v>-6.3E-3</v>
      </c>
      <c r="O450" s="4">
        <v>2.0000000000000001E-4</v>
      </c>
      <c r="P450" s="4">
        <v>120.96</v>
      </c>
      <c r="Q450" s="4">
        <v>0.27</v>
      </c>
      <c r="R450" s="4">
        <f t="shared" si="32"/>
        <v>0.23510204081632649</v>
      </c>
      <c r="S450" s="22">
        <f t="shared" si="33"/>
        <v>5.2478134110787176E-4</v>
      </c>
    </row>
    <row r="451" spans="1:19">
      <c r="A451" s="28" t="s">
        <v>909</v>
      </c>
      <c r="B451" s="85" t="s">
        <v>1206</v>
      </c>
      <c r="C451" s="85"/>
      <c r="D451" s="85">
        <v>0.75</v>
      </c>
      <c r="E451" s="4">
        <v>18</v>
      </c>
      <c r="F451" s="4">
        <v>10</v>
      </c>
      <c r="G451" s="4">
        <v>21</v>
      </c>
      <c r="H451" s="29">
        <v>5.0704000000000002</v>
      </c>
      <c r="I451" s="4">
        <v>5.0000000000000001E-4</v>
      </c>
      <c r="J451" s="29">
        <v>-31.599799999999998</v>
      </c>
      <c r="K451" s="4">
        <v>5.0000000000000001E-4</v>
      </c>
      <c r="L451" s="4">
        <v>4.3999999999999997E-2</v>
      </c>
      <c r="M451" s="4">
        <v>1.4999999999999999E-2</v>
      </c>
      <c r="N451" s="4">
        <v>-8.3000000000000001E-3</v>
      </c>
      <c r="O451" s="4">
        <v>1E-4</v>
      </c>
      <c r="P451" s="4">
        <v>113.62</v>
      </c>
      <c r="Q451" s="4">
        <v>0.19</v>
      </c>
      <c r="R451" s="29">
        <f t="shared" si="32"/>
        <v>0.22083576287657922</v>
      </c>
      <c r="S451" s="22">
        <f t="shared" si="33"/>
        <v>3.6929057337220603E-4</v>
      </c>
    </row>
    <row r="452" spans="1:19">
      <c r="A452" s="33" t="s">
        <v>909</v>
      </c>
      <c r="B452" s="98" t="s">
        <v>1206</v>
      </c>
      <c r="C452" s="98"/>
      <c r="D452" s="98">
        <v>1</v>
      </c>
      <c r="E452" s="4">
        <v>18</v>
      </c>
      <c r="F452" s="4">
        <v>10</v>
      </c>
      <c r="G452" s="4">
        <v>21</v>
      </c>
      <c r="H452" s="34">
        <v>4.4725000000000001</v>
      </c>
      <c r="I452" s="4">
        <v>1E-3</v>
      </c>
      <c r="J452" s="34">
        <v>-28.8428</v>
      </c>
      <c r="K452" s="4">
        <v>1.9E-3</v>
      </c>
      <c r="L452" s="4">
        <v>8.6999999999999994E-2</v>
      </c>
      <c r="M452" s="4">
        <v>1.0999999999999999E-2</v>
      </c>
      <c r="N452" s="4">
        <v>-1.26E-2</v>
      </c>
      <c r="O452" s="4">
        <v>2.0000000000000001E-4</v>
      </c>
      <c r="P452" s="4">
        <v>98.1</v>
      </c>
      <c r="Q452" s="4">
        <v>0.41</v>
      </c>
      <c r="R452" s="34">
        <f t="shared" si="32"/>
        <v>0.19067055393586005</v>
      </c>
      <c r="S452" s="22">
        <f t="shared" si="33"/>
        <v>7.9689018464528666E-4</v>
      </c>
    </row>
    <row r="453" spans="1:19">
      <c r="A453" s="44" t="s">
        <v>910</v>
      </c>
      <c r="B453" s="104" t="s">
        <v>1207</v>
      </c>
      <c r="C453" s="104"/>
      <c r="D453" s="104">
        <v>0.25</v>
      </c>
      <c r="E453" s="4">
        <v>18</v>
      </c>
      <c r="F453" s="4">
        <v>10</v>
      </c>
      <c r="G453" s="4">
        <v>21</v>
      </c>
      <c r="H453" s="45">
        <v>6.3554000000000004</v>
      </c>
      <c r="I453" s="4">
        <v>5.0000000000000001E-4</v>
      </c>
      <c r="J453" s="45">
        <v>-38.917700000000004</v>
      </c>
      <c r="K453" s="4">
        <v>1.2999999999999999E-3</v>
      </c>
      <c r="L453" s="4">
        <v>3.6999999999999998E-2</v>
      </c>
      <c r="M453" s="4">
        <v>0.01</v>
      </c>
      <c r="N453" s="4">
        <v>-5.3E-3</v>
      </c>
      <c r="O453" s="4">
        <v>1E-4</v>
      </c>
      <c r="P453" s="4">
        <v>124.3</v>
      </c>
      <c r="Q453" s="4">
        <v>0.19</v>
      </c>
      <c r="R453" s="45">
        <f>P453*E453/G453^3</f>
        <v>0.24159378036929058</v>
      </c>
      <c r="S453" s="22">
        <f>Q453*E453/G453^3</f>
        <v>3.6929057337220603E-4</v>
      </c>
    </row>
    <row r="454" spans="1:19">
      <c r="A454" s="23" t="s">
        <v>910</v>
      </c>
      <c r="B454" s="83" t="s">
        <v>1207</v>
      </c>
      <c r="C454" s="83"/>
      <c r="D454" s="83">
        <v>0.5</v>
      </c>
      <c r="E454" s="4">
        <v>18</v>
      </c>
      <c r="F454" s="4">
        <v>10</v>
      </c>
      <c r="G454" s="4">
        <v>21</v>
      </c>
      <c r="H454" s="4">
        <v>5.6931000000000003</v>
      </c>
      <c r="I454" s="4">
        <v>1E-3</v>
      </c>
      <c r="J454" s="4">
        <v>-34.834000000000003</v>
      </c>
      <c r="K454" s="4">
        <v>1.2999999999999999E-3</v>
      </c>
      <c r="L454" s="4">
        <v>4.1000000000000002E-2</v>
      </c>
      <c r="M454" s="4">
        <v>0.04</v>
      </c>
      <c r="N454" s="4">
        <v>-6.4000000000000003E-3</v>
      </c>
      <c r="O454" s="4">
        <v>5.9999999999999995E-4</v>
      </c>
      <c r="P454" s="4">
        <v>122.16</v>
      </c>
      <c r="Q454" s="4">
        <v>0.3</v>
      </c>
      <c r="R454" s="4">
        <f t="shared" si="32"/>
        <v>0.23743440233236152</v>
      </c>
      <c r="S454" s="22">
        <f t="shared" si="33"/>
        <v>5.8309037900874635E-4</v>
      </c>
    </row>
    <row r="455" spans="1:19">
      <c r="A455" s="28" t="s">
        <v>910</v>
      </c>
      <c r="B455" s="85" t="s">
        <v>1207</v>
      </c>
      <c r="C455" s="85"/>
      <c r="D455" s="85">
        <v>0.75</v>
      </c>
      <c r="E455" s="4">
        <v>18</v>
      </c>
      <c r="F455" s="4">
        <v>10</v>
      </c>
      <c r="G455" s="4">
        <v>21</v>
      </c>
      <c r="H455" s="29">
        <v>5.0388999999999999</v>
      </c>
      <c r="I455" s="4">
        <v>8.9999999999999998E-4</v>
      </c>
      <c r="J455" s="29">
        <v>-31.069199999999999</v>
      </c>
      <c r="K455" s="4">
        <v>8.9999999999999998E-4</v>
      </c>
      <c r="L455" s="4">
        <v>4.7E-2</v>
      </c>
      <c r="M455" s="4">
        <v>8.0000000000000002E-3</v>
      </c>
      <c r="N455" s="4">
        <v>-8.0000000000000002E-3</v>
      </c>
      <c r="O455" s="4">
        <v>2.0000000000000001E-4</v>
      </c>
      <c r="P455" s="4">
        <v>116.84</v>
      </c>
      <c r="Q455" s="4">
        <v>0.09</v>
      </c>
      <c r="R455" s="29">
        <f t="shared" si="32"/>
        <v>0.22709426627793974</v>
      </c>
      <c r="S455" s="22">
        <f t="shared" si="33"/>
        <v>1.7492711370262388E-4</v>
      </c>
    </row>
    <row r="456" spans="1:19">
      <c r="A456" s="33" t="s">
        <v>910</v>
      </c>
      <c r="B456" s="98" t="s">
        <v>1207</v>
      </c>
      <c r="C456" s="98"/>
      <c r="D456" s="98">
        <v>1</v>
      </c>
      <c r="E456" s="4">
        <v>18</v>
      </c>
      <c r="F456" s="4">
        <v>10</v>
      </c>
      <c r="G456" s="4">
        <v>21</v>
      </c>
      <c r="H456" s="34">
        <v>4.4051999999999998</v>
      </c>
      <c r="I456" s="4">
        <v>8.9999999999999998E-4</v>
      </c>
      <c r="J456" s="34">
        <v>-27.838999999999999</v>
      </c>
      <c r="K456" s="4">
        <v>1.4E-3</v>
      </c>
      <c r="L456" s="4">
        <v>8.4000000000000005E-2</v>
      </c>
      <c r="M456" s="4">
        <v>1.0999999999999999E-2</v>
      </c>
      <c r="N456" s="4">
        <v>-1.12E-2</v>
      </c>
      <c r="O456" s="4">
        <v>2.0000000000000001E-4</v>
      </c>
      <c r="P456" s="4">
        <v>106.3</v>
      </c>
      <c r="Q456" s="4">
        <v>0.17</v>
      </c>
      <c r="R456" s="34">
        <f t="shared" si="32"/>
        <v>0.20660835762876578</v>
      </c>
      <c r="S456" s="22">
        <f t="shared" si="33"/>
        <v>3.304178814382896E-4</v>
      </c>
    </row>
    <row r="457" spans="1:19">
      <c r="A457" s="44" t="s">
        <v>911</v>
      </c>
      <c r="B457" s="104" t="s">
        <v>1208</v>
      </c>
      <c r="C457" s="104"/>
      <c r="D457" s="104">
        <v>0.25</v>
      </c>
      <c r="E457" s="4">
        <v>18</v>
      </c>
      <c r="F457" s="4">
        <v>10</v>
      </c>
      <c r="G457" s="4">
        <v>21</v>
      </c>
      <c r="H457" s="45">
        <v>6.2644000000000002</v>
      </c>
      <c r="I457" s="4">
        <v>5.0000000000000001E-4</v>
      </c>
      <c r="J457" s="45">
        <v>-39.299399999999999</v>
      </c>
      <c r="K457" s="4">
        <v>4.0000000000000002E-4</v>
      </c>
      <c r="L457" s="4">
        <v>0.06</v>
      </c>
      <c r="M457" s="4">
        <v>1.4E-2</v>
      </c>
      <c r="N457" s="4">
        <v>-5.5999999999999999E-3</v>
      </c>
      <c r="O457" s="4">
        <v>1E-4</v>
      </c>
      <c r="P457" s="4">
        <v>123.76</v>
      </c>
      <c r="Q457" s="4">
        <v>0.17</v>
      </c>
      <c r="R457" s="45">
        <f>P457*E457/G457^3</f>
        <v>0.24054421768707487</v>
      </c>
      <c r="S457" s="22">
        <f>Q457*E457/G457^3</f>
        <v>3.304178814382896E-4</v>
      </c>
    </row>
    <row r="458" spans="1:19">
      <c r="A458" s="23" t="s">
        <v>911</v>
      </c>
      <c r="B458" s="83" t="s">
        <v>1208</v>
      </c>
      <c r="C458" s="83"/>
      <c r="D458" s="83">
        <v>0.5</v>
      </c>
      <c r="E458" s="4">
        <v>18</v>
      </c>
      <c r="F458" s="4">
        <v>10</v>
      </c>
      <c r="G458" s="4">
        <v>21</v>
      </c>
      <c r="H458" s="4">
        <v>5.4824000000000002</v>
      </c>
      <c r="I458" s="4">
        <v>1.6000000000000001E-3</v>
      </c>
      <c r="J458" s="4">
        <v>-35.988900000000001</v>
      </c>
      <c r="K458" s="4">
        <v>3.3E-3</v>
      </c>
      <c r="L458" s="4">
        <v>0.15</v>
      </c>
      <c r="M458" s="4">
        <v>1.2E-2</v>
      </c>
      <c r="N458" s="4">
        <v>-8.6E-3</v>
      </c>
      <c r="O458" s="4">
        <v>2.0000000000000001E-4</v>
      </c>
      <c r="P458" s="4">
        <v>116.1</v>
      </c>
      <c r="Q458" s="4">
        <v>0.25</v>
      </c>
      <c r="R458" s="4">
        <f t="shared" si="32"/>
        <v>0.22565597667638482</v>
      </c>
      <c r="S458" s="22">
        <f t="shared" si="33"/>
        <v>4.8590864917395527E-4</v>
      </c>
    </row>
    <row r="459" spans="1:19">
      <c r="A459" s="44" t="s">
        <v>912</v>
      </c>
      <c r="B459" s="104" t="s">
        <v>1209</v>
      </c>
      <c r="C459" s="104"/>
      <c r="D459" s="104">
        <v>0.25</v>
      </c>
      <c r="E459" s="4">
        <v>18</v>
      </c>
      <c r="F459" s="4">
        <v>10</v>
      </c>
      <c r="G459" s="4">
        <v>21</v>
      </c>
      <c r="H459" s="45">
        <v>6.3014999999999999</v>
      </c>
      <c r="I459" s="4">
        <v>6.9999999999999999E-4</v>
      </c>
      <c r="J459" s="45">
        <v>-39.3887</v>
      </c>
      <c r="K459" s="4">
        <v>3.0000000000000001E-3</v>
      </c>
      <c r="L459" s="4">
        <v>8.6999999999999994E-2</v>
      </c>
      <c r="M459" s="4">
        <v>8.9999999999999993E-3</v>
      </c>
      <c r="N459" s="4">
        <v>-6.1999999999999998E-3</v>
      </c>
      <c r="O459" s="4">
        <v>2.0000000000000001E-4</v>
      </c>
      <c r="P459" s="4">
        <v>122.95</v>
      </c>
      <c r="Q459" s="4">
        <v>0.23</v>
      </c>
      <c r="R459" s="45">
        <f>P459*E459/G459^3</f>
        <v>0.23896987366375119</v>
      </c>
      <c r="S459" s="22">
        <f>Q459*E459/G459^3</f>
        <v>4.4703595724003895E-4</v>
      </c>
    </row>
    <row r="460" spans="1:19">
      <c r="A460" s="23" t="s">
        <v>912</v>
      </c>
      <c r="B460" s="83" t="s">
        <v>1209</v>
      </c>
      <c r="C460" s="83"/>
      <c r="D460" s="83">
        <v>0.5</v>
      </c>
      <c r="E460" s="4">
        <v>18</v>
      </c>
      <c r="F460" s="4">
        <v>10</v>
      </c>
      <c r="G460" s="4">
        <v>21</v>
      </c>
      <c r="H460" s="39">
        <v>5.5651000000000002</v>
      </c>
      <c r="I460" s="4">
        <v>8.9999999999999998E-4</v>
      </c>
      <c r="J460" s="4">
        <v>-36.285200000000003</v>
      </c>
      <c r="K460" s="4">
        <v>2E-3</v>
      </c>
      <c r="L460" s="4">
        <v>0.14000000000000001</v>
      </c>
      <c r="M460" s="4">
        <v>1.2E-2</v>
      </c>
      <c r="N460" s="4">
        <v>-9.1000000000000004E-3</v>
      </c>
      <c r="O460" s="4">
        <v>2.0000000000000001E-4</v>
      </c>
      <c r="P460" s="4">
        <v>112.98</v>
      </c>
      <c r="Q460" s="4">
        <v>0.2</v>
      </c>
      <c r="R460" s="4">
        <f t="shared" si="32"/>
        <v>0.2195918367346939</v>
      </c>
      <c r="S460" s="22">
        <f t="shared" si="33"/>
        <v>3.8872691933916425E-4</v>
      </c>
    </row>
    <row r="461" spans="1:19">
      <c r="A461" s="44" t="s">
        <v>913</v>
      </c>
      <c r="B461" s="104" t="s">
        <v>1210</v>
      </c>
      <c r="C461" s="104"/>
      <c r="D461" s="104">
        <v>0.25</v>
      </c>
      <c r="E461" s="4">
        <v>18</v>
      </c>
      <c r="F461" s="4">
        <v>10</v>
      </c>
      <c r="G461" s="4">
        <v>21</v>
      </c>
      <c r="H461" s="48">
        <v>6.3761999999999999</v>
      </c>
      <c r="I461" s="4">
        <v>2.9999999999999997E-4</v>
      </c>
      <c r="J461" s="45">
        <v>-39.0655</v>
      </c>
      <c r="K461" s="4">
        <v>8.0000000000000004E-4</v>
      </c>
      <c r="L461" s="4">
        <v>3.9E-2</v>
      </c>
      <c r="M461" s="4">
        <v>1.2E-2</v>
      </c>
      <c r="N461" s="4">
        <v>-5.1999999999999998E-3</v>
      </c>
      <c r="O461" s="4">
        <v>1E-4</v>
      </c>
      <c r="P461" s="4">
        <v>124.08</v>
      </c>
      <c r="Q461" s="4">
        <v>0.14000000000000001</v>
      </c>
      <c r="R461" s="45">
        <f>P461*E461/G461^3</f>
        <v>0.24116618075801749</v>
      </c>
      <c r="S461" s="22">
        <f>Q461*E461/G461^3</f>
        <v>2.7210884353741501E-4</v>
      </c>
    </row>
    <row r="462" spans="1:19">
      <c r="A462" s="23" t="s">
        <v>913</v>
      </c>
      <c r="B462" s="83" t="s">
        <v>1210</v>
      </c>
      <c r="C462" s="83"/>
      <c r="D462" s="83">
        <v>0.5</v>
      </c>
      <c r="E462" s="4">
        <v>18</v>
      </c>
      <c r="F462" s="4">
        <v>10</v>
      </c>
      <c r="G462" s="4">
        <v>21</v>
      </c>
      <c r="H462" s="39">
        <v>5.7358000000000002</v>
      </c>
      <c r="I462" s="4">
        <v>5.0000000000000001E-4</v>
      </c>
      <c r="J462" s="4">
        <v>-35.216999999999999</v>
      </c>
      <c r="K462" s="4">
        <v>1.1000000000000001E-3</v>
      </c>
      <c r="L462" s="4">
        <v>0.03</v>
      </c>
      <c r="M462" s="4">
        <v>7.0000000000000001E-3</v>
      </c>
      <c r="N462" s="4">
        <v>-6.4000000000000003E-3</v>
      </c>
      <c r="O462" s="4">
        <v>2.0000000000000001E-4</v>
      </c>
      <c r="P462" s="4">
        <v>120.5</v>
      </c>
      <c r="Q462" s="4">
        <v>0.23</v>
      </c>
      <c r="R462" s="4">
        <f t="shared" si="32"/>
        <v>0.23420796890184645</v>
      </c>
      <c r="S462" s="22">
        <f t="shared" si="33"/>
        <v>4.4703595724003895E-4</v>
      </c>
    </row>
    <row r="463" spans="1:19">
      <c r="A463" s="28" t="s">
        <v>913</v>
      </c>
      <c r="B463" s="85" t="s">
        <v>1210</v>
      </c>
      <c r="C463" s="85"/>
      <c r="D463" s="85">
        <v>0.75</v>
      </c>
      <c r="E463" s="4">
        <v>18</v>
      </c>
      <c r="F463" s="4">
        <v>10</v>
      </c>
      <c r="G463" s="4">
        <v>21</v>
      </c>
      <c r="H463" s="29">
        <v>5.1100000000000003</v>
      </c>
      <c r="I463" s="4">
        <v>4.0000000000000002E-4</v>
      </c>
      <c r="J463" s="29">
        <v>-31.8429</v>
      </c>
      <c r="K463" s="4">
        <v>2.9999999999999997E-4</v>
      </c>
      <c r="L463" s="4">
        <v>6.5000000000000002E-2</v>
      </c>
      <c r="M463" s="4">
        <v>2.3E-2</v>
      </c>
      <c r="N463" s="4">
        <v>-8.6999999999999994E-3</v>
      </c>
      <c r="O463" s="4">
        <v>1E-4</v>
      </c>
      <c r="P463" s="4">
        <v>112.27</v>
      </c>
      <c r="Q463" s="4">
        <v>0.14000000000000001</v>
      </c>
      <c r="R463" s="29">
        <f t="shared" si="32"/>
        <v>0.21821185617103983</v>
      </c>
      <c r="S463" s="22">
        <f t="shared" si="33"/>
        <v>2.7210884353741501E-4</v>
      </c>
    </row>
    <row r="464" spans="1:19">
      <c r="A464" s="33" t="s">
        <v>913</v>
      </c>
      <c r="B464" s="98" t="s">
        <v>1210</v>
      </c>
      <c r="C464" s="98"/>
      <c r="D464" s="98">
        <v>1</v>
      </c>
      <c r="E464" s="4">
        <v>18</v>
      </c>
      <c r="F464" s="4">
        <v>10</v>
      </c>
      <c r="G464" s="4">
        <v>21</v>
      </c>
      <c r="H464" s="38">
        <v>4.5298999999999996</v>
      </c>
      <c r="I464" s="4">
        <v>6.9999999999999999E-4</v>
      </c>
      <c r="J464" s="34">
        <v>-29.340900000000001</v>
      </c>
      <c r="K464" s="4">
        <v>1.8E-3</v>
      </c>
      <c r="L464" s="4">
        <v>9.6000000000000002E-2</v>
      </c>
      <c r="M464" s="4">
        <v>1.2E-2</v>
      </c>
      <c r="N464" s="4">
        <v>-1.29E-2</v>
      </c>
      <c r="O464" s="4">
        <v>1E-4</v>
      </c>
      <c r="P464" s="4">
        <v>95.77</v>
      </c>
      <c r="Q464" s="4">
        <v>0.13</v>
      </c>
      <c r="R464" s="34">
        <f t="shared" si="32"/>
        <v>0.18614188532555878</v>
      </c>
      <c r="S464" s="22">
        <f t="shared" si="33"/>
        <v>2.5267249757045674E-4</v>
      </c>
    </row>
    <row r="465" spans="1:19">
      <c r="A465" s="44" t="s">
        <v>914</v>
      </c>
      <c r="B465" s="104" t="s">
        <v>1211</v>
      </c>
      <c r="C465" s="104"/>
      <c r="D465" s="104">
        <v>0.25</v>
      </c>
      <c r="E465" s="4">
        <v>18</v>
      </c>
      <c r="F465" s="4">
        <v>10</v>
      </c>
      <c r="G465" s="4">
        <v>21</v>
      </c>
      <c r="H465" s="48">
        <v>6.3746</v>
      </c>
      <c r="I465" s="4">
        <v>5.0000000000000001E-4</v>
      </c>
      <c r="J465" s="45">
        <v>-39.2926</v>
      </c>
      <c r="K465" s="4">
        <v>1.4E-3</v>
      </c>
      <c r="L465" s="4">
        <v>2.7E-2</v>
      </c>
      <c r="M465" s="4">
        <v>4.0000000000000001E-3</v>
      </c>
      <c r="N465" s="4">
        <v>-5.3E-3</v>
      </c>
      <c r="O465" s="4">
        <v>2.0000000000000001E-4</v>
      </c>
      <c r="P465" s="4">
        <v>123.98</v>
      </c>
      <c r="Q465" s="4">
        <v>0.24</v>
      </c>
      <c r="R465" s="45">
        <f>P465*E465/G465^3</f>
        <v>0.24097181729834791</v>
      </c>
      <c r="S465" s="22">
        <f>Q465*E465/G465^3</f>
        <v>4.6647230320699711E-4</v>
      </c>
    </row>
    <row r="466" spans="1:19">
      <c r="A466" s="23" t="s">
        <v>914</v>
      </c>
      <c r="B466" s="83" t="s">
        <v>1211</v>
      </c>
      <c r="C466" s="83"/>
      <c r="D466" s="83">
        <v>0.5</v>
      </c>
      <c r="E466" s="4">
        <v>18</v>
      </c>
      <c r="F466" s="4">
        <v>10</v>
      </c>
      <c r="G466" s="4">
        <v>21</v>
      </c>
      <c r="H466" s="39">
        <v>5.7256</v>
      </c>
      <c r="I466" s="4">
        <v>1E-3</v>
      </c>
      <c r="J466" s="4">
        <v>-35.648000000000003</v>
      </c>
      <c r="K466" s="4">
        <v>1.4E-3</v>
      </c>
      <c r="L466" s="4">
        <v>3.4000000000000002E-2</v>
      </c>
      <c r="M466" s="4">
        <v>3.0000000000000001E-3</v>
      </c>
      <c r="N466" s="4">
        <v>-6.4999999999999997E-3</v>
      </c>
      <c r="O466" s="4">
        <v>2.9999999999999997E-4</v>
      </c>
      <c r="P466" s="4">
        <v>120.52</v>
      </c>
      <c r="Q466" s="4">
        <v>0.28000000000000003</v>
      </c>
      <c r="R466" s="4">
        <f>P466*E466/G466^3</f>
        <v>0.23424684159378037</v>
      </c>
      <c r="S466" s="22">
        <f>Q466*E466/G466^3</f>
        <v>5.4421768707483002E-4</v>
      </c>
    </row>
    <row r="467" spans="1:19">
      <c r="A467" s="28" t="s">
        <v>914</v>
      </c>
      <c r="B467" s="85" t="s">
        <v>1211</v>
      </c>
      <c r="C467" s="85"/>
      <c r="D467" s="85">
        <v>0.75</v>
      </c>
      <c r="E467" s="4">
        <v>18</v>
      </c>
      <c r="F467" s="4">
        <v>10</v>
      </c>
      <c r="G467" s="4">
        <v>21</v>
      </c>
      <c r="H467" s="29">
        <v>5.0782999999999996</v>
      </c>
      <c r="I467" s="4">
        <v>8.9999999999999998E-4</v>
      </c>
      <c r="J467" s="29">
        <v>-32.428600000000003</v>
      </c>
      <c r="K467" s="4">
        <v>2.2000000000000001E-3</v>
      </c>
      <c r="L467" s="4">
        <v>6.0999999999999999E-2</v>
      </c>
      <c r="M467" s="4">
        <v>1.4E-2</v>
      </c>
      <c r="N467" s="4">
        <v>-8.8999999999999999E-3</v>
      </c>
      <c r="O467" s="4">
        <v>2.0000000000000001E-4</v>
      </c>
      <c r="P467" s="4">
        <v>112.3</v>
      </c>
      <c r="Q467" s="4">
        <v>0.28999999999999998</v>
      </c>
      <c r="R467" s="29">
        <f>P467*E467/G467^3</f>
        <v>0.21827016520894071</v>
      </c>
      <c r="S467" s="22">
        <f>Q467*E467/G467^3</f>
        <v>5.6365403304178808E-4</v>
      </c>
    </row>
    <row r="468" spans="1:19">
      <c r="A468" s="33" t="s">
        <v>914</v>
      </c>
      <c r="B468" s="98" t="s">
        <v>1211</v>
      </c>
      <c r="C468" s="98"/>
      <c r="D468" s="98">
        <v>1</v>
      </c>
      <c r="E468" s="4">
        <v>18</v>
      </c>
      <c r="F468" s="4">
        <v>10</v>
      </c>
      <c r="G468" s="4">
        <v>21</v>
      </c>
      <c r="H468" s="35">
        <v>4.4229000000000003</v>
      </c>
      <c r="I468" s="4">
        <v>1E-3</v>
      </c>
      <c r="J468" s="34">
        <v>-30.051600000000001</v>
      </c>
      <c r="K468" s="4">
        <v>2.0999999999999999E-3</v>
      </c>
      <c r="L468" s="4">
        <v>0.13400000000000001</v>
      </c>
      <c r="M468" s="4">
        <v>1.4E-2</v>
      </c>
      <c r="N468" s="4">
        <v>-1.5900000000000001E-2</v>
      </c>
      <c r="O468" s="4">
        <v>2.0000000000000001E-4</v>
      </c>
      <c r="P468" s="4">
        <v>91.64</v>
      </c>
      <c r="Q468" s="4">
        <v>0.18</v>
      </c>
      <c r="R468" s="34">
        <f t="shared" ref="R468" si="34">P468*E468/G468^3</f>
        <v>0.17811467444120505</v>
      </c>
      <c r="S468" s="22">
        <f t="shared" ref="S468" si="35">Q468*E468/G468^3</f>
        <v>3.4985422740524776E-4</v>
      </c>
    </row>
    <row r="469" spans="1:19">
      <c r="A469" s="44" t="s">
        <v>915</v>
      </c>
      <c r="B469" s="104" t="s">
        <v>1212</v>
      </c>
      <c r="C469" s="104"/>
      <c r="D469" s="104">
        <v>0.25</v>
      </c>
      <c r="E469" s="4">
        <v>18</v>
      </c>
      <c r="F469" s="4">
        <v>10</v>
      </c>
      <c r="G469" s="4">
        <v>21</v>
      </c>
      <c r="H469" s="48">
        <v>6.3627000000000002</v>
      </c>
      <c r="I469" s="4">
        <v>6.9999999999999999E-4</v>
      </c>
      <c r="J469" s="45">
        <v>-39.079000000000001</v>
      </c>
      <c r="K469" s="4">
        <v>2.3E-3</v>
      </c>
      <c r="L469" s="4">
        <v>7.0000000000000007E-2</v>
      </c>
      <c r="M469" s="4">
        <v>3.0000000000000001E-3</v>
      </c>
      <c r="N469" s="4">
        <v>-4.5999999999999999E-3</v>
      </c>
      <c r="O469" s="4">
        <v>2.0000000000000001E-4</v>
      </c>
      <c r="P469" s="4">
        <v>124.51</v>
      </c>
      <c r="Q469" s="4">
        <v>0.15</v>
      </c>
      <c r="R469" s="45">
        <f>P469*E469/G469^3</f>
        <v>0.24200194363459673</v>
      </c>
      <c r="S469" s="22">
        <f>Q469*E469/G469^3</f>
        <v>2.9154518950437317E-4</v>
      </c>
    </row>
    <row r="470" spans="1:19">
      <c r="A470" s="23" t="s">
        <v>915</v>
      </c>
      <c r="B470" s="83" t="s">
        <v>1212</v>
      </c>
      <c r="C470" s="83"/>
      <c r="D470" s="83">
        <v>0.5</v>
      </c>
      <c r="E470" s="4">
        <v>18</v>
      </c>
      <c r="F470" s="4">
        <v>10</v>
      </c>
      <c r="G470" s="4">
        <v>21</v>
      </c>
      <c r="H470" s="39">
        <v>5.7089999999999996</v>
      </c>
      <c r="I470" s="4">
        <v>5.9999999999999995E-4</v>
      </c>
      <c r="J470" s="4">
        <v>-35.2363</v>
      </c>
      <c r="K470" s="4">
        <v>5.9999999999999995E-4</v>
      </c>
      <c r="L470" s="4">
        <v>4.2000000000000003E-2</v>
      </c>
      <c r="M470" s="4">
        <v>7.0000000000000001E-3</v>
      </c>
      <c r="N470" s="4">
        <v>-6.6E-3</v>
      </c>
      <c r="O470" s="4">
        <v>1E-4</v>
      </c>
      <c r="P470" s="4">
        <v>120.57</v>
      </c>
      <c r="Q470" s="4">
        <v>0.19</v>
      </c>
      <c r="R470" s="4">
        <f t="shared" si="32"/>
        <v>0.23434402332361515</v>
      </c>
      <c r="S470" s="22">
        <f t="shared" si="33"/>
        <v>3.6929057337220603E-4</v>
      </c>
    </row>
    <row r="471" spans="1:19">
      <c r="A471" s="28" t="s">
        <v>915</v>
      </c>
      <c r="B471" s="85" t="s">
        <v>1212</v>
      </c>
      <c r="C471" s="85"/>
      <c r="D471" s="85">
        <v>0.75</v>
      </c>
      <c r="E471" s="4">
        <v>18</v>
      </c>
      <c r="F471" s="4">
        <v>10</v>
      </c>
      <c r="G471" s="4">
        <v>21</v>
      </c>
      <c r="H471" s="29">
        <v>5.0640000000000001</v>
      </c>
      <c r="I471" s="4">
        <v>8.9999999999999998E-4</v>
      </c>
      <c r="J471" s="29">
        <v>-31.858899999999998</v>
      </c>
      <c r="K471" s="4">
        <v>1.1999999999999999E-3</v>
      </c>
      <c r="L471" s="4">
        <v>8.8999999999999996E-2</v>
      </c>
      <c r="M471" s="4">
        <v>8.9999999999999993E-3</v>
      </c>
      <c r="N471" s="4">
        <v>-8.9999999999999993E-3</v>
      </c>
      <c r="O471" s="4">
        <v>1E-4</v>
      </c>
      <c r="P471" s="4">
        <v>112.33</v>
      </c>
      <c r="Q471" s="4">
        <v>0.21</v>
      </c>
      <c r="R471" s="29">
        <f t="shared" si="32"/>
        <v>0.2183284742468416</v>
      </c>
      <c r="S471" s="22">
        <f t="shared" si="33"/>
        <v>4.0816326530612241E-4</v>
      </c>
    </row>
    <row r="472" spans="1:19">
      <c r="A472" s="44" t="s">
        <v>916</v>
      </c>
      <c r="B472" s="104" t="s">
        <v>1213</v>
      </c>
      <c r="C472" s="104"/>
      <c r="D472" s="104">
        <v>0.25</v>
      </c>
      <c r="E472" s="4">
        <v>18</v>
      </c>
      <c r="F472" s="4">
        <v>10</v>
      </c>
      <c r="G472" s="4">
        <v>21</v>
      </c>
      <c r="H472" s="48">
        <v>6.3235999999999999</v>
      </c>
      <c r="I472" s="4">
        <v>8.0000000000000004E-4</v>
      </c>
      <c r="J472" s="45">
        <v>-39.124400000000001</v>
      </c>
      <c r="K472" s="4">
        <v>1.1999999999999999E-3</v>
      </c>
      <c r="L472" s="4">
        <v>3.5000000000000003E-2</v>
      </c>
      <c r="M472" s="4">
        <v>7.0000000000000001E-3</v>
      </c>
      <c r="N472" s="4">
        <v>-5.3E-3</v>
      </c>
      <c r="O472" s="4">
        <v>1E-4</v>
      </c>
      <c r="P472" s="4">
        <v>124.5</v>
      </c>
      <c r="Q472" s="4">
        <v>0.1</v>
      </c>
      <c r="R472" s="45">
        <f>P472*E472/G472^3</f>
        <v>0.24198250728862974</v>
      </c>
      <c r="S472" s="22">
        <f>Q472*E472/G472^3</f>
        <v>1.9436345966958212E-4</v>
      </c>
    </row>
    <row r="473" spans="1:19">
      <c r="A473" s="23" t="s">
        <v>916</v>
      </c>
      <c r="B473" s="83" t="s">
        <v>1213</v>
      </c>
      <c r="C473" s="83"/>
      <c r="D473" s="83">
        <v>0.5</v>
      </c>
      <c r="E473" s="4">
        <v>18</v>
      </c>
      <c r="F473" s="4">
        <v>10</v>
      </c>
      <c r="G473" s="4">
        <v>21</v>
      </c>
      <c r="H473" s="39">
        <v>5.6257000000000001</v>
      </c>
      <c r="I473" s="4">
        <v>8.9999999999999998E-4</v>
      </c>
      <c r="J473" s="4">
        <v>-35.249699999999997</v>
      </c>
      <c r="K473" s="4">
        <v>2.2000000000000001E-3</v>
      </c>
      <c r="L473" s="4">
        <v>4.8000000000000001E-2</v>
      </c>
      <c r="M473" s="4">
        <v>5.0000000000000001E-3</v>
      </c>
      <c r="N473" s="4">
        <v>-6.4999999999999997E-3</v>
      </c>
      <c r="O473" s="4">
        <v>2.0000000000000001E-4</v>
      </c>
      <c r="P473" s="4">
        <v>122.25</v>
      </c>
      <c r="Q473" s="4">
        <v>0.12</v>
      </c>
      <c r="R473" s="4">
        <f t="shared" si="32"/>
        <v>0.23760932944606414</v>
      </c>
      <c r="S473" s="22">
        <f t="shared" si="33"/>
        <v>2.3323615160349855E-4</v>
      </c>
    </row>
    <row r="474" spans="1:19">
      <c r="A474" s="28" t="s">
        <v>916</v>
      </c>
      <c r="B474" s="85" t="s">
        <v>1213</v>
      </c>
      <c r="C474" s="85"/>
      <c r="D474" s="85">
        <v>0.75</v>
      </c>
      <c r="E474" s="4">
        <v>18</v>
      </c>
      <c r="F474" s="4">
        <v>10</v>
      </c>
      <c r="G474" s="4">
        <v>21</v>
      </c>
      <c r="H474" s="29">
        <v>4.9236000000000004</v>
      </c>
      <c r="I474" s="4">
        <v>8.9999999999999998E-4</v>
      </c>
      <c r="J474" s="29">
        <v>-31.717700000000001</v>
      </c>
      <c r="K474" s="4">
        <v>2.3999999999999998E-3</v>
      </c>
      <c r="L474" s="4">
        <v>9.6000000000000002E-2</v>
      </c>
      <c r="M474" s="4">
        <v>1.2E-2</v>
      </c>
      <c r="N474" s="4">
        <v>-9.1000000000000004E-3</v>
      </c>
      <c r="O474" s="4">
        <v>1E-4</v>
      </c>
      <c r="P474" s="4">
        <v>115.87</v>
      </c>
      <c r="Q474" s="4">
        <v>0.14000000000000001</v>
      </c>
      <c r="R474" s="29">
        <f t="shared" si="32"/>
        <v>0.2252089407191448</v>
      </c>
      <c r="S474" s="22">
        <f t="shared" si="33"/>
        <v>2.7210884353741501E-4</v>
      </c>
    </row>
    <row r="475" spans="1:19">
      <c r="A475" s="44" t="s">
        <v>917</v>
      </c>
      <c r="B475" s="104" t="s">
        <v>1214</v>
      </c>
      <c r="C475" s="104"/>
      <c r="D475" s="104">
        <v>0.25</v>
      </c>
      <c r="E475" s="4">
        <v>18</v>
      </c>
      <c r="F475" s="4">
        <v>10</v>
      </c>
      <c r="G475" s="4">
        <v>21</v>
      </c>
      <c r="H475" s="45">
        <v>6.3423999999999996</v>
      </c>
      <c r="I475" s="4">
        <v>1E-3</v>
      </c>
      <c r="J475" s="45">
        <v>-38.953699999999998</v>
      </c>
      <c r="K475" s="4">
        <v>1.9E-3</v>
      </c>
      <c r="L475" s="4">
        <v>2.5000000000000001E-2</v>
      </c>
      <c r="M475" s="4">
        <v>7.0000000000000001E-3</v>
      </c>
      <c r="N475" s="4">
        <v>-5.4000000000000003E-3</v>
      </c>
      <c r="O475" s="4">
        <v>2.0000000000000001E-4</v>
      </c>
      <c r="P475" s="4">
        <v>124.27</v>
      </c>
      <c r="Q475" s="4">
        <v>0.21</v>
      </c>
      <c r="R475" s="45">
        <f>P475*E475/G475^3</f>
        <v>0.24153547133138972</v>
      </c>
      <c r="S475" s="22">
        <f>Q475*E475/G475^3</f>
        <v>4.0816326530612241E-4</v>
      </c>
    </row>
    <row r="476" spans="1:19">
      <c r="A476" s="23" t="s">
        <v>917</v>
      </c>
      <c r="B476" s="83" t="s">
        <v>1214</v>
      </c>
      <c r="C476" s="83"/>
      <c r="D476" s="83">
        <v>0.5</v>
      </c>
      <c r="E476" s="4">
        <v>18</v>
      </c>
      <c r="F476" s="4">
        <v>10</v>
      </c>
      <c r="G476" s="4">
        <v>21</v>
      </c>
      <c r="H476" s="39">
        <v>5.6660000000000004</v>
      </c>
      <c r="I476" s="4">
        <v>6.9999999999999999E-4</v>
      </c>
      <c r="J476" s="4">
        <v>-34.913600000000002</v>
      </c>
      <c r="K476" s="4">
        <v>1.9E-3</v>
      </c>
      <c r="L476" s="4">
        <v>3.5999999999999997E-2</v>
      </c>
      <c r="M476" s="4">
        <v>5.0000000000000001E-3</v>
      </c>
      <c r="N476" s="4">
        <v>-6.4000000000000003E-3</v>
      </c>
      <c r="O476" s="4">
        <v>0</v>
      </c>
      <c r="P476" s="4">
        <v>121.81</v>
      </c>
      <c r="Q476" s="4">
        <v>0.06</v>
      </c>
      <c r="R476" s="4">
        <f t="shared" si="32"/>
        <v>0.23675413022351796</v>
      </c>
      <c r="S476" s="22">
        <f t="shared" si="33"/>
        <v>1.1661807580174928E-4</v>
      </c>
    </row>
    <row r="477" spans="1:19">
      <c r="A477" s="28" t="s">
        <v>917</v>
      </c>
      <c r="B477" s="85" t="s">
        <v>1214</v>
      </c>
      <c r="C477" s="85"/>
      <c r="D477" s="85">
        <v>0.75</v>
      </c>
      <c r="E477" s="4">
        <v>18</v>
      </c>
      <c r="F477" s="4">
        <v>10</v>
      </c>
      <c r="G477" s="4">
        <v>21</v>
      </c>
      <c r="H477" s="29">
        <v>4.9955999999999996</v>
      </c>
      <c r="I477" s="4">
        <v>5.9999999999999995E-4</v>
      </c>
      <c r="J477" s="29">
        <v>-31.209499999999998</v>
      </c>
      <c r="K477" s="4">
        <v>1.5E-3</v>
      </c>
      <c r="L477" s="4">
        <v>5.0999999999999997E-2</v>
      </c>
      <c r="M477" s="4">
        <v>8.0000000000000002E-3</v>
      </c>
      <c r="N477" s="4">
        <v>-8.2000000000000007E-3</v>
      </c>
      <c r="O477" s="4">
        <v>2.0000000000000001E-4</v>
      </c>
      <c r="P477" s="4">
        <v>116.1</v>
      </c>
      <c r="Q477" s="4">
        <v>0.22</v>
      </c>
      <c r="R477" s="29">
        <f t="shared" si="32"/>
        <v>0.22565597667638482</v>
      </c>
      <c r="S477" s="22">
        <f t="shared" si="33"/>
        <v>4.2759961127308068E-4</v>
      </c>
    </row>
    <row r="478" spans="1:19">
      <c r="A478" s="33" t="s">
        <v>917</v>
      </c>
      <c r="B478" s="98" t="s">
        <v>1214</v>
      </c>
      <c r="C478" s="98"/>
      <c r="D478" s="98">
        <v>1</v>
      </c>
      <c r="E478" s="4">
        <v>18</v>
      </c>
      <c r="F478" s="4">
        <v>10</v>
      </c>
      <c r="G478" s="4">
        <v>21</v>
      </c>
      <c r="H478" s="38">
        <v>4.3453999999999997</v>
      </c>
      <c r="I478" s="39">
        <v>5.0000000000000001E-4</v>
      </c>
      <c r="J478" s="38">
        <v>-28.090299999999999</v>
      </c>
      <c r="K478" s="39">
        <v>5.9999999999999995E-4</v>
      </c>
      <c r="L478" s="39">
        <v>0.106</v>
      </c>
      <c r="M478" s="39">
        <v>0.01</v>
      </c>
      <c r="N478" s="39">
        <v>-1.1900000000000001E-2</v>
      </c>
      <c r="O478" s="39">
        <v>1E-4</v>
      </c>
      <c r="P478" s="39">
        <v>104.25</v>
      </c>
      <c r="Q478" s="39">
        <v>0.16</v>
      </c>
      <c r="R478" s="34">
        <f t="shared" si="32"/>
        <v>0.20262390670553937</v>
      </c>
      <c r="S478" s="22">
        <f t="shared" si="33"/>
        <v>3.1098153547133139E-4</v>
      </c>
    </row>
    <row r="479" spans="1:19">
      <c r="A479" s="44" t="s">
        <v>918</v>
      </c>
      <c r="B479" s="104" t="s">
        <v>1215</v>
      </c>
      <c r="C479" s="104"/>
      <c r="D479" s="104">
        <v>0.25</v>
      </c>
      <c r="E479" s="4">
        <v>18</v>
      </c>
      <c r="F479" s="4">
        <v>10</v>
      </c>
      <c r="G479" s="4">
        <v>21</v>
      </c>
      <c r="H479" s="45">
        <v>6.3956</v>
      </c>
      <c r="I479" s="4">
        <v>6.9999999999999999E-4</v>
      </c>
      <c r="J479" s="45">
        <v>-39.177900000000001</v>
      </c>
      <c r="K479" s="4">
        <v>8.9999999999999998E-4</v>
      </c>
      <c r="L479" s="4">
        <v>2.5000000000000001E-2</v>
      </c>
      <c r="M479" s="4">
        <v>5.0000000000000001E-3</v>
      </c>
      <c r="N479" s="4">
        <v>-5.3E-3</v>
      </c>
      <c r="O479" s="4">
        <v>2.9999999999999997E-4</v>
      </c>
      <c r="P479" s="4">
        <v>123.65</v>
      </c>
      <c r="Q479" s="4">
        <v>0.22</v>
      </c>
      <c r="R479" s="45">
        <f>P479*E479/G479^3</f>
        <v>0.24033041788143833</v>
      </c>
      <c r="S479" s="22">
        <f>Q479*E479/G479^3</f>
        <v>4.2759961127308068E-4</v>
      </c>
    </row>
    <row r="480" spans="1:19">
      <c r="A480" s="23" t="s">
        <v>918</v>
      </c>
      <c r="B480" s="83" t="s">
        <v>1215</v>
      </c>
      <c r="C480" s="83"/>
      <c r="D480" s="83">
        <v>0.5</v>
      </c>
      <c r="E480" s="4">
        <v>18</v>
      </c>
      <c r="F480" s="4">
        <v>10</v>
      </c>
      <c r="G480" s="4">
        <v>21</v>
      </c>
      <c r="H480" s="4">
        <v>5.7687999999999997</v>
      </c>
      <c r="I480" s="4">
        <v>5.0000000000000001E-4</v>
      </c>
      <c r="J480" s="4">
        <v>-35.4846</v>
      </c>
      <c r="K480" s="4">
        <v>6.9999999999999999E-4</v>
      </c>
      <c r="L480" s="4">
        <v>3.3000000000000002E-2</v>
      </c>
      <c r="M480" s="4">
        <v>6.0000000000000001E-3</v>
      </c>
      <c r="N480" s="4">
        <v>-6.6E-3</v>
      </c>
      <c r="O480" s="4">
        <v>2.0000000000000001E-4</v>
      </c>
      <c r="P480" s="4">
        <v>119.02</v>
      </c>
      <c r="Q480" s="4">
        <v>0.19</v>
      </c>
      <c r="R480" s="4">
        <f t="shared" si="32"/>
        <v>0.23133138969873665</v>
      </c>
      <c r="S480" s="22">
        <f t="shared" si="33"/>
        <v>3.6929057337220603E-4</v>
      </c>
    </row>
    <row r="481" spans="1:19">
      <c r="A481" s="28" t="s">
        <v>918</v>
      </c>
      <c r="B481" s="85" t="s">
        <v>1215</v>
      </c>
      <c r="C481" s="85"/>
      <c r="D481" s="85">
        <v>0.75</v>
      </c>
      <c r="E481" s="4">
        <v>18</v>
      </c>
      <c r="F481" s="4">
        <v>10</v>
      </c>
      <c r="G481" s="4">
        <v>21</v>
      </c>
      <c r="H481" s="29">
        <v>5.1471</v>
      </c>
      <c r="I481" s="4">
        <v>8.0000000000000004E-4</v>
      </c>
      <c r="J481" s="29">
        <v>-32.36</v>
      </c>
      <c r="K481" s="4">
        <v>1.4E-3</v>
      </c>
      <c r="L481" s="4">
        <v>8.3000000000000004E-2</v>
      </c>
      <c r="M481" s="4">
        <v>3.0000000000000001E-3</v>
      </c>
      <c r="N481" s="4">
        <v>-1.0200000000000001E-2</v>
      </c>
      <c r="O481" s="4">
        <v>2.0000000000000001E-4</v>
      </c>
      <c r="P481" s="4">
        <v>106.95</v>
      </c>
      <c r="Q481" s="4">
        <v>0.32</v>
      </c>
      <c r="R481" s="29">
        <f>P481*E481/G481^3</f>
        <v>0.20787172011661809</v>
      </c>
      <c r="S481" s="22">
        <f t="shared" si="33"/>
        <v>6.2196307094266278E-4</v>
      </c>
    </row>
    <row r="482" spans="1:19">
      <c r="A482" s="133" t="s">
        <v>919</v>
      </c>
      <c r="B482" s="104" t="s">
        <v>1216</v>
      </c>
      <c r="C482" s="104"/>
      <c r="D482" s="104">
        <v>0.25</v>
      </c>
      <c r="E482" s="4">
        <v>18</v>
      </c>
      <c r="F482" s="4">
        <v>10</v>
      </c>
      <c r="G482" s="4">
        <v>21</v>
      </c>
      <c r="H482" s="45">
        <v>6.3033999999999999</v>
      </c>
      <c r="I482" s="4">
        <v>1E-3</v>
      </c>
      <c r="J482" s="45">
        <v>-39.229399999999998</v>
      </c>
      <c r="K482" s="4">
        <v>2.3E-3</v>
      </c>
      <c r="L482" s="4">
        <v>9.0999999999999998E-2</v>
      </c>
      <c r="M482" s="4">
        <v>2E-3</v>
      </c>
      <c r="N482" s="4">
        <v>-6.3E-3</v>
      </c>
      <c r="O482" s="4">
        <v>1E-4</v>
      </c>
      <c r="P482" s="4">
        <v>123.56</v>
      </c>
      <c r="Q482" s="4">
        <v>0.28999999999999998</v>
      </c>
      <c r="R482" s="45">
        <f>P482*E482/G482^3</f>
        <v>0.24015549076773565</v>
      </c>
      <c r="S482" s="22">
        <f>Q482*E482/G482^3</f>
        <v>5.6365403304178808E-4</v>
      </c>
    </row>
    <row r="483" spans="1:19">
      <c r="A483" s="89" t="s">
        <v>919</v>
      </c>
      <c r="B483" s="83" t="s">
        <v>1216</v>
      </c>
      <c r="C483" s="83"/>
      <c r="D483" s="83">
        <v>0.5</v>
      </c>
      <c r="E483" s="4">
        <v>18</v>
      </c>
      <c r="F483" s="4">
        <v>10</v>
      </c>
      <c r="G483" s="4">
        <v>21</v>
      </c>
      <c r="H483" s="4">
        <v>5.5768000000000004</v>
      </c>
      <c r="I483" s="4">
        <v>6.9999999999999999E-4</v>
      </c>
      <c r="J483" s="4">
        <v>-35.597900000000003</v>
      </c>
      <c r="K483" s="4">
        <v>1.6999999999999999E-3</v>
      </c>
      <c r="L483" s="4">
        <v>9.8000000000000004E-2</v>
      </c>
      <c r="M483" s="4">
        <v>1.2999999999999999E-2</v>
      </c>
      <c r="N483" s="4">
        <v>-7.3000000000000001E-3</v>
      </c>
      <c r="O483" s="4">
        <v>1E-4</v>
      </c>
      <c r="P483" s="4">
        <v>119.7</v>
      </c>
      <c r="Q483" s="4">
        <v>0.09</v>
      </c>
      <c r="R483" s="4">
        <f t="shared" si="32"/>
        <v>0.23265306122448978</v>
      </c>
      <c r="S483" s="22">
        <f t="shared" si="33"/>
        <v>1.7492711370262388E-4</v>
      </c>
    </row>
    <row r="484" spans="1:19">
      <c r="A484" s="92" t="s">
        <v>919</v>
      </c>
      <c r="B484" s="85" t="s">
        <v>1216</v>
      </c>
      <c r="C484" s="85"/>
      <c r="D484" s="85">
        <v>0.75</v>
      </c>
      <c r="E484" s="4">
        <v>18</v>
      </c>
      <c r="F484" s="4">
        <v>10</v>
      </c>
      <c r="G484" s="4">
        <v>21</v>
      </c>
      <c r="H484" s="41">
        <v>4.8083999999999998</v>
      </c>
      <c r="I484" s="4">
        <v>2.9999999999999997E-4</v>
      </c>
      <c r="J484" s="29">
        <v>-32.685200000000002</v>
      </c>
      <c r="K484" s="4">
        <v>1E-3</v>
      </c>
      <c r="L484" s="4">
        <v>0.22700000000000001</v>
      </c>
      <c r="M484" s="4">
        <v>0.01</v>
      </c>
      <c r="N484" s="4">
        <v>-1.29E-2</v>
      </c>
      <c r="O484" s="4">
        <v>1E-4</v>
      </c>
      <c r="P484" s="4">
        <v>104.49</v>
      </c>
      <c r="Q484" s="4">
        <v>0.4</v>
      </c>
      <c r="R484" s="29">
        <f t="shared" si="32"/>
        <v>0.20309037900874635</v>
      </c>
      <c r="S484" s="22">
        <f t="shared" si="33"/>
        <v>7.774538386783285E-4</v>
      </c>
    </row>
    <row r="485" spans="1:19">
      <c r="A485" s="133" t="s">
        <v>920</v>
      </c>
      <c r="B485" s="104" t="s">
        <v>1217</v>
      </c>
      <c r="C485" s="104"/>
      <c r="D485" s="104">
        <v>0.25</v>
      </c>
      <c r="E485" s="4">
        <v>18</v>
      </c>
      <c r="F485" s="4">
        <v>10</v>
      </c>
      <c r="G485" s="4">
        <v>21</v>
      </c>
      <c r="H485" s="45">
        <v>6.3480999999999996</v>
      </c>
      <c r="I485" s="4">
        <v>6.9999999999999999E-4</v>
      </c>
      <c r="J485" s="45">
        <v>-38.881999999999998</v>
      </c>
      <c r="K485" s="4">
        <v>2.5000000000000001E-3</v>
      </c>
      <c r="L485" s="4">
        <v>5.0999999999999997E-2</v>
      </c>
      <c r="M485" s="4">
        <v>8.9999999999999993E-3</v>
      </c>
      <c r="N485" s="4">
        <v>-5.3E-3</v>
      </c>
      <c r="O485" s="4">
        <v>2.0000000000000001E-4</v>
      </c>
      <c r="P485" s="4">
        <v>124.06</v>
      </c>
      <c r="Q485" s="4">
        <v>0.34</v>
      </c>
      <c r="R485" s="45">
        <f>P485*E485/G485^3</f>
        <v>0.24112730806608357</v>
      </c>
      <c r="S485" s="22">
        <f>Q485*E485/G485^3</f>
        <v>6.6083576287657921E-4</v>
      </c>
    </row>
    <row r="486" spans="1:19">
      <c r="A486" s="89" t="s">
        <v>920</v>
      </c>
      <c r="B486" s="83" t="s">
        <v>1217</v>
      </c>
      <c r="C486" s="83"/>
      <c r="D486" s="83">
        <v>0.5</v>
      </c>
      <c r="E486" s="4">
        <v>18</v>
      </c>
      <c r="F486" s="4">
        <v>10</v>
      </c>
      <c r="G486" s="4">
        <v>21</v>
      </c>
      <c r="H486" s="39">
        <v>5.6810999999999998</v>
      </c>
      <c r="I486" s="4">
        <v>5.9999999999999995E-4</v>
      </c>
      <c r="J486" s="4">
        <v>-34.811900000000001</v>
      </c>
      <c r="K486" s="4">
        <v>2.0999999999999999E-3</v>
      </c>
      <c r="L486" s="4">
        <v>4.5999999999999999E-2</v>
      </c>
      <c r="M486" s="4">
        <v>1.2999999999999999E-2</v>
      </c>
      <c r="N486" s="4">
        <v>-6.4999999999999997E-3</v>
      </c>
      <c r="O486" s="4">
        <v>1E-4</v>
      </c>
      <c r="P486" s="4">
        <v>121.01</v>
      </c>
      <c r="Q486" s="4">
        <v>0.16</v>
      </c>
      <c r="R486" s="4">
        <f t="shared" si="32"/>
        <v>0.23519922254616135</v>
      </c>
      <c r="S486" s="22">
        <f t="shared" si="33"/>
        <v>3.1098153547133139E-4</v>
      </c>
    </row>
    <row r="487" spans="1:19">
      <c r="A487" s="92" t="s">
        <v>920</v>
      </c>
      <c r="B487" s="85" t="s">
        <v>1217</v>
      </c>
      <c r="C487" s="85"/>
      <c r="D487" s="85">
        <v>0.75</v>
      </c>
      <c r="E487" s="4">
        <v>18</v>
      </c>
      <c r="F487" s="4">
        <v>10</v>
      </c>
      <c r="G487" s="4">
        <v>21</v>
      </c>
      <c r="H487" s="29">
        <v>5.0194000000000001</v>
      </c>
      <c r="I487" s="4">
        <v>5.0000000000000001E-4</v>
      </c>
      <c r="J487" s="29">
        <v>-31.173200000000001</v>
      </c>
      <c r="K487" s="4">
        <v>8.0000000000000004E-4</v>
      </c>
      <c r="L487" s="4">
        <v>7.5999999999999998E-2</v>
      </c>
      <c r="M487" s="4">
        <v>4.0000000000000001E-3</v>
      </c>
      <c r="N487" s="4">
        <v>-8.9999999999999993E-3</v>
      </c>
      <c r="O487" s="4">
        <v>2.0000000000000001E-4</v>
      </c>
      <c r="P487" s="4">
        <v>113.39</v>
      </c>
      <c r="Q487" s="4">
        <v>0.24</v>
      </c>
      <c r="R487" s="29">
        <f t="shared" si="32"/>
        <v>0.22038872691933917</v>
      </c>
      <c r="S487" s="22">
        <f t="shared" si="33"/>
        <v>4.6647230320699711E-4</v>
      </c>
    </row>
    <row r="488" spans="1:19">
      <c r="A488" s="49" t="s">
        <v>920</v>
      </c>
      <c r="B488" s="98" t="s">
        <v>1217</v>
      </c>
      <c r="C488" s="98"/>
      <c r="D488" s="98">
        <v>1</v>
      </c>
      <c r="E488" s="4">
        <v>18</v>
      </c>
      <c r="F488" s="4">
        <v>10</v>
      </c>
      <c r="G488" s="4">
        <v>21</v>
      </c>
      <c r="H488" s="34">
        <v>4.3848000000000003</v>
      </c>
      <c r="I488" s="4">
        <v>8.0000000000000004E-4</v>
      </c>
      <c r="J488" s="34">
        <v>-28.313800000000001</v>
      </c>
      <c r="K488" s="4">
        <v>1.6999999999999999E-3</v>
      </c>
      <c r="L488" s="4">
        <v>0.114</v>
      </c>
      <c r="M488" s="4">
        <v>1.7999999999999999E-2</v>
      </c>
      <c r="N488" s="4">
        <v>-1.3899999999999999E-2</v>
      </c>
      <c r="O488" s="4">
        <v>2.9999999999999997E-4</v>
      </c>
      <c r="P488" s="4">
        <v>97.66</v>
      </c>
      <c r="Q488" s="4">
        <v>0.48</v>
      </c>
      <c r="R488" s="34">
        <f t="shared" si="32"/>
        <v>0.18981535471331387</v>
      </c>
      <c r="S488" s="22">
        <f t="shared" si="33"/>
        <v>9.3294460641399422E-4</v>
      </c>
    </row>
    <row r="489" spans="1:19">
      <c r="A489" s="133" t="s">
        <v>921</v>
      </c>
      <c r="B489" s="104" t="s">
        <v>1218</v>
      </c>
      <c r="C489" s="104"/>
      <c r="D489" s="104">
        <v>0.25</v>
      </c>
      <c r="E489" s="4">
        <v>18</v>
      </c>
      <c r="F489" s="4">
        <v>10</v>
      </c>
      <c r="G489" s="4">
        <v>21</v>
      </c>
      <c r="H489" s="45">
        <v>6.3051000000000004</v>
      </c>
      <c r="I489" s="4">
        <v>1E-3</v>
      </c>
      <c r="J489" s="45">
        <v>-39.373899999999999</v>
      </c>
      <c r="K489" s="4">
        <v>5.9999999999999995E-4</v>
      </c>
      <c r="L489" s="4">
        <v>0.04</v>
      </c>
      <c r="M489" s="4">
        <v>1.7000000000000001E-2</v>
      </c>
      <c r="N489" s="4">
        <v>-5.5999999999999999E-3</v>
      </c>
      <c r="O489" s="4">
        <v>2.0000000000000001E-4</v>
      </c>
      <c r="P489" s="4">
        <v>123.69</v>
      </c>
      <c r="Q489" s="4">
        <v>0.2</v>
      </c>
      <c r="R489" s="45">
        <f>P489*E489/G489^3</f>
        <v>0.24040816326530612</v>
      </c>
      <c r="S489" s="22">
        <f>Q489*E489/G489^3</f>
        <v>3.8872691933916425E-4</v>
      </c>
    </row>
    <row r="490" spans="1:19">
      <c r="A490" s="89" t="s">
        <v>921</v>
      </c>
      <c r="B490" s="83" t="s">
        <v>1218</v>
      </c>
      <c r="C490" s="83"/>
      <c r="D490" s="83">
        <v>0.5</v>
      </c>
      <c r="E490" s="4">
        <v>18</v>
      </c>
      <c r="F490" s="4">
        <v>10</v>
      </c>
      <c r="G490" s="4">
        <v>21</v>
      </c>
      <c r="H490" s="39">
        <v>5.5685000000000002</v>
      </c>
      <c r="I490" s="4">
        <v>4.0000000000000002E-4</v>
      </c>
      <c r="J490" s="4">
        <v>-36.016300000000001</v>
      </c>
      <c r="K490" s="4">
        <v>8.9999999999999998E-4</v>
      </c>
      <c r="L490" s="4">
        <v>0.123</v>
      </c>
      <c r="M490" s="4">
        <v>1.4999999999999999E-2</v>
      </c>
      <c r="N490" s="4">
        <v>-8.0000000000000002E-3</v>
      </c>
      <c r="O490" s="4">
        <v>2.0000000000000001E-4</v>
      </c>
      <c r="P490" s="4">
        <v>116.93</v>
      </c>
      <c r="Q490" s="4">
        <v>0.21</v>
      </c>
      <c r="R490" s="4">
        <f t="shared" si="32"/>
        <v>0.22726919339164239</v>
      </c>
      <c r="S490" s="22">
        <f t="shared" si="33"/>
        <v>4.0816326530612241E-4</v>
      </c>
    </row>
    <row r="491" spans="1:19">
      <c r="A491" s="133" t="s">
        <v>922</v>
      </c>
      <c r="B491" s="104" t="s">
        <v>1219</v>
      </c>
      <c r="C491" s="104"/>
      <c r="D491" s="104">
        <v>0.25</v>
      </c>
      <c r="E491" s="4">
        <v>18</v>
      </c>
      <c r="F491" s="4">
        <v>10</v>
      </c>
      <c r="G491" s="4">
        <v>21</v>
      </c>
      <c r="H491" s="45">
        <v>6.3484999999999996</v>
      </c>
      <c r="I491" s="4">
        <v>6.9999999999999999E-4</v>
      </c>
      <c r="J491" s="45">
        <v>-39.160299999999999</v>
      </c>
      <c r="K491" s="4">
        <v>1.9E-3</v>
      </c>
      <c r="L491" s="4">
        <v>0.03</v>
      </c>
      <c r="M491" s="4">
        <v>2E-3</v>
      </c>
      <c r="N491" s="4">
        <v>-5.4000000000000003E-3</v>
      </c>
      <c r="O491" s="4">
        <v>1E-4</v>
      </c>
      <c r="P491" s="4">
        <v>124.36</v>
      </c>
      <c r="Q491" s="4">
        <v>0.14000000000000001</v>
      </c>
      <c r="R491" s="45">
        <f>P491*E491/G491^3</f>
        <v>0.24171039844509232</v>
      </c>
      <c r="S491" s="22">
        <f>Q491*E491/G491^3</f>
        <v>2.7210884353741501E-4</v>
      </c>
    </row>
    <row r="492" spans="1:19">
      <c r="A492" s="89" t="s">
        <v>922</v>
      </c>
      <c r="B492" s="83" t="s">
        <v>1219</v>
      </c>
      <c r="C492" s="83"/>
      <c r="D492" s="83">
        <v>0.5</v>
      </c>
      <c r="E492" s="4">
        <v>18</v>
      </c>
      <c r="F492" s="4">
        <v>10</v>
      </c>
      <c r="G492" s="4">
        <v>21</v>
      </c>
      <c r="H492" s="39">
        <v>5.6784999999999997</v>
      </c>
      <c r="I492" s="4">
        <v>5.9999999999999995E-4</v>
      </c>
      <c r="J492" s="4">
        <v>-35.276600000000002</v>
      </c>
      <c r="K492" s="4">
        <v>2.0999999999999999E-3</v>
      </c>
      <c r="L492" s="4">
        <v>3.1E-2</v>
      </c>
      <c r="M492" s="4">
        <v>6.0000000000000001E-3</v>
      </c>
      <c r="N492" s="4">
        <v>-6.1999999999999998E-3</v>
      </c>
      <c r="O492" s="4">
        <v>1E-4</v>
      </c>
      <c r="P492" s="4">
        <v>122.79</v>
      </c>
      <c r="Q492" s="4">
        <v>0.1</v>
      </c>
      <c r="R492" s="4">
        <f t="shared" si="32"/>
        <v>0.2386588921282799</v>
      </c>
      <c r="S492" s="22">
        <f t="shared" si="33"/>
        <v>1.9436345966958212E-4</v>
      </c>
    </row>
    <row r="493" spans="1:19">
      <c r="A493" s="92" t="s">
        <v>922</v>
      </c>
      <c r="B493" s="85" t="s">
        <v>1219</v>
      </c>
      <c r="C493" s="85"/>
      <c r="D493" s="85">
        <v>0.75</v>
      </c>
      <c r="E493" s="4">
        <v>18</v>
      </c>
      <c r="F493" s="4">
        <v>10</v>
      </c>
      <c r="G493" s="4">
        <v>21</v>
      </c>
      <c r="H493" s="29">
        <v>5.0098000000000003</v>
      </c>
      <c r="I493" s="4">
        <v>5.0000000000000001E-4</v>
      </c>
      <c r="J493" s="29">
        <v>-31.646899999999999</v>
      </c>
      <c r="K493" s="4">
        <v>1.4E-3</v>
      </c>
      <c r="L493" s="4">
        <v>4.9000000000000002E-2</v>
      </c>
      <c r="M493" s="4">
        <v>6.0000000000000001E-3</v>
      </c>
      <c r="N493" s="4">
        <v>-7.9000000000000008E-3</v>
      </c>
      <c r="O493" s="4">
        <v>2.0000000000000001E-4</v>
      </c>
      <c r="P493" s="4">
        <v>118.4</v>
      </c>
      <c r="Q493" s="4">
        <v>0.3</v>
      </c>
      <c r="R493" s="29">
        <f t="shared" si="32"/>
        <v>0.23012633624878526</v>
      </c>
      <c r="S493" s="22">
        <f t="shared" si="33"/>
        <v>5.8309037900874635E-4</v>
      </c>
    </row>
    <row r="494" spans="1:19">
      <c r="A494" s="49" t="s">
        <v>922</v>
      </c>
      <c r="B494" s="98" t="s">
        <v>1219</v>
      </c>
      <c r="C494" s="98"/>
      <c r="D494" s="98">
        <v>1</v>
      </c>
      <c r="E494" s="4">
        <v>18</v>
      </c>
      <c r="F494" s="4">
        <v>10</v>
      </c>
      <c r="G494" s="4">
        <v>21</v>
      </c>
      <c r="H494" s="34">
        <v>4.3470000000000004</v>
      </c>
      <c r="I494" s="4">
        <v>1E-3</v>
      </c>
      <c r="J494" s="34">
        <v>-28.430099999999999</v>
      </c>
      <c r="K494" s="4">
        <v>2.8E-3</v>
      </c>
      <c r="L494" s="4">
        <v>9.6000000000000002E-2</v>
      </c>
      <c r="M494" s="4">
        <v>1.2E-2</v>
      </c>
      <c r="N494" s="4">
        <v>-1.11E-2</v>
      </c>
      <c r="O494" s="4">
        <v>2.9999999999999997E-4</v>
      </c>
      <c r="P494" s="4">
        <v>109.47</v>
      </c>
      <c r="Q494" s="4">
        <v>0.24</v>
      </c>
      <c r="R494" s="34">
        <f t="shared" si="32"/>
        <v>0.21276967930029156</v>
      </c>
      <c r="S494" s="22">
        <f t="shared" si="33"/>
        <v>4.6647230320699711E-4</v>
      </c>
    </row>
    <row r="495" spans="1:19">
      <c r="A495" s="44" t="s">
        <v>923</v>
      </c>
      <c r="B495" s="104" t="s">
        <v>1220</v>
      </c>
      <c r="C495" s="104"/>
      <c r="D495" s="104">
        <v>0.25</v>
      </c>
      <c r="E495" s="4">
        <v>18</v>
      </c>
      <c r="F495" s="4">
        <v>10</v>
      </c>
      <c r="G495" s="4">
        <v>21</v>
      </c>
      <c r="H495" s="45">
        <v>6.3114999999999997</v>
      </c>
      <c r="I495" s="4">
        <v>5.9999999999999995E-4</v>
      </c>
      <c r="J495" s="45">
        <v>-39.3354</v>
      </c>
      <c r="K495" s="4">
        <v>2.7000000000000001E-3</v>
      </c>
      <c r="L495" s="4">
        <v>5.0999999999999997E-2</v>
      </c>
      <c r="M495" s="4">
        <v>8.9999999999999993E-3</v>
      </c>
      <c r="N495" s="4">
        <v>-5.7000000000000002E-3</v>
      </c>
      <c r="O495" s="4">
        <v>2.0000000000000001E-4</v>
      </c>
      <c r="P495" s="4">
        <v>123.94</v>
      </c>
      <c r="Q495" s="4">
        <v>0.31</v>
      </c>
      <c r="R495" s="45">
        <f>P495*E495/G495^3</f>
        <v>0.24089407191448009</v>
      </c>
      <c r="S495" s="22">
        <f>Q495*E495/G495^3</f>
        <v>6.0252672497570462E-4</v>
      </c>
    </row>
    <row r="496" spans="1:19">
      <c r="A496" s="23" t="s">
        <v>923</v>
      </c>
      <c r="B496" s="83" t="s">
        <v>1220</v>
      </c>
      <c r="C496" s="83"/>
      <c r="D496" s="83">
        <v>0.5</v>
      </c>
      <c r="E496" s="4">
        <v>18</v>
      </c>
      <c r="F496" s="4">
        <v>10</v>
      </c>
      <c r="G496" s="4">
        <v>21</v>
      </c>
      <c r="H496" s="4">
        <v>5.5941000000000001</v>
      </c>
      <c r="I496" s="4">
        <v>1E-3</v>
      </c>
      <c r="J496" s="4">
        <v>-35.866700000000002</v>
      </c>
      <c r="K496" s="4">
        <v>2.3E-3</v>
      </c>
      <c r="L496" s="4">
        <v>9.6000000000000002E-2</v>
      </c>
      <c r="M496" s="4">
        <v>1.7000000000000001E-2</v>
      </c>
      <c r="N496" s="4">
        <v>-7.4000000000000003E-3</v>
      </c>
      <c r="O496" s="4">
        <v>2.9999999999999997E-4</v>
      </c>
      <c r="P496" s="4">
        <v>119.13</v>
      </c>
      <c r="Q496" s="4">
        <v>0.42</v>
      </c>
      <c r="R496" s="4">
        <f t="shared" si="32"/>
        <v>0.23154518950437319</v>
      </c>
      <c r="S496" s="22">
        <f t="shared" si="33"/>
        <v>8.1632653061224482E-4</v>
      </c>
    </row>
    <row r="497" spans="1:19">
      <c r="A497" s="44" t="s">
        <v>924</v>
      </c>
      <c r="B497" s="104" t="s">
        <v>1221</v>
      </c>
      <c r="C497" s="104"/>
      <c r="D497" s="104">
        <v>0.25</v>
      </c>
      <c r="E497" s="4">
        <v>18</v>
      </c>
      <c r="F497" s="4">
        <v>10</v>
      </c>
      <c r="G497" s="4">
        <v>21</v>
      </c>
      <c r="H497" s="45">
        <v>6.3571999999999997</v>
      </c>
      <c r="I497" s="4">
        <v>2.0000000000000001E-4</v>
      </c>
      <c r="J497" s="45">
        <v>-39.293500000000002</v>
      </c>
      <c r="K497" s="4">
        <v>1.6000000000000001E-3</v>
      </c>
      <c r="L497" s="4">
        <v>3.5000000000000003E-2</v>
      </c>
      <c r="M497" s="4">
        <v>2E-3</v>
      </c>
      <c r="N497" s="4">
        <v>-5.4999999999999997E-3</v>
      </c>
      <c r="O497" s="4">
        <v>1E-4</v>
      </c>
      <c r="P497" s="4">
        <v>123.29</v>
      </c>
      <c r="Q497" s="4">
        <v>0.17</v>
      </c>
      <c r="R497" s="45">
        <f>P497*E497/G497^3</f>
        <v>0.23963070942662781</v>
      </c>
      <c r="S497" s="22">
        <f>Q497*E497/G497^3</f>
        <v>3.304178814382896E-4</v>
      </c>
    </row>
    <row r="498" spans="1:19">
      <c r="A498" s="23" t="s">
        <v>924</v>
      </c>
      <c r="B498" s="83" t="s">
        <v>1221</v>
      </c>
      <c r="C498" s="83"/>
      <c r="D498" s="83">
        <v>0.5</v>
      </c>
      <c r="E498" s="4">
        <v>18</v>
      </c>
      <c r="F498" s="4">
        <v>10</v>
      </c>
      <c r="G498" s="4">
        <v>21</v>
      </c>
      <c r="H498" s="4">
        <v>5.6791</v>
      </c>
      <c r="I498" s="4">
        <v>5.0000000000000001E-4</v>
      </c>
      <c r="J498" s="4">
        <v>-35.891500000000001</v>
      </c>
      <c r="K498" s="4">
        <v>2.3E-3</v>
      </c>
      <c r="L498" s="4">
        <v>9.2999999999999999E-2</v>
      </c>
      <c r="M498" s="4">
        <v>1.7000000000000001E-2</v>
      </c>
      <c r="N498" s="4">
        <v>-8.0999999999999996E-3</v>
      </c>
      <c r="O498" s="4">
        <v>4.0000000000000002E-4</v>
      </c>
      <c r="P498" s="4">
        <v>115.34</v>
      </c>
      <c r="Q498" s="4">
        <v>0.46</v>
      </c>
      <c r="R498" s="4">
        <f t="shared" si="32"/>
        <v>0.224178814382896</v>
      </c>
      <c r="S498" s="22">
        <f t="shared" si="33"/>
        <v>8.940719144800779E-4</v>
      </c>
    </row>
    <row r="499" spans="1:19">
      <c r="A499" s="44" t="s">
        <v>925</v>
      </c>
      <c r="B499" s="104" t="s">
        <v>1222</v>
      </c>
      <c r="C499" s="104"/>
      <c r="D499" s="104">
        <v>0.25</v>
      </c>
      <c r="E499" s="4">
        <v>18</v>
      </c>
      <c r="F499" s="4">
        <v>10</v>
      </c>
      <c r="G499" s="4">
        <v>21</v>
      </c>
      <c r="H499" s="45">
        <v>6.3914</v>
      </c>
      <c r="I499" s="4">
        <v>8.0000000000000004E-4</v>
      </c>
      <c r="J499" s="45">
        <v>-38.986199999999997</v>
      </c>
      <c r="K499" s="4">
        <v>1.5E-3</v>
      </c>
      <c r="L499" s="4">
        <v>2.5000000000000001E-2</v>
      </c>
      <c r="M499" s="4">
        <v>4.0000000000000001E-3</v>
      </c>
      <c r="N499" s="4">
        <v>-5.4000000000000003E-3</v>
      </c>
      <c r="O499" s="4">
        <v>2.0000000000000001E-4</v>
      </c>
      <c r="P499" s="4">
        <v>123.6</v>
      </c>
      <c r="Q499" s="4">
        <v>0.34</v>
      </c>
      <c r="R499" s="45">
        <f>P499*E499/G499^3</f>
        <v>0.24023323615160347</v>
      </c>
      <c r="S499" s="22">
        <f>Q499*E499/G499^3</f>
        <v>6.6083576287657921E-4</v>
      </c>
    </row>
    <row r="500" spans="1:19">
      <c r="A500" s="23" t="s">
        <v>925</v>
      </c>
      <c r="B500" s="83" t="s">
        <v>1222</v>
      </c>
      <c r="C500" s="83"/>
      <c r="D500" s="83">
        <v>0.5</v>
      </c>
      <c r="E500" s="4">
        <v>18</v>
      </c>
      <c r="F500" s="4">
        <v>10</v>
      </c>
      <c r="G500" s="4">
        <v>21</v>
      </c>
      <c r="H500" s="4">
        <v>5.7682000000000002</v>
      </c>
      <c r="I500" s="4">
        <v>8.9999999999999998E-4</v>
      </c>
      <c r="J500" s="4">
        <v>-35.126399999999997</v>
      </c>
      <c r="K500" s="4">
        <v>1.4E-3</v>
      </c>
      <c r="L500" s="4">
        <v>6.3E-2</v>
      </c>
      <c r="M500" s="4">
        <v>1.0999999999999999E-2</v>
      </c>
      <c r="N500" s="4">
        <v>-6.4999999999999997E-3</v>
      </c>
      <c r="O500" s="4">
        <v>1E-4</v>
      </c>
      <c r="P500" s="4">
        <v>119.29</v>
      </c>
      <c r="Q500" s="4">
        <v>0.11</v>
      </c>
      <c r="R500" s="4">
        <f t="shared" si="32"/>
        <v>0.23185617103984454</v>
      </c>
      <c r="S500" s="22">
        <f t="shared" si="33"/>
        <v>2.1379980563654034E-4</v>
      </c>
    </row>
    <row r="501" spans="1:19">
      <c r="A501" s="44" t="s">
        <v>926</v>
      </c>
      <c r="B501" s="104" t="s">
        <v>1223</v>
      </c>
      <c r="C501" s="104"/>
      <c r="D501" s="104">
        <v>0.25</v>
      </c>
      <c r="E501" s="4">
        <v>18</v>
      </c>
      <c r="F501" s="4">
        <v>10</v>
      </c>
      <c r="G501" s="4">
        <v>21</v>
      </c>
      <c r="H501" s="45">
        <v>6.3030999999999997</v>
      </c>
      <c r="I501" s="4">
        <v>6.9999999999999999E-4</v>
      </c>
      <c r="J501" s="45">
        <v>-39.067599999999999</v>
      </c>
      <c r="K501" s="4">
        <v>2.3999999999999998E-3</v>
      </c>
      <c r="L501" s="4">
        <v>4.5999999999999999E-2</v>
      </c>
      <c r="M501" s="4">
        <v>4.0000000000000001E-3</v>
      </c>
      <c r="N501" s="4">
        <v>-5.4000000000000003E-3</v>
      </c>
      <c r="O501" s="4">
        <v>1E-4</v>
      </c>
      <c r="P501" s="4">
        <v>124.24</v>
      </c>
      <c r="Q501" s="4">
        <v>0.18</v>
      </c>
      <c r="R501" s="45">
        <f>P501*E501/G501^3</f>
        <v>0.24147716229348878</v>
      </c>
      <c r="S501" s="22">
        <f>Q501*E501/G501^3</f>
        <v>3.4985422740524776E-4</v>
      </c>
    </row>
    <row r="502" spans="1:19">
      <c r="A502" s="23" t="s">
        <v>926</v>
      </c>
      <c r="B502" s="83" t="s">
        <v>1223</v>
      </c>
      <c r="C502" s="83"/>
      <c r="D502" s="83">
        <v>0.5</v>
      </c>
      <c r="E502" s="4">
        <v>18</v>
      </c>
      <c r="F502" s="4">
        <v>10</v>
      </c>
      <c r="G502" s="4">
        <v>21</v>
      </c>
      <c r="H502" s="4">
        <v>5.5785</v>
      </c>
      <c r="I502" s="4">
        <v>8.0000000000000004E-4</v>
      </c>
      <c r="J502" s="4">
        <v>-35.2699</v>
      </c>
      <c r="K502" s="4">
        <v>3.0000000000000001E-3</v>
      </c>
      <c r="L502" s="4">
        <v>6.5000000000000002E-2</v>
      </c>
      <c r="M502" s="4">
        <v>1.0999999999999999E-2</v>
      </c>
      <c r="N502" s="4">
        <v>-7.3000000000000001E-3</v>
      </c>
      <c r="O502" s="4">
        <v>2.9999999999999997E-4</v>
      </c>
      <c r="P502" s="4">
        <v>119.56</v>
      </c>
      <c r="Q502" s="4">
        <v>0.17</v>
      </c>
      <c r="R502" s="4">
        <f t="shared" si="32"/>
        <v>0.23238095238095238</v>
      </c>
      <c r="S502" s="22">
        <f t="shared" si="33"/>
        <v>3.304178814382896E-4</v>
      </c>
    </row>
    <row r="503" spans="1:19">
      <c r="A503" s="44" t="s">
        <v>927</v>
      </c>
      <c r="B503" s="104" t="s">
        <v>1224</v>
      </c>
      <c r="C503" s="104"/>
      <c r="D503" s="104">
        <v>0.25</v>
      </c>
      <c r="E503" s="4">
        <v>18</v>
      </c>
      <c r="F503" s="4">
        <v>10</v>
      </c>
      <c r="G503" s="4">
        <v>21</v>
      </c>
      <c r="H503" s="45">
        <v>6.4063999999999997</v>
      </c>
      <c r="I503" s="4">
        <v>4.0000000000000002E-4</v>
      </c>
      <c r="J503" s="45">
        <v>-39.115699999999997</v>
      </c>
      <c r="K503" s="4">
        <v>5.9999999999999995E-4</v>
      </c>
      <c r="L503" s="4">
        <v>2.5999999999999999E-2</v>
      </c>
      <c r="M503" s="4">
        <v>6.0000000000000001E-3</v>
      </c>
      <c r="N503" s="4">
        <v>-5.1999999999999998E-3</v>
      </c>
      <c r="O503" s="4">
        <v>2.0000000000000001E-4</v>
      </c>
      <c r="P503" s="4">
        <v>123.77</v>
      </c>
      <c r="Q503" s="4">
        <v>0.18</v>
      </c>
      <c r="R503" s="45">
        <f>P503*E503/G503^3</f>
        <v>0.24056365403304181</v>
      </c>
      <c r="S503" s="22">
        <f>Q503*E503/G503^3</f>
        <v>3.4985422740524776E-4</v>
      </c>
    </row>
    <row r="504" spans="1:19">
      <c r="A504" s="23" t="s">
        <v>927</v>
      </c>
      <c r="B504" s="83" t="s">
        <v>1224</v>
      </c>
      <c r="C504" s="83"/>
      <c r="D504" s="83">
        <v>0.5</v>
      </c>
      <c r="E504" s="4">
        <v>18</v>
      </c>
      <c r="F504" s="4">
        <v>10</v>
      </c>
      <c r="G504" s="4">
        <v>21</v>
      </c>
      <c r="H504" s="4">
        <v>5.7949000000000002</v>
      </c>
      <c r="I504" s="4">
        <v>1E-3</v>
      </c>
      <c r="J504" s="4">
        <v>-35.324300000000001</v>
      </c>
      <c r="K504" s="4">
        <v>1.2999999999999999E-3</v>
      </c>
      <c r="L504" s="4">
        <v>2.3E-2</v>
      </c>
      <c r="M504" s="4">
        <v>4.0000000000000001E-3</v>
      </c>
      <c r="N504" s="4">
        <v>-6.3E-3</v>
      </c>
      <c r="O504" s="4">
        <v>1E-4</v>
      </c>
      <c r="P504" s="4">
        <v>119.9</v>
      </c>
      <c r="Q504" s="4">
        <v>0.17</v>
      </c>
      <c r="R504" s="4">
        <f t="shared" si="32"/>
        <v>0.23304178814382898</v>
      </c>
      <c r="S504" s="22">
        <f t="shared" si="33"/>
        <v>3.304178814382896E-4</v>
      </c>
    </row>
    <row r="505" spans="1:19">
      <c r="A505" s="44" t="s">
        <v>928</v>
      </c>
      <c r="B505" s="104" t="s">
        <v>1225</v>
      </c>
      <c r="C505" s="104"/>
      <c r="D505" s="104">
        <v>0.25</v>
      </c>
      <c r="E505" s="4">
        <v>18</v>
      </c>
      <c r="F505" s="4">
        <v>10</v>
      </c>
      <c r="G505" s="4">
        <v>21</v>
      </c>
      <c r="H505" s="45">
        <v>6.3552999999999997</v>
      </c>
      <c r="I505" s="4">
        <v>1E-3</v>
      </c>
      <c r="J505" s="45">
        <v>-39.147599999999997</v>
      </c>
      <c r="K505" s="4">
        <v>3.2000000000000002E-3</v>
      </c>
      <c r="L505" s="4">
        <v>3.4000000000000002E-2</v>
      </c>
      <c r="M505" s="4">
        <v>1.0999999999999999E-2</v>
      </c>
      <c r="N505" s="4">
        <v>-5.4999999999999997E-3</v>
      </c>
      <c r="O505" s="4">
        <v>2.0000000000000001E-4</v>
      </c>
      <c r="P505" s="4">
        <v>123.35</v>
      </c>
      <c r="Q505" s="4">
        <v>0.05</v>
      </c>
      <c r="R505" s="45">
        <f>P505*E505/G505^3</f>
        <v>0.23974732750242952</v>
      </c>
      <c r="S505" s="22">
        <f>Q505*E505/G505^3</f>
        <v>9.7181729834791062E-5</v>
      </c>
    </row>
    <row r="506" spans="1:19">
      <c r="A506" s="23" t="s">
        <v>928</v>
      </c>
      <c r="B506" s="83" t="s">
        <v>1225</v>
      </c>
      <c r="C506" s="83"/>
      <c r="D506" s="83">
        <v>0.5</v>
      </c>
      <c r="E506" s="4">
        <v>18</v>
      </c>
      <c r="F506" s="4">
        <v>10</v>
      </c>
      <c r="G506" s="4">
        <v>21</v>
      </c>
      <c r="H506" s="4">
        <v>5.6917</v>
      </c>
      <c r="I506" s="4">
        <v>2.9999999999999997E-4</v>
      </c>
      <c r="J506" s="4">
        <v>-35.635800000000003</v>
      </c>
      <c r="K506" s="4">
        <v>8.0000000000000004E-4</v>
      </c>
      <c r="L506" s="4">
        <v>6.2E-2</v>
      </c>
      <c r="M506" s="4">
        <v>8.9999999999999993E-3</v>
      </c>
      <c r="N506" s="4">
        <v>-7.4000000000000003E-3</v>
      </c>
      <c r="O506" s="4">
        <v>2.0000000000000001E-4</v>
      </c>
      <c r="P506" s="4">
        <v>116.6</v>
      </c>
      <c r="Q506" s="4">
        <v>0.28000000000000003</v>
      </c>
      <c r="R506" s="4">
        <f t="shared" si="32"/>
        <v>0.22662779397473273</v>
      </c>
      <c r="S506" s="22">
        <f t="shared" si="33"/>
        <v>5.4421768707483002E-4</v>
      </c>
    </row>
    <row r="507" spans="1:19">
      <c r="A507" s="44" t="s">
        <v>929</v>
      </c>
      <c r="B507" s="104" t="s">
        <v>1226</v>
      </c>
      <c r="C507" s="104"/>
      <c r="D507" s="104">
        <v>0.25</v>
      </c>
      <c r="E507" s="4">
        <v>18</v>
      </c>
      <c r="F507" s="4">
        <v>10</v>
      </c>
      <c r="G507" s="4">
        <v>21</v>
      </c>
      <c r="H507" s="45">
        <v>6.3880999999999997</v>
      </c>
      <c r="I507" s="4">
        <v>8.0000000000000004E-4</v>
      </c>
      <c r="J507" s="45">
        <v>-39.0047</v>
      </c>
      <c r="K507" s="4">
        <v>2E-3</v>
      </c>
      <c r="L507" s="4">
        <v>2.5000000000000001E-2</v>
      </c>
      <c r="M507" s="4">
        <v>2E-3</v>
      </c>
      <c r="N507" s="4">
        <v>-5.1999999999999998E-3</v>
      </c>
      <c r="O507" s="4">
        <v>1E-4</v>
      </c>
      <c r="P507" s="4">
        <v>124.28</v>
      </c>
      <c r="Q507" s="4">
        <v>0.08</v>
      </c>
      <c r="R507" s="45">
        <f>P507*E507/G507^3</f>
        <v>0.24155490767735666</v>
      </c>
      <c r="S507" s="22">
        <f>Q507*E507/G507^3</f>
        <v>1.5549076773566569E-4</v>
      </c>
    </row>
    <row r="508" spans="1:19">
      <c r="A508" s="23" t="s">
        <v>929</v>
      </c>
      <c r="B508" s="83" t="s">
        <v>1226</v>
      </c>
      <c r="C508" s="83"/>
      <c r="D508" s="83">
        <v>0.5</v>
      </c>
      <c r="E508" s="4">
        <v>18</v>
      </c>
      <c r="F508" s="4">
        <v>10</v>
      </c>
      <c r="G508" s="4">
        <v>21</v>
      </c>
      <c r="H508" s="4">
        <v>5.7587999999999999</v>
      </c>
      <c r="I508" s="4">
        <v>6.9999999999999999E-4</v>
      </c>
      <c r="J508" s="4">
        <v>-35.012999999999998</v>
      </c>
      <c r="K508" s="4">
        <v>1.4E-3</v>
      </c>
      <c r="L508" s="4">
        <v>2.1000000000000001E-2</v>
      </c>
      <c r="M508" s="4">
        <v>4.0000000000000001E-3</v>
      </c>
      <c r="N508" s="4">
        <v>-6.0000000000000001E-3</v>
      </c>
      <c r="O508" s="4">
        <v>1E-4</v>
      </c>
      <c r="P508" s="4">
        <v>121.77</v>
      </c>
      <c r="Q508" s="4">
        <v>0.15</v>
      </c>
      <c r="R508" s="4">
        <f t="shared" si="32"/>
        <v>0.23667638483965017</v>
      </c>
      <c r="S508" s="22">
        <f t="shared" si="33"/>
        <v>2.9154518950437317E-4</v>
      </c>
    </row>
    <row r="509" spans="1:19">
      <c r="A509" s="44" t="s">
        <v>930</v>
      </c>
      <c r="B509" s="104" t="s">
        <v>1227</v>
      </c>
      <c r="C509" s="104"/>
      <c r="D509" s="104">
        <v>0.25</v>
      </c>
      <c r="E509" s="4">
        <v>18</v>
      </c>
      <c r="F509" s="4">
        <v>10</v>
      </c>
      <c r="G509" s="4">
        <v>21</v>
      </c>
      <c r="H509" s="45">
        <v>6.3567999999999998</v>
      </c>
      <c r="I509" s="4">
        <v>8.0000000000000004E-4</v>
      </c>
      <c r="J509" s="45">
        <v>-39.2622</v>
      </c>
      <c r="K509" s="4">
        <v>1.5E-3</v>
      </c>
      <c r="L509" s="4">
        <v>2.7E-2</v>
      </c>
      <c r="M509" s="4">
        <v>7.0000000000000001E-3</v>
      </c>
      <c r="N509" s="4">
        <v>-5.1999999999999998E-3</v>
      </c>
      <c r="O509" s="4">
        <v>2.0000000000000001E-4</v>
      </c>
      <c r="P509" s="4">
        <v>124.08</v>
      </c>
      <c r="Q509" s="4">
        <v>0.22</v>
      </c>
      <c r="R509" s="45">
        <f>P509*E509/G509^3</f>
        <v>0.24116618075801749</v>
      </c>
      <c r="S509" s="22">
        <f>Q509*E509/G509^3</f>
        <v>4.2759961127308068E-4</v>
      </c>
    </row>
    <row r="510" spans="1:19">
      <c r="A510" s="23" t="s">
        <v>930</v>
      </c>
      <c r="B510" s="83" t="s">
        <v>1227</v>
      </c>
      <c r="C510" s="83"/>
      <c r="D510" s="83">
        <v>0.5</v>
      </c>
      <c r="E510" s="4">
        <v>18</v>
      </c>
      <c r="F510" s="4">
        <v>10</v>
      </c>
      <c r="G510" s="4">
        <v>21</v>
      </c>
      <c r="H510" s="4">
        <v>5.6858000000000004</v>
      </c>
      <c r="I510" s="4">
        <v>8.9999999999999998E-4</v>
      </c>
      <c r="J510" s="4">
        <v>-35.645099999999999</v>
      </c>
      <c r="K510" s="4">
        <v>1.2999999999999999E-3</v>
      </c>
      <c r="L510" s="4">
        <v>6.2E-2</v>
      </c>
      <c r="M510" s="4">
        <v>1.7000000000000001E-2</v>
      </c>
      <c r="N510" s="4">
        <v>-7.1000000000000004E-3</v>
      </c>
      <c r="O510" s="4">
        <v>2.0000000000000001E-4</v>
      </c>
      <c r="P510" s="4">
        <v>119.44</v>
      </c>
      <c r="Q510" s="4">
        <v>0.34</v>
      </c>
      <c r="R510" s="4">
        <f t="shared" si="32"/>
        <v>0.23214771622934888</v>
      </c>
      <c r="S510" s="22">
        <f t="shared" si="33"/>
        <v>6.6083576287657921E-4</v>
      </c>
    </row>
    <row r="511" spans="1:19">
      <c r="A511" s="44" t="s">
        <v>931</v>
      </c>
      <c r="B511" s="104" t="s">
        <v>1228</v>
      </c>
      <c r="C511" s="104"/>
      <c r="D511" s="104">
        <v>0.25</v>
      </c>
      <c r="E511" s="4">
        <v>18</v>
      </c>
      <c r="F511" s="4">
        <v>10</v>
      </c>
      <c r="G511" s="4">
        <v>21</v>
      </c>
      <c r="H511" s="45">
        <v>6.3578000000000001</v>
      </c>
      <c r="I511" s="4">
        <v>8.0000000000000004E-4</v>
      </c>
      <c r="J511" s="45">
        <v>-39.060299999999998</v>
      </c>
      <c r="K511" s="4">
        <v>1.2999999999999999E-3</v>
      </c>
      <c r="L511" s="4">
        <v>3.4000000000000002E-2</v>
      </c>
      <c r="M511" s="4">
        <v>1E-3</v>
      </c>
      <c r="N511" s="4">
        <v>-5.4000000000000003E-3</v>
      </c>
      <c r="O511" s="4">
        <v>2.9999999999999997E-4</v>
      </c>
      <c r="P511" s="4">
        <v>124.08</v>
      </c>
      <c r="Q511" s="4">
        <v>0.27</v>
      </c>
      <c r="R511" s="45">
        <f>P511*E511/G511^3</f>
        <v>0.24116618075801749</v>
      </c>
      <c r="S511" s="22">
        <f>Q511*E511/G511^3</f>
        <v>5.2478134110787176E-4</v>
      </c>
    </row>
    <row r="512" spans="1:19">
      <c r="A512" s="23" t="s">
        <v>931</v>
      </c>
      <c r="B512" s="83" t="s">
        <v>1228</v>
      </c>
      <c r="C512" s="83"/>
      <c r="D512" s="83">
        <v>0.5</v>
      </c>
      <c r="E512" s="4">
        <v>18</v>
      </c>
      <c r="F512" s="4">
        <v>10</v>
      </c>
      <c r="G512" s="4">
        <v>21</v>
      </c>
      <c r="H512" s="4">
        <v>5.6947999999999999</v>
      </c>
      <c r="I512" s="4">
        <v>5.0000000000000001E-4</v>
      </c>
      <c r="J512" s="4">
        <v>-35.2044</v>
      </c>
      <c r="K512" s="4">
        <v>1.2999999999999999E-3</v>
      </c>
      <c r="L512" s="4">
        <v>4.2000000000000003E-2</v>
      </c>
      <c r="M512" s="4">
        <v>6.0000000000000001E-3</v>
      </c>
      <c r="N512" s="4">
        <v>-6.4999999999999997E-3</v>
      </c>
      <c r="O512" s="4">
        <v>1E-4</v>
      </c>
      <c r="P512" s="4">
        <v>120.49</v>
      </c>
      <c r="Q512" s="4">
        <v>0.26</v>
      </c>
      <c r="R512" s="4">
        <f t="shared" si="32"/>
        <v>0.23418853255587946</v>
      </c>
      <c r="S512" s="22">
        <f t="shared" si="33"/>
        <v>5.0534499514091349E-4</v>
      </c>
    </row>
    <row r="513" spans="1:19">
      <c r="A513" s="44" t="s">
        <v>932</v>
      </c>
      <c r="B513" s="104" t="s">
        <v>1229</v>
      </c>
      <c r="C513" s="104"/>
      <c r="D513" s="104">
        <v>0.25</v>
      </c>
      <c r="E513" s="4">
        <v>18</v>
      </c>
      <c r="F513" s="4">
        <v>10</v>
      </c>
      <c r="G513" s="4">
        <v>21</v>
      </c>
      <c r="H513" s="45">
        <v>6.3823999999999996</v>
      </c>
      <c r="I513" s="4">
        <v>1E-3</v>
      </c>
      <c r="J513" s="45">
        <v>-39.037799999999997</v>
      </c>
      <c r="K513" s="4">
        <v>2.2000000000000001E-3</v>
      </c>
      <c r="L513" s="4">
        <v>0.03</v>
      </c>
      <c r="M513" s="4">
        <v>3.0000000000000001E-3</v>
      </c>
      <c r="N513" s="4">
        <v>-5.3E-3</v>
      </c>
      <c r="O513" s="4">
        <v>2.0000000000000001E-4</v>
      </c>
      <c r="P513" s="4">
        <v>124.13</v>
      </c>
      <c r="Q513" s="4">
        <v>0.34</v>
      </c>
      <c r="R513" s="45">
        <f>P513*E513/G513^3</f>
        <v>0.2412633624878523</v>
      </c>
      <c r="S513" s="22">
        <f>Q513*E513/G513^3</f>
        <v>6.6083576287657921E-4</v>
      </c>
    </row>
    <row r="514" spans="1:19">
      <c r="A514" s="23" t="s">
        <v>932</v>
      </c>
      <c r="B514" s="83" t="s">
        <v>1229</v>
      </c>
      <c r="C514" s="83"/>
      <c r="D514" s="83">
        <v>0.5</v>
      </c>
      <c r="E514" s="4">
        <v>18</v>
      </c>
      <c r="F514" s="4">
        <v>10</v>
      </c>
      <c r="G514" s="4">
        <v>21</v>
      </c>
      <c r="H514" s="4">
        <v>5.7431000000000001</v>
      </c>
      <c r="I514" s="4">
        <v>5.9999999999999995E-4</v>
      </c>
      <c r="J514" s="4">
        <v>-35.098100000000002</v>
      </c>
      <c r="K514" s="4">
        <v>8.0000000000000004E-4</v>
      </c>
      <c r="L514" s="4">
        <v>2.5000000000000001E-2</v>
      </c>
      <c r="M514" s="4">
        <v>5.0000000000000001E-3</v>
      </c>
      <c r="N514" s="4">
        <v>-6.3E-3</v>
      </c>
      <c r="O514" s="4">
        <v>1E-4</v>
      </c>
      <c r="P514" s="4">
        <v>121.3</v>
      </c>
      <c r="Q514" s="4">
        <v>0.1</v>
      </c>
      <c r="R514" s="4">
        <f t="shared" si="32"/>
        <v>0.23576287657920311</v>
      </c>
      <c r="S514" s="22">
        <f t="shared" si="33"/>
        <v>1.9436345966958212E-4</v>
      </c>
    </row>
    <row r="515" spans="1:19">
      <c r="A515" s="44" t="s">
        <v>933</v>
      </c>
      <c r="B515" s="45" t="s">
        <v>1230</v>
      </c>
      <c r="C515" s="45"/>
      <c r="D515" s="104">
        <v>0.25</v>
      </c>
      <c r="E515" s="4">
        <v>18</v>
      </c>
      <c r="F515" s="4">
        <v>10</v>
      </c>
      <c r="G515" s="4">
        <v>21</v>
      </c>
      <c r="H515" s="45">
        <v>6.3212000000000002</v>
      </c>
      <c r="I515" s="4">
        <v>5.0000000000000001E-4</v>
      </c>
      <c r="J515" s="45">
        <v>-39.017200000000003</v>
      </c>
      <c r="K515" s="4">
        <v>1.1999999999999999E-3</v>
      </c>
      <c r="L515" s="4">
        <v>4.5999999999999999E-2</v>
      </c>
      <c r="M515" s="4">
        <v>7.0000000000000001E-3</v>
      </c>
      <c r="N515" s="4">
        <v>-5.3E-3</v>
      </c>
      <c r="O515" s="4">
        <v>2.9999999999999997E-4</v>
      </c>
      <c r="P515" s="4">
        <v>124.24</v>
      </c>
      <c r="Q515" s="4">
        <v>0.33</v>
      </c>
      <c r="R515" s="45">
        <f>P515*E515/G515^3</f>
        <v>0.24147716229348878</v>
      </c>
      <c r="S515" s="22">
        <f>Q515*E515/G515^3</f>
        <v>6.4139941690962105E-4</v>
      </c>
    </row>
    <row r="516" spans="1:19">
      <c r="A516" s="23" t="s">
        <v>933</v>
      </c>
      <c r="B516" s="4" t="s">
        <v>1230</v>
      </c>
      <c r="D516" s="83">
        <v>0.5</v>
      </c>
      <c r="E516" s="4">
        <v>18</v>
      </c>
      <c r="F516" s="4">
        <v>10</v>
      </c>
      <c r="G516" s="4">
        <v>21</v>
      </c>
      <c r="H516" s="4">
        <v>5.6227999999999998</v>
      </c>
      <c r="I516" s="4">
        <v>5.9999999999999995E-4</v>
      </c>
      <c r="J516" s="4">
        <v>-35.138500000000001</v>
      </c>
      <c r="K516" s="4">
        <v>2.5000000000000001E-3</v>
      </c>
      <c r="L516" s="4">
        <v>6.9000000000000006E-2</v>
      </c>
      <c r="M516" s="4">
        <v>6.0000000000000001E-3</v>
      </c>
      <c r="N516" s="4">
        <v>-7.1000000000000004E-3</v>
      </c>
      <c r="O516" s="4">
        <v>2.0000000000000001E-4</v>
      </c>
      <c r="P516" s="4">
        <v>120.18</v>
      </c>
      <c r="Q516" s="4">
        <v>0.22</v>
      </c>
      <c r="R516" s="4">
        <f t="shared" si="32"/>
        <v>0.2335860058309038</v>
      </c>
      <c r="S516" s="22">
        <f t="shared" si="33"/>
        <v>4.2759961127308068E-4</v>
      </c>
    </row>
    <row r="517" spans="1:19">
      <c r="A517" s="44" t="s">
        <v>934</v>
      </c>
      <c r="B517" s="45" t="s">
        <v>1231</v>
      </c>
      <c r="C517" s="45"/>
      <c r="D517" s="104">
        <v>0.25</v>
      </c>
      <c r="E517" s="4">
        <v>18</v>
      </c>
      <c r="F517" s="4">
        <v>10</v>
      </c>
      <c r="G517" s="4">
        <v>21</v>
      </c>
      <c r="H517" s="45">
        <v>6.3261000000000003</v>
      </c>
      <c r="I517" s="4">
        <v>1E-4</v>
      </c>
      <c r="J517" s="45">
        <v>-39.036299999999997</v>
      </c>
      <c r="K517" s="4">
        <v>1.2999999999999999E-3</v>
      </c>
      <c r="L517" s="4">
        <v>3.9E-2</v>
      </c>
      <c r="M517" s="4">
        <v>6.0000000000000001E-3</v>
      </c>
      <c r="N517" s="4">
        <v>-5.4000000000000003E-3</v>
      </c>
      <c r="O517" s="4">
        <v>1E-4</v>
      </c>
      <c r="P517" s="4">
        <v>124.17</v>
      </c>
      <c r="Q517" s="4">
        <v>0.19</v>
      </c>
      <c r="R517" s="45">
        <f>P517*E517/G517^3</f>
        <v>0.24134110787172011</v>
      </c>
      <c r="S517" s="22">
        <f>Q517*E517/G517^3</f>
        <v>3.6929057337220603E-4</v>
      </c>
    </row>
    <row r="518" spans="1:19">
      <c r="A518" s="23" t="s">
        <v>934</v>
      </c>
      <c r="B518" s="4" t="s">
        <v>1231</v>
      </c>
      <c r="D518" s="83">
        <v>0.5</v>
      </c>
      <c r="E518" s="4">
        <v>18</v>
      </c>
      <c r="F518" s="4">
        <v>10</v>
      </c>
      <c r="G518" s="4">
        <v>21</v>
      </c>
      <c r="H518" s="4">
        <v>5.6318999999999999</v>
      </c>
      <c r="I518" s="4">
        <v>5.0000000000000001E-4</v>
      </c>
      <c r="J518" s="4">
        <v>-35.170299999999997</v>
      </c>
      <c r="K518" s="4">
        <v>2E-3</v>
      </c>
      <c r="L518" s="4">
        <v>5.5E-2</v>
      </c>
      <c r="M518" s="4">
        <v>7.0000000000000001E-3</v>
      </c>
      <c r="N518" s="4">
        <v>-6.4999999999999997E-3</v>
      </c>
      <c r="O518" s="4">
        <v>2.9999999999999997E-4</v>
      </c>
      <c r="P518" s="4">
        <v>121.07</v>
      </c>
      <c r="Q518" s="4">
        <v>0.34</v>
      </c>
      <c r="R518" s="4">
        <f t="shared" si="32"/>
        <v>0.23531584062196303</v>
      </c>
      <c r="S518" s="22">
        <f t="shared" si="33"/>
        <v>6.6083576287657921E-4</v>
      </c>
    </row>
    <row r="519" spans="1:19">
      <c r="A519" s="44" t="s">
        <v>935</v>
      </c>
      <c r="B519" s="45" t="s">
        <v>1232</v>
      </c>
      <c r="C519" s="45"/>
      <c r="D519" s="104">
        <v>0.25</v>
      </c>
      <c r="E519" s="4">
        <v>18</v>
      </c>
      <c r="F519" s="4">
        <v>10</v>
      </c>
      <c r="G519" s="4">
        <v>21</v>
      </c>
      <c r="H519" s="45">
        <v>6.2939999999999996</v>
      </c>
      <c r="I519" s="4">
        <v>4.0000000000000002E-4</v>
      </c>
      <c r="J519" s="45">
        <v>-39.396700000000003</v>
      </c>
      <c r="K519" s="4">
        <v>2E-3</v>
      </c>
      <c r="L519" s="4">
        <v>7.5999999999999998E-2</v>
      </c>
      <c r="M519" s="4">
        <v>4.0000000000000001E-3</v>
      </c>
      <c r="N519" s="4">
        <v>-5.5999999999999999E-3</v>
      </c>
      <c r="O519" s="4">
        <v>0</v>
      </c>
      <c r="P519" s="4">
        <v>123.51</v>
      </c>
      <c r="Q519" s="4">
        <v>0.06</v>
      </c>
      <c r="R519" s="45">
        <f>P519*E519/G519^3</f>
        <v>0.2400583090379009</v>
      </c>
      <c r="S519" s="22">
        <f>Q519*E519/G519^3</f>
        <v>1.1661807580174928E-4</v>
      </c>
    </row>
    <row r="520" spans="1:19">
      <c r="A520" s="23" t="s">
        <v>935</v>
      </c>
      <c r="B520" s="4" t="s">
        <v>1232</v>
      </c>
      <c r="D520" s="83">
        <v>0.5</v>
      </c>
      <c r="E520" s="4">
        <v>18</v>
      </c>
      <c r="F520" s="4">
        <v>10</v>
      </c>
      <c r="G520" s="4">
        <v>21</v>
      </c>
      <c r="H520" s="4">
        <v>5.5403000000000002</v>
      </c>
      <c r="I520" s="4">
        <v>8.9999999999999998E-4</v>
      </c>
      <c r="J520" s="4">
        <v>-36.186700000000002</v>
      </c>
      <c r="K520" s="4">
        <v>2E-3</v>
      </c>
      <c r="L520" s="4">
        <v>0.13500000000000001</v>
      </c>
      <c r="M520" s="4">
        <v>7.0000000000000001E-3</v>
      </c>
      <c r="N520" s="4">
        <v>-8.5000000000000006E-3</v>
      </c>
      <c r="O520" s="4">
        <v>1E-4</v>
      </c>
      <c r="P520" s="4">
        <v>115.85</v>
      </c>
      <c r="Q520" s="4">
        <v>0.22</v>
      </c>
      <c r="R520" s="4">
        <f t="shared" si="32"/>
        <v>0.22517006802721085</v>
      </c>
      <c r="S520" s="22">
        <f t="shared" si="33"/>
        <v>4.2759961127308068E-4</v>
      </c>
    </row>
    <row r="521" spans="1:19">
      <c r="A521" s="44" t="s">
        <v>936</v>
      </c>
      <c r="B521" s="45" t="s">
        <v>1233</v>
      </c>
      <c r="C521" s="45"/>
      <c r="D521" s="104">
        <v>0.25</v>
      </c>
      <c r="E521" s="4">
        <v>18</v>
      </c>
      <c r="F521" s="4">
        <v>10</v>
      </c>
      <c r="G521" s="4">
        <v>21</v>
      </c>
      <c r="H521" s="45">
        <v>6.3391000000000002</v>
      </c>
      <c r="I521" s="4">
        <v>5.0000000000000001E-4</v>
      </c>
      <c r="J521" s="45">
        <v>-38.8949</v>
      </c>
      <c r="K521" s="4">
        <v>1.6999999999999999E-3</v>
      </c>
      <c r="L521" s="4">
        <v>4.4999999999999998E-2</v>
      </c>
      <c r="M521" s="4">
        <v>1.2E-2</v>
      </c>
      <c r="N521" s="4">
        <v>-5.4999999999999997E-3</v>
      </c>
      <c r="O521" s="4">
        <v>2.9999999999999997E-4</v>
      </c>
      <c r="P521" s="4">
        <v>123.94</v>
      </c>
      <c r="Q521" s="4">
        <v>0.37</v>
      </c>
      <c r="R521" s="45">
        <f>P521*E521/G521^3</f>
        <v>0.24089407191448009</v>
      </c>
      <c r="S521" s="22">
        <f>Q521*E521/G521^3</f>
        <v>7.1914480077745391E-4</v>
      </c>
    </row>
    <row r="522" spans="1:19">
      <c r="A522" s="23" t="s">
        <v>936</v>
      </c>
      <c r="B522" s="4" t="s">
        <v>1233</v>
      </c>
      <c r="D522" s="83">
        <v>0.5</v>
      </c>
      <c r="E522" s="4">
        <v>18</v>
      </c>
      <c r="F522" s="4">
        <v>10</v>
      </c>
      <c r="G522" s="4">
        <v>21</v>
      </c>
      <c r="H522" s="4">
        <v>5.6576000000000004</v>
      </c>
      <c r="I522" s="4">
        <v>8.9999999999999998E-4</v>
      </c>
      <c r="J522" s="4">
        <v>-34.846400000000003</v>
      </c>
      <c r="K522" s="4">
        <v>1.1999999999999999E-3</v>
      </c>
      <c r="L522" s="4">
        <v>5.8000000000000003E-2</v>
      </c>
      <c r="M522" s="4">
        <v>8.0000000000000002E-3</v>
      </c>
      <c r="N522" s="4">
        <v>-6.4000000000000003E-3</v>
      </c>
      <c r="O522" s="4">
        <v>2.9999999999999997E-4</v>
      </c>
      <c r="P522" s="4">
        <v>121.11</v>
      </c>
      <c r="Q522" s="4">
        <v>0.28999999999999998</v>
      </c>
      <c r="R522" s="4">
        <f t="shared" si="32"/>
        <v>0.23539358600583091</v>
      </c>
      <c r="S522" s="22">
        <f t="shared" si="33"/>
        <v>5.6365403304178808E-4</v>
      </c>
    </row>
    <row r="523" spans="1:19">
      <c r="A523" s="44" t="s">
        <v>937</v>
      </c>
      <c r="B523" s="45" t="s">
        <v>1234</v>
      </c>
      <c r="C523" s="45"/>
      <c r="D523" s="104">
        <v>0.25</v>
      </c>
      <c r="E523" s="4">
        <v>18</v>
      </c>
      <c r="F523" s="4">
        <v>10</v>
      </c>
      <c r="G523" s="4">
        <v>21</v>
      </c>
      <c r="H523" s="45">
        <v>6.3299000000000003</v>
      </c>
      <c r="I523" s="4">
        <v>8.0000000000000004E-4</v>
      </c>
      <c r="J523" s="45">
        <v>-38.907899999999998</v>
      </c>
      <c r="K523" s="4">
        <v>2.5999999999999999E-3</v>
      </c>
      <c r="L523" s="4">
        <v>7.9000000000000001E-2</v>
      </c>
      <c r="M523" s="4">
        <v>1.4999999999999999E-2</v>
      </c>
      <c r="N523" s="4">
        <v>-5.5999999999999999E-3</v>
      </c>
      <c r="O523" s="4">
        <v>2.9999999999999997E-4</v>
      </c>
      <c r="P523" s="4">
        <v>124.05</v>
      </c>
      <c r="Q523" s="4">
        <v>0.32</v>
      </c>
      <c r="R523" s="45">
        <f>P523*E523/G523^3</f>
        <v>0.24110787172011663</v>
      </c>
      <c r="S523" s="22">
        <f>Q523*E523/G523^3</f>
        <v>6.2196307094266278E-4</v>
      </c>
    </row>
    <row r="524" spans="1:19">
      <c r="A524" s="23" t="s">
        <v>937</v>
      </c>
      <c r="B524" s="4" t="s">
        <v>1234</v>
      </c>
      <c r="D524" s="83">
        <v>0.5</v>
      </c>
      <c r="E524" s="4">
        <v>18</v>
      </c>
      <c r="F524" s="4">
        <v>10</v>
      </c>
      <c r="G524" s="4">
        <v>21</v>
      </c>
      <c r="H524" s="4">
        <v>5.6410999999999998</v>
      </c>
      <c r="I524" s="4">
        <v>6.9999999999999999E-4</v>
      </c>
      <c r="J524" s="4">
        <v>-34.8733</v>
      </c>
      <c r="K524" s="4">
        <v>1.9E-3</v>
      </c>
      <c r="L524" s="4">
        <v>6.5000000000000002E-2</v>
      </c>
      <c r="M524" s="4">
        <v>4.1000000000000002E-2</v>
      </c>
      <c r="N524" s="4">
        <v>-6.7000000000000002E-3</v>
      </c>
      <c r="O524" s="4">
        <v>6.9999999999999999E-4</v>
      </c>
      <c r="P524" s="4">
        <v>120.86</v>
      </c>
      <c r="Q524" s="4">
        <v>0.51</v>
      </c>
      <c r="R524" s="4">
        <f t="shared" si="32"/>
        <v>0.23490767735665696</v>
      </c>
      <c r="S524" s="22">
        <f t="shared" si="33"/>
        <v>9.912536443148687E-4</v>
      </c>
    </row>
    <row r="525" spans="1:19">
      <c r="A525" s="44" t="s">
        <v>938</v>
      </c>
      <c r="B525" s="45" t="s">
        <v>1235</v>
      </c>
      <c r="C525" s="45"/>
      <c r="D525" s="104">
        <v>0.25</v>
      </c>
      <c r="E525" s="4">
        <v>18</v>
      </c>
      <c r="F525" s="4">
        <v>10</v>
      </c>
      <c r="G525" s="4">
        <v>21</v>
      </c>
      <c r="H525" s="45">
        <v>6.3048999999999999</v>
      </c>
      <c r="I525" s="4">
        <v>2.0000000000000001E-4</v>
      </c>
      <c r="J525" s="45">
        <v>-39.342500000000001</v>
      </c>
      <c r="K525" s="4">
        <v>8.0000000000000004E-4</v>
      </c>
      <c r="L525" s="4">
        <v>4.2999999999999997E-2</v>
      </c>
      <c r="M525" s="4">
        <v>3.0000000000000001E-3</v>
      </c>
      <c r="N525" s="4">
        <v>-5.5999999999999999E-3</v>
      </c>
      <c r="O525" s="4">
        <v>1E-4</v>
      </c>
      <c r="P525" s="4">
        <v>123.78</v>
      </c>
      <c r="Q525" s="4">
        <v>0.11</v>
      </c>
      <c r="R525" s="45">
        <f>P525*E525/G525^3</f>
        <v>0.24058309037900874</v>
      </c>
      <c r="S525" s="22">
        <f>Q525*E525/G525^3</f>
        <v>2.1379980563654034E-4</v>
      </c>
    </row>
    <row r="526" spans="1:19">
      <c r="A526" s="23" t="s">
        <v>938</v>
      </c>
      <c r="B526" s="4" t="s">
        <v>1235</v>
      </c>
      <c r="D526" s="83">
        <v>0.5</v>
      </c>
      <c r="E526" s="4">
        <v>18</v>
      </c>
      <c r="F526" s="4">
        <v>10</v>
      </c>
      <c r="G526" s="4">
        <v>21</v>
      </c>
      <c r="H526" s="4">
        <v>5.5717999999999996</v>
      </c>
      <c r="I526" s="4">
        <v>4.0000000000000002E-4</v>
      </c>
      <c r="J526" s="4">
        <v>-35.918399999999998</v>
      </c>
      <c r="K526" s="4">
        <v>1.1999999999999999E-3</v>
      </c>
      <c r="L526" s="4">
        <v>9.7000000000000003E-2</v>
      </c>
      <c r="M526" s="4">
        <v>1.0999999999999999E-2</v>
      </c>
      <c r="N526" s="4">
        <v>-7.7999999999999996E-3</v>
      </c>
      <c r="O526" s="4">
        <v>2.0000000000000001E-4</v>
      </c>
      <c r="P526" s="4">
        <v>117.82</v>
      </c>
      <c r="Q526" s="4">
        <v>0.11</v>
      </c>
      <c r="R526" s="4">
        <f t="shared" si="32"/>
        <v>0.22899902818270162</v>
      </c>
      <c r="S526" s="22">
        <f t="shared" si="33"/>
        <v>2.1379980563654034E-4</v>
      </c>
    </row>
    <row r="527" spans="1:19">
      <c r="A527" s="44" t="s">
        <v>939</v>
      </c>
      <c r="B527" s="45" t="s">
        <v>1236</v>
      </c>
      <c r="C527" s="45"/>
      <c r="D527" s="104">
        <v>0.25</v>
      </c>
      <c r="E527" s="4">
        <v>18</v>
      </c>
      <c r="F527" s="4">
        <v>10</v>
      </c>
      <c r="G527" s="4">
        <v>21</v>
      </c>
      <c r="H527" s="45">
        <v>6.3406000000000002</v>
      </c>
      <c r="I527" s="4">
        <v>8.0000000000000004E-4</v>
      </c>
      <c r="J527" s="45">
        <v>-39.1569</v>
      </c>
      <c r="K527" s="4">
        <v>1.6000000000000001E-3</v>
      </c>
      <c r="L527" s="4">
        <v>3.3000000000000002E-2</v>
      </c>
      <c r="M527" s="4">
        <v>5.0000000000000001E-3</v>
      </c>
      <c r="N527" s="4">
        <v>-5.4000000000000003E-3</v>
      </c>
      <c r="O527" s="4">
        <v>2.0000000000000001E-4</v>
      </c>
      <c r="P527" s="4">
        <v>124.19</v>
      </c>
      <c r="Q527" s="4">
        <v>0.24</v>
      </c>
      <c r="R527" s="45">
        <f>P527*E527/G527^3</f>
        <v>0.24137998056365403</v>
      </c>
      <c r="S527" s="22">
        <f>Q527*E527/G527^3</f>
        <v>4.6647230320699711E-4</v>
      </c>
    </row>
    <row r="528" spans="1:19">
      <c r="A528" s="23" t="s">
        <v>939</v>
      </c>
      <c r="B528" s="4" t="s">
        <v>1236</v>
      </c>
      <c r="D528" s="83">
        <v>0.5</v>
      </c>
      <c r="E528" s="4">
        <v>18</v>
      </c>
      <c r="F528" s="4">
        <v>10</v>
      </c>
      <c r="G528" s="4">
        <v>21</v>
      </c>
      <c r="H528" s="4">
        <v>5.6561000000000003</v>
      </c>
      <c r="I528" s="4">
        <v>5.0000000000000001E-4</v>
      </c>
      <c r="J528" s="4">
        <v>-35.3474</v>
      </c>
      <c r="K528" s="4">
        <v>3.3999999999999998E-3</v>
      </c>
      <c r="L528" s="4">
        <v>7.0999999999999994E-2</v>
      </c>
      <c r="M528" s="4">
        <v>0.02</v>
      </c>
      <c r="N528" s="4">
        <v>-6.7000000000000002E-3</v>
      </c>
      <c r="O528" s="4">
        <v>5.9999999999999995E-4</v>
      </c>
      <c r="P528" s="4">
        <v>121.46</v>
      </c>
      <c r="Q528" s="4">
        <v>0.85</v>
      </c>
      <c r="R528" s="4">
        <f t="shared" si="32"/>
        <v>0.23607385811467441</v>
      </c>
      <c r="S528" s="22">
        <f t="shared" si="33"/>
        <v>1.6520894071914479E-3</v>
      </c>
    </row>
    <row r="529" spans="1:19">
      <c r="A529" s="44" t="s">
        <v>940</v>
      </c>
      <c r="B529" s="45" t="s">
        <v>1237</v>
      </c>
      <c r="C529" s="45"/>
      <c r="D529" s="104">
        <v>0.25</v>
      </c>
      <c r="E529" s="4">
        <v>18</v>
      </c>
      <c r="F529" s="4">
        <v>10</v>
      </c>
      <c r="G529" s="4">
        <v>21</v>
      </c>
      <c r="H529" s="45">
        <v>6.3299000000000003</v>
      </c>
      <c r="I529" s="4">
        <v>2.9999999999999997E-4</v>
      </c>
      <c r="J529" s="45">
        <v>-39.014699999999998</v>
      </c>
      <c r="K529" s="4">
        <v>5.0000000000000001E-4</v>
      </c>
      <c r="L529" s="4">
        <v>3.5000000000000003E-2</v>
      </c>
      <c r="M529" s="4">
        <v>1.2E-2</v>
      </c>
      <c r="N529" s="4">
        <v>-5.3E-3</v>
      </c>
      <c r="O529" s="4">
        <v>2.0000000000000001E-4</v>
      </c>
      <c r="P529" s="4">
        <v>124.25</v>
      </c>
      <c r="Q529" s="4">
        <v>0.1</v>
      </c>
      <c r="R529" s="45">
        <f>P529*E529/G529^3</f>
        <v>0.24149659863945577</v>
      </c>
      <c r="S529" s="22">
        <f>Q529*E529/G529^3</f>
        <v>1.9436345966958212E-4</v>
      </c>
    </row>
    <row r="530" spans="1:19">
      <c r="A530" s="23" t="s">
        <v>940</v>
      </c>
      <c r="B530" s="4" t="s">
        <v>1237</v>
      </c>
      <c r="D530" s="83">
        <v>0.5</v>
      </c>
      <c r="E530" s="4">
        <v>18</v>
      </c>
      <c r="F530" s="4">
        <v>10</v>
      </c>
      <c r="G530" s="4">
        <v>21</v>
      </c>
      <c r="H530" s="4">
        <v>5.6398000000000001</v>
      </c>
      <c r="I530" s="4">
        <v>8.9999999999999998E-4</v>
      </c>
      <c r="J530" s="4">
        <v>-35.048499999999997</v>
      </c>
      <c r="K530" s="4">
        <v>1.4E-3</v>
      </c>
      <c r="L530" s="4">
        <v>4.2999999999999997E-2</v>
      </c>
      <c r="M530" s="4">
        <v>1.4999999999999999E-2</v>
      </c>
      <c r="N530" s="4">
        <v>-6.4000000000000003E-3</v>
      </c>
      <c r="O530" s="4">
        <v>2.9999999999999997E-4</v>
      </c>
      <c r="P530" s="4">
        <v>122.02</v>
      </c>
      <c r="Q530" s="4">
        <v>0.24</v>
      </c>
      <c r="R530" s="4">
        <f t="shared" si="32"/>
        <v>0.23716229348882412</v>
      </c>
      <c r="S530" s="22">
        <f t="shared" si="33"/>
        <v>4.6647230320699711E-4</v>
      </c>
    </row>
    <row r="531" spans="1:19">
      <c r="A531" s="44" t="s">
        <v>941</v>
      </c>
      <c r="B531" s="45" t="s">
        <v>1238</v>
      </c>
      <c r="C531" s="45"/>
      <c r="D531" s="104">
        <v>0.25</v>
      </c>
      <c r="E531" s="4">
        <v>18</v>
      </c>
      <c r="F531" s="4">
        <v>10</v>
      </c>
      <c r="G531" s="4">
        <v>21</v>
      </c>
      <c r="H531" s="45">
        <v>6.3192000000000004</v>
      </c>
      <c r="I531" s="4">
        <v>5.0000000000000001E-4</v>
      </c>
      <c r="J531" s="45">
        <v>-39.296100000000003</v>
      </c>
      <c r="K531" s="4">
        <v>1.4E-3</v>
      </c>
      <c r="L531" s="4">
        <v>3.7999999999999999E-2</v>
      </c>
      <c r="M531" s="4">
        <v>3.0000000000000001E-3</v>
      </c>
      <c r="N531" s="4">
        <v>-5.4999999999999997E-3</v>
      </c>
      <c r="O531" s="4">
        <v>1E-4</v>
      </c>
      <c r="P531" s="4">
        <v>123.91</v>
      </c>
      <c r="Q531" s="4">
        <v>0.11</v>
      </c>
      <c r="R531" s="45">
        <f>P531*E531/G531^3</f>
        <v>0.24083576287657921</v>
      </c>
      <c r="S531" s="22">
        <f>Q531*E531/G531^3</f>
        <v>2.1379980563654034E-4</v>
      </c>
    </row>
    <row r="532" spans="1:19">
      <c r="A532" s="23" t="s">
        <v>941</v>
      </c>
      <c r="B532" s="4" t="s">
        <v>1238</v>
      </c>
      <c r="D532" s="83">
        <v>0.5</v>
      </c>
      <c r="E532" s="4">
        <v>18</v>
      </c>
      <c r="F532" s="4">
        <v>10</v>
      </c>
      <c r="G532" s="4">
        <v>21</v>
      </c>
      <c r="H532" s="4">
        <v>5.6059999999999999</v>
      </c>
      <c r="I532" s="4">
        <v>8.0000000000000004E-4</v>
      </c>
      <c r="J532" s="4">
        <v>-35.804200000000002</v>
      </c>
      <c r="K532" s="4">
        <v>8.9999999999999998E-4</v>
      </c>
      <c r="L532" s="4">
        <v>7.8E-2</v>
      </c>
      <c r="M532" s="4">
        <v>8.9999999999999993E-3</v>
      </c>
      <c r="N532" s="4">
        <v>-7.7000000000000002E-3</v>
      </c>
      <c r="O532" s="4">
        <v>2.0000000000000001E-4</v>
      </c>
      <c r="P532" s="4">
        <v>118.11</v>
      </c>
      <c r="Q532" s="4">
        <v>0.3</v>
      </c>
      <c r="R532" s="4">
        <f t="shared" si="32"/>
        <v>0.22956268221574344</v>
      </c>
      <c r="S532" s="22">
        <f t="shared" si="33"/>
        <v>5.8309037900874635E-4</v>
      </c>
    </row>
    <row r="533" spans="1:19">
      <c r="A533" s="44" t="s">
        <v>942</v>
      </c>
      <c r="B533" s="45" t="s">
        <v>1239</v>
      </c>
      <c r="C533" s="45"/>
      <c r="D533" s="104">
        <v>0.25</v>
      </c>
      <c r="E533" s="4">
        <v>18</v>
      </c>
      <c r="F533" s="4">
        <v>10</v>
      </c>
      <c r="G533" s="4">
        <v>21</v>
      </c>
      <c r="H533" s="45">
        <v>6.3815</v>
      </c>
      <c r="I533" s="4">
        <v>4.0000000000000002E-4</v>
      </c>
      <c r="J533" s="45">
        <v>-39.115499999999997</v>
      </c>
      <c r="K533" s="4">
        <v>2.3999999999999998E-3</v>
      </c>
      <c r="L533" s="4">
        <v>2.5999999999999999E-2</v>
      </c>
      <c r="M533" s="4">
        <v>7.0000000000000001E-3</v>
      </c>
      <c r="N533" s="4">
        <v>-5.4000000000000003E-3</v>
      </c>
      <c r="O533" s="4">
        <v>1E-4</v>
      </c>
      <c r="P533" s="4">
        <v>124.02</v>
      </c>
      <c r="Q533" s="4">
        <v>0.25</v>
      </c>
      <c r="R533" s="45">
        <f>P533*E533/G533^3</f>
        <v>0.24104956268221575</v>
      </c>
      <c r="S533" s="22">
        <f>Q533*E533/G533^3</f>
        <v>4.8590864917395527E-4</v>
      </c>
    </row>
    <row r="534" spans="1:19">
      <c r="A534" s="23" t="s">
        <v>942</v>
      </c>
      <c r="B534" s="4" t="s">
        <v>1239</v>
      </c>
      <c r="D534" s="83">
        <v>0.5</v>
      </c>
      <c r="E534" s="4">
        <v>18</v>
      </c>
      <c r="F534" s="4">
        <v>10</v>
      </c>
      <c r="G534" s="4">
        <v>21</v>
      </c>
      <c r="H534" s="4">
        <v>5.7442000000000002</v>
      </c>
      <c r="I534" s="4">
        <v>2.0000000000000001E-4</v>
      </c>
      <c r="J534" s="4">
        <v>-35.275599999999997</v>
      </c>
      <c r="K534" s="4">
        <v>6.9999999999999999E-4</v>
      </c>
      <c r="L534" s="4">
        <v>3.5999999999999997E-2</v>
      </c>
      <c r="M534" s="4">
        <v>1.4E-2</v>
      </c>
      <c r="N534" s="4">
        <v>-6.1999999999999998E-3</v>
      </c>
      <c r="O534" s="4">
        <v>2.0000000000000001E-4</v>
      </c>
      <c r="P534" s="4">
        <v>121.1</v>
      </c>
      <c r="Q534" s="4">
        <v>0.05</v>
      </c>
      <c r="R534" s="4">
        <f t="shared" si="32"/>
        <v>0.23537414965986392</v>
      </c>
      <c r="S534" s="22">
        <f t="shared" si="33"/>
        <v>9.7181729834791062E-5</v>
      </c>
    </row>
    <row r="535" spans="1:19">
      <c r="A535" s="44" t="s">
        <v>943</v>
      </c>
      <c r="B535" s="45" t="s">
        <v>1240</v>
      </c>
      <c r="C535" s="45"/>
      <c r="D535" s="104">
        <v>0.25</v>
      </c>
      <c r="E535" s="4">
        <v>18</v>
      </c>
      <c r="F535" s="4">
        <v>10</v>
      </c>
      <c r="G535" s="4">
        <v>21</v>
      </c>
      <c r="H535" s="45">
        <v>6.3933999999999997</v>
      </c>
      <c r="I535" s="4">
        <v>1E-3</v>
      </c>
      <c r="J535" s="45">
        <v>-39.029400000000003</v>
      </c>
      <c r="K535" s="4">
        <v>4.0000000000000002E-4</v>
      </c>
      <c r="L535" s="4">
        <v>2.5000000000000001E-2</v>
      </c>
      <c r="M535" s="4">
        <v>6.0000000000000001E-3</v>
      </c>
      <c r="N535" s="4">
        <v>-5.1999999999999998E-3</v>
      </c>
      <c r="O535" s="4">
        <v>1E-4</v>
      </c>
      <c r="P535" s="4">
        <v>123.87</v>
      </c>
      <c r="Q535" s="4">
        <v>0.13</v>
      </c>
      <c r="R535" s="45">
        <f>P535*E535/G535^3</f>
        <v>0.24075801749271136</v>
      </c>
      <c r="S535" s="22">
        <f>Q535*E535/G535^3</f>
        <v>2.5267249757045674E-4</v>
      </c>
    </row>
    <row r="536" spans="1:19">
      <c r="A536" s="23" t="s">
        <v>943</v>
      </c>
      <c r="B536" s="4" t="s">
        <v>1240</v>
      </c>
      <c r="D536" s="83">
        <v>0.5</v>
      </c>
      <c r="E536" s="4">
        <v>18</v>
      </c>
      <c r="F536" s="4">
        <v>10</v>
      </c>
      <c r="G536" s="4">
        <v>21</v>
      </c>
      <c r="H536" s="4">
        <v>5.7721</v>
      </c>
      <c r="I536" s="4">
        <v>5.9999999999999995E-4</v>
      </c>
      <c r="J536" s="4">
        <v>-35.159300000000002</v>
      </c>
      <c r="K536" s="4">
        <v>1.2999999999999999E-3</v>
      </c>
      <c r="L536" s="4">
        <v>2.8000000000000001E-2</v>
      </c>
      <c r="M536" s="4">
        <v>6.0000000000000001E-3</v>
      </c>
      <c r="N536" s="4">
        <v>-6.4000000000000003E-3</v>
      </c>
      <c r="O536" s="4">
        <v>1E-4</v>
      </c>
      <c r="P536" s="4">
        <v>119.96</v>
      </c>
      <c r="Q536" s="4">
        <v>0.12</v>
      </c>
      <c r="R536" s="4">
        <f t="shared" si="32"/>
        <v>0.23315840621963069</v>
      </c>
      <c r="S536" s="22">
        <f t="shared" si="33"/>
        <v>2.3323615160349855E-4</v>
      </c>
    </row>
    <row r="537" spans="1:19">
      <c r="A537" s="44" t="s">
        <v>944</v>
      </c>
      <c r="B537" s="45" t="s">
        <v>1241</v>
      </c>
      <c r="C537" s="45"/>
      <c r="D537" s="104">
        <v>0.25</v>
      </c>
      <c r="E537" s="4">
        <v>18</v>
      </c>
      <c r="F537" s="4">
        <v>10</v>
      </c>
      <c r="G537" s="4">
        <v>21</v>
      </c>
      <c r="H537" s="45">
        <v>6.3045999999999998</v>
      </c>
      <c r="I537" s="4">
        <v>8.9999999999999998E-4</v>
      </c>
      <c r="J537" s="45">
        <v>-39.126399999999997</v>
      </c>
      <c r="K537" s="4">
        <v>2E-3</v>
      </c>
      <c r="L537" s="4">
        <v>3.9E-2</v>
      </c>
      <c r="M537" s="4">
        <v>5.0000000000000001E-3</v>
      </c>
      <c r="N537" s="4">
        <v>-5.4000000000000003E-3</v>
      </c>
      <c r="O537" s="4">
        <v>2.0000000000000001E-4</v>
      </c>
      <c r="P537" s="4">
        <v>124.05</v>
      </c>
      <c r="Q537" s="4">
        <v>0.2</v>
      </c>
      <c r="R537" s="45">
        <f>P537*E537/G537^3</f>
        <v>0.24110787172011663</v>
      </c>
      <c r="S537" s="22">
        <f>Q537*E537/G537^3</f>
        <v>3.8872691933916425E-4</v>
      </c>
    </row>
    <row r="538" spans="1:19">
      <c r="A538" s="23" t="s">
        <v>944</v>
      </c>
      <c r="B538" s="4" t="s">
        <v>1241</v>
      </c>
      <c r="D538" s="83">
        <v>0.5</v>
      </c>
      <c r="E538" s="4">
        <v>18</v>
      </c>
      <c r="F538" s="4">
        <v>10</v>
      </c>
      <c r="G538" s="4">
        <v>21</v>
      </c>
      <c r="H538" s="4">
        <v>5.5777000000000001</v>
      </c>
      <c r="I538" s="4">
        <v>5.9999999999999995E-4</v>
      </c>
      <c r="J538" s="4">
        <v>-35.421399999999998</v>
      </c>
      <c r="K538" s="4">
        <v>1.4E-3</v>
      </c>
      <c r="L538" s="4">
        <v>0.1</v>
      </c>
      <c r="M538" s="4">
        <v>4.0000000000000001E-3</v>
      </c>
      <c r="N538" s="4">
        <v>-7.1999999999999998E-3</v>
      </c>
      <c r="O538" s="4">
        <v>2.0000000000000001E-4</v>
      </c>
      <c r="P538" s="4">
        <v>119.79</v>
      </c>
      <c r="Q538" s="4">
        <v>0.14000000000000001</v>
      </c>
      <c r="R538" s="4">
        <f t="shared" si="32"/>
        <v>0.23282798833819246</v>
      </c>
      <c r="S538" s="22">
        <f t="shared" si="33"/>
        <v>2.7210884353741501E-4</v>
      </c>
    </row>
    <row r="539" spans="1:19">
      <c r="A539" s="44" t="s">
        <v>945</v>
      </c>
      <c r="B539" s="45" t="s">
        <v>1242</v>
      </c>
      <c r="C539" s="45"/>
      <c r="D539" s="104">
        <v>0.25</v>
      </c>
      <c r="E539" s="4">
        <v>18</v>
      </c>
      <c r="F539" s="4">
        <v>10</v>
      </c>
      <c r="G539" s="4">
        <v>21</v>
      </c>
      <c r="H539" s="45">
        <v>6.3516000000000004</v>
      </c>
      <c r="I539" s="4">
        <v>8.9999999999999998E-4</v>
      </c>
      <c r="J539" s="45">
        <v>-39.229799999999997</v>
      </c>
      <c r="K539" s="4">
        <v>1.9E-3</v>
      </c>
      <c r="L539" s="4">
        <v>3.5999999999999997E-2</v>
      </c>
      <c r="M539" s="4">
        <v>3.0000000000000001E-3</v>
      </c>
      <c r="N539" s="4">
        <v>-5.4999999999999997E-3</v>
      </c>
      <c r="O539" s="4">
        <v>2.0000000000000001E-4</v>
      </c>
      <c r="P539" s="4">
        <v>122.92</v>
      </c>
      <c r="Q539" s="4">
        <v>0.2</v>
      </c>
      <c r="R539" s="45">
        <f>P539*E539/G539^3</f>
        <v>0.23891156462585034</v>
      </c>
      <c r="S539" s="22">
        <f>Q539*E539/G539^3</f>
        <v>3.8872691933916425E-4</v>
      </c>
    </row>
    <row r="540" spans="1:19">
      <c r="A540" s="23" t="s">
        <v>945</v>
      </c>
      <c r="B540" s="4" t="s">
        <v>1242</v>
      </c>
      <c r="D540" s="83">
        <v>0.5</v>
      </c>
      <c r="E540" s="4">
        <v>18</v>
      </c>
      <c r="F540" s="4">
        <v>10</v>
      </c>
      <c r="G540" s="4">
        <v>21</v>
      </c>
      <c r="H540" s="4">
        <v>5.6622000000000003</v>
      </c>
      <c r="I540" s="4">
        <v>5.0000000000000001E-4</v>
      </c>
      <c r="J540" s="4">
        <v>-35.856499999999997</v>
      </c>
      <c r="K540" s="4">
        <v>1E-3</v>
      </c>
      <c r="L540" s="4">
        <v>0.11600000000000001</v>
      </c>
      <c r="M540" s="4">
        <v>1.2E-2</v>
      </c>
      <c r="N540" s="4">
        <v>-8.6999999999999994E-3</v>
      </c>
      <c r="O540" s="4">
        <v>2.9999999999999997E-4</v>
      </c>
      <c r="P540" s="4">
        <v>112.93</v>
      </c>
      <c r="Q540" s="4">
        <v>0.47</v>
      </c>
      <c r="R540" s="4">
        <f t="shared" si="32"/>
        <v>0.21949465500485912</v>
      </c>
      <c r="S540" s="22">
        <f t="shared" si="33"/>
        <v>9.1350826044703584E-4</v>
      </c>
    </row>
    <row r="541" spans="1:19">
      <c r="A541" s="44" t="s">
        <v>946</v>
      </c>
      <c r="B541" s="45" t="s">
        <v>1243</v>
      </c>
      <c r="C541" s="45"/>
      <c r="D541" s="104">
        <v>0.25</v>
      </c>
      <c r="E541" s="4">
        <v>18</v>
      </c>
      <c r="F541" s="4">
        <v>10</v>
      </c>
      <c r="G541" s="4">
        <v>21</v>
      </c>
      <c r="H541" s="45">
        <v>6.2935999999999996</v>
      </c>
      <c r="I541" s="4">
        <v>6.9999999999999999E-4</v>
      </c>
      <c r="J541" s="45">
        <v>-39.036700000000003</v>
      </c>
      <c r="K541" s="4">
        <v>2.0999999999999999E-3</v>
      </c>
      <c r="L541" s="4">
        <v>4.4999999999999998E-2</v>
      </c>
      <c r="M541" s="4">
        <v>5.0000000000000001E-3</v>
      </c>
      <c r="N541" s="4">
        <v>-5.4000000000000003E-3</v>
      </c>
      <c r="O541" s="4">
        <v>2.0000000000000001E-4</v>
      </c>
      <c r="P541" s="4">
        <v>124.06</v>
      </c>
      <c r="Q541" s="4">
        <v>0.14000000000000001</v>
      </c>
      <c r="R541" s="45">
        <f>P541*E541/G541^3</f>
        <v>0.24112730806608357</v>
      </c>
      <c r="S541" s="22">
        <f>Q541*E541/G541^3</f>
        <v>2.7210884353741501E-4</v>
      </c>
    </row>
    <row r="542" spans="1:19">
      <c r="A542" s="23" t="s">
        <v>946</v>
      </c>
      <c r="B542" s="4" t="s">
        <v>1243</v>
      </c>
      <c r="D542" s="83">
        <v>0.5</v>
      </c>
      <c r="E542" s="4">
        <v>18</v>
      </c>
      <c r="F542" s="4">
        <v>10</v>
      </c>
      <c r="G542" s="4">
        <v>21</v>
      </c>
      <c r="H542" s="4">
        <v>5.5553999999999997</v>
      </c>
      <c r="I542" s="4">
        <v>5.9999999999999995E-4</v>
      </c>
      <c r="J542" s="4">
        <v>-35.276200000000003</v>
      </c>
      <c r="K542" s="4">
        <v>1.2999999999999999E-3</v>
      </c>
      <c r="L542" s="4">
        <v>0.104</v>
      </c>
      <c r="M542" s="4">
        <v>1.7000000000000001E-2</v>
      </c>
      <c r="N542" s="4">
        <v>-7.7000000000000002E-3</v>
      </c>
      <c r="O542" s="4">
        <v>2.0000000000000001E-4</v>
      </c>
      <c r="P542" s="4">
        <v>118.75</v>
      </c>
      <c r="Q542" s="4">
        <v>0.22</v>
      </c>
      <c r="R542" s="4">
        <f t="shared" si="32"/>
        <v>0.23080660835762876</v>
      </c>
      <c r="S542" s="22">
        <f t="shared" si="33"/>
        <v>4.2759961127308068E-4</v>
      </c>
    </row>
    <row r="543" spans="1:19">
      <c r="A543" s="44" t="s">
        <v>947</v>
      </c>
      <c r="B543" s="45" t="s">
        <v>1244</v>
      </c>
      <c r="C543" s="45"/>
      <c r="D543" s="104">
        <v>0.25</v>
      </c>
      <c r="E543" s="4">
        <v>18</v>
      </c>
      <c r="F543" s="4">
        <v>10</v>
      </c>
      <c r="G543" s="4">
        <v>21</v>
      </c>
      <c r="H543" s="45">
        <v>6.266</v>
      </c>
      <c r="I543" s="4">
        <v>2.9999999999999997E-4</v>
      </c>
      <c r="J543" s="45">
        <v>-39.375</v>
      </c>
      <c r="K543" s="4">
        <v>1.8E-3</v>
      </c>
      <c r="L543" s="4">
        <v>5.3999999999999999E-2</v>
      </c>
      <c r="M543" s="4">
        <v>1.0999999999999999E-2</v>
      </c>
      <c r="N543" s="4">
        <v>-5.4999999999999997E-3</v>
      </c>
      <c r="O543" s="4">
        <v>1E-4</v>
      </c>
      <c r="P543" s="4">
        <v>124.07</v>
      </c>
      <c r="Q543" s="4">
        <v>0.24</v>
      </c>
      <c r="R543" s="45">
        <f>P543*E543/G543^3</f>
        <v>0.2411467444120505</v>
      </c>
      <c r="S543" s="22">
        <f>Q543*E543/G543^3</f>
        <v>4.6647230320699711E-4</v>
      </c>
    </row>
    <row r="544" spans="1:19">
      <c r="A544" s="23" t="s">
        <v>947</v>
      </c>
      <c r="B544" s="4" t="s">
        <v>1244</v>
      </c>
      <c r="D544" s="83">
        <v>0.5</v>
      </c>
      <c r="E544" s="4">
        <v>18</v>
      </c>
      <c r="F544" s="4">
        <v>10</v>
      </c>
      <c r="G544" s="4">
        <v>21</v>
      </c>
      <c r="H544" s="4">
        <v>5.4832000000000001</v>
      </c>
      <c r="I544" s="4">
        <v>2.0000000000000001E-4</v>
      </c>
      <c r="J544" s="4">
        <v>-36.086300000000001</v>
      </c>
      <c r="K544" s="4">
        <v>1.5E-3</v>
      </c>
      <c r="L544" s="4">
        <v>0.14899999999999999</v>
      </c>
      <c r="M544" s="4">
        <v>1.6E-2</v>
      </c>
      <c r="N544" s="4">
        <v>-8.5000000000000006E-3</v>
      </c>
      <c r="O544" s="4">
        <v>1E-4</v>
      </c>
      <c r="P544" s="4">
        <v>116.67</v>
      </c>
      <c r="Q544" s="4">
        <v>0.17</v>
      </c>
      <c r="R544" s="4">
        <f t="shared" si="32"/>
        <v>0.22676384839650146</v>
      </c>
      <c r="S544" s="22">
        <f t="shared" si="33"/>
        <v>3.304178814382896E-4</v>
      </c>
    </row>
    <row r="545" spans="1:19">
      <c r="A545" s="44" t="s">
        <v>948</v>
      </c>
      <c r="B545" s="45" t="s">
        <v>1245</v>
      </c>
      <c r="C545" s="45"/>
      <c r="D545" s="104">
        <v>0.25</v>
      </c>
      <c r="E545" s="4">
        <v>18</v>
      </c>
      <c r="F545" s="4">
        <v>10</v>
      </c>
      <c r="G545" s="4">
        <v>21</v>
      </c>
      <c r="H545" s="45">
        <v>6.3310000000000004</v>
      </c>
      <c r="I545" s="4">
        <v>2.9999999999999997E-4</v>
      </c>
      <c r="J545" s="45">
        <v>-39.1753</v>
      </c>
      <c r="K545" s="4">
        <v>1.4E-3</v>
      </c>
      <c r="L545" s="4">
        <v>3.7999999999999999E-2</v>
      </c>
      <c r="M545" s="4">
        <v>4.0000000000000001E-3</v>
      </c>
      <c r="N545" s="4">
        <v>-5.1999999999999998E-3</v>
      </c>
      <c r="O545" s="4">
        <v>1E-4</v>
      </c>
      <c r="P545" s="4">
        <v>124.55</v>
      </c>
      <c r="Q545" s="4">
        <v>0.14000000000000001</v>
      </c>
      <c r="R545" s="45">
        <f>P545*E545/G545^3</f>
        <v>0.24207968901846455</v>
      </c>
      <c r="S545" s="22">
        <f>Q545*E545/G545^3</f>
        <v>2.7210884353741501E-4</v>
      </c>
    </row>
    <row r="546" spans="1:19">
      <c r="A546" s="23" t="s">
        <v>948</v>
      </c>
      <c r="B546" s="4" t="s">
        <v>1245</v>
      </c>
      <c r="D546" s="83">
        <v>0.5</v>
      </c>
      <c r="E546" s="4">
        <v>18</v>
      </c>
      <c r="F546" s="4">
        <v>10</v>
      </c>
      <c r="G546" s="4">
        <v>21</v>
      </c>
      <c r="H546" s="4">
        <v>5.6375000000000002</v>
      </c>
      <c r="I546" s="4">
        <v>5.0000000000000001E-4</v>
      </c>
      <c r="J546" s="4">
        <v>-35.3797</v>
      </c>
      <c r="K546" s="4">
        <v>2.0999999999999999E-3</v>
      </c>
      <c r="L546" s="4">
        <v>6.5000000000000002E-2</v>
      </c>
      <c r="M546" s="4">
        <v>1.7999999999999999E-2</v>
      </c>
      <c r="N546" s="4">
        <v>-6.4000000000000003E-3</v>
      </c>
      <c r="O546" s="4">
        <v>1E-4</v>
      </c>
      <c r="P546" s="4">
        <v>122.12</v>
      </c>
      <c r="Q546" s="4">
        <v>0.27</v>
      </c>
      <c r="R546" s="4">
        <f t="shared" si="32"/>
        <v>0.23735665694849367</v>
      </c>
      <c r="S546" s="22">
        <f t="shared" si="33"/>
        <v>5.2478134110787176E-4</v>
      </c>
    </row>
    <row r="547" spans="1:19">
      <c r="A547" s="44" t="s">
        <v>949</v>
      </c>
      <c r="B547" s="45" t="s">
        <v>1246</v>
      </c>
      <c r="C547" s="45"/>
      <c r="D547" s="104">
        <v>0.25</v>
      </c>
      <c r="E547" s="4">
        <v>18</v>
      </c>
      <c r="F547" s="4">
        <v>10</v>
      </c>
      <c r="G547" s="4">
        <v>21</v>
      </c>
      <c r="H547" s="45">
        <v>6.3540999999999999</v>
      </c>
      <c r="I547" s="4">
        <v>8.0000000000000004E-4</v>
      </c>
      <c r="J547" s="45">
        <v>-39.0916</v>
      </c>
      <c r="K547" s="4">
        <v>1.6000000000000001E-3</v>
      </c>
      <c r="L547" s="4">
        <v>2.9000000000000001E-2</v>
      </c>
      <c r="M547" s="4">
        <v>5.0000000000000001E-3</v>
      </c>
      <c r="N547" s="4">
        <v>-5.1999999999999998E-3</v>
      </c>
      <c r="O547" s="4">
        <v>1E-4</v>
      </c>
      <c r="P547" s="4">
        <v>124.5</v>
      </c>
      <c r="Q547" s="4">
        <v>0.13</v>
      </c>
      <c r="R547" s="45">
        <f>P547*E547/G547^3</f>
        <v>0.24198250728862974</v>
      </c>
      <c r="S547" s="22">
        <f>Q547*E547/G547^3</f>
        <v>2.5267249757045674E-4</v>
      </c>
    </row>
    <row r="548" spans="1:19">
      <c r="A548" s="23" t="s">
        <v>949</v>
      </c>
      <c r="B548" s="4" t="s">
        <v>1246</v>
      </c>
      <c r="D548" s="83">
        <v>0.5</v>
      </c>
      <c r="E548" s="4">
        <v>18</v>
      </c>
      <c r="F548" s="4">
        <v>10</v>
      </c>
      <c r="G548" s="4">
        <v>21</v>
      </c>
      <c r="H548" s="4">
        <v>5.6898</v>
      </c>
      <c r="I548" s="4">
        <v>6.9999999999999999E-4</v>
      </c>
      <c r="J548" s="4">
        <v>-35.188400000000001</v>
      </c>
      <c r="K548" s="4">
        <v>8.9999999999999998E-4</v>
      </c>
      <c r="L548" s="4">
        <v>2.9000000000000001E-2</v>
      </c>
      <c r="M548" s="4">
        <v>5.0000000000000001E-3</v>
      </c>
      <c r="N548" s="4">
        <v>-6.4000000000000003E-3</v>
      </c>
      <c r="O548" s="4">
        <v>2.0000000000000001E-4</v>
      </c>
      <c r="P548" s="4">
        <v>121.89</v>
      </c>
      <c r="Q548" s="4">
        <v>0.17</v>
      </c>
      <c r="R548" s="4">
        <f t="shared" si="32"/>
        <v>0.23690962099125365</v>
      </c>
      <c r="S548" s="22">
        <f t="shared" si="33"/>
        <v>3.304178814382896E-4</v>
      </c>
    </row>
    <row r="549" spans="1:19" ht="17" thickBot="1">
      <c r="A549" s="134" t="s">
        <v>950</v>
      </c>
      <c r="B549" s="122" t="s">
        <v>1247</v>
      </c>
      <c r="C549" s="123" t="s">
        <v>17</v>
      </c>
      <c r="D549" s="128">
        <v>0.25</v>
      </c>
      <c r="E549" s="10">
        <v>18</v>
      </c>
      <c r="F549" s="10">
        <v>10</v>
      </c>
      <c r="G549" s="10">
        <v>21</v>
      </c>
      <c r="H549" s="123">
        <v>6.3235000000000001</v>
      </c>
      <c r="I549" s="10">
        <v>8.9999999999999998E-4</v>
      </c>
      <c r="J549" s="123">
        <v>-40.069000000000003</v>
      </c>
      <c r="K549" s="10">
        <v>2.0999999999999999E-3</v>
      </c>
      <c r="L549" s="10">
        <v>7.0999999999999994E-2</v>
      </c>
      <c r="M549" s="10">
        <v>1.0999999999999999E-2</v>
      </c>
      <c r="N549" s="10">
        <v>-6.6E-3</v>
      </c>
      <c r="O549" s="10">
        <v>2.9999999999999997E-4</v>
      </c>
      <c r="P549" s="10">
        <v>119.13</v>
      </c>
      <c r="Q549" s="10">
        <v>0.37</v>
      </c>
      <c r="R549" s="123">
        <f>P549*E549/G549^3</f>
        <v>0.23154518950437319</v>
      </c>
      <c r="S549" s="26">
        <f>Q549*E549/G549^3</f>
        <v>7.1914480077745391E-4</v>
      </c>
    </row>
    <row r="550" spans="1:19" ht="17" thickTop="1">
      <c r="A550" s="27" t="s">
        <v>951</v>
      </c>
      <c r="B550" s="5" t="s">
        <v>1248</v>
      </c>
      <c r="C550" s="5"/>
      <c r="D550" s="74">
        <v>0.25</v>
      </c>
      <c r="E550" s="7">
        <v>18</v>
      </c>
      <c r="F550" s="7">
        <v>11</v>
      </c>
      <c r="G550" s="7">
        <v>21</v>
      </c>
      <c r="H550" s="5">
        <v>6.5804999999999998</v>
      </c>
      <c r="I550" s="7">
        <v>2.0000000000000001E-4</v>
      </c>
      <c r="J550" s="5">
        <v>-40.334099999999999</v>
      </c>
      <c r="K550" s="7">
        <v>8.0000000000000004E-4</v>
      </c>
      <c r="L550" s="7">
        <v>2.9000000000000001E-2</v>
      </c>
      <c r="M550" s="7">
        <v>7.0000000000000001E-3</v>
      </c>
      <c r="N550" s="7">
        <v>-5.0000000000000001E-3</v>
      </c>
      <c r="O550" s="7">
        <v>1E-4</v>
      </c>
      <c r="P550" s="7">
        <v>124.33</v>
      </c>
      <c r="Q550" s="7">
        <v>0.11</v>
      </c>
      <c r="R550" s="125">
        <v>0.23949466</v>
      </c>
      <c r="S550" s="135">
        <v>1.9436000000000002E-5</v>
      </c>
    </row>
    <row r="551" spans="1:19">
      <c r="A551" s="23" t="s">
        <v>951</v>
      </c>
      <c r="B551" s="4" t="s">
        <v>1248</v>
      </c>
      <c r="D551" s="83">
        <v>0.5</v>
      </c>
      <c r="E551" s="4">
        <v>18</v>
      </c>
      <c r="F551" s="4">
        <v>11</v>
      </c>
      <c r="G551" s="4">
        <v>21</v>
      </c>
      <c r="H551" s="4">
        <v>6.1384999999999996</v>
      </c>
      <c r="I551" s="4">
        <v>5.9999999999999995E-4</v>
      </c>
      <c r="J551" s="4">
        <v>-37.670099999999998</v>
      </c>
      <c r="K551" s="4">
        <v>1.6000000000000001E-3</v>
      </c>
      <c r="L551" s="4">
        <v>3.9E-2</v>
      </c>
      <c r="M551" s="4">
        <v>8.0000000000000002E-3</v>
      </c>
      <c r="N551" s="4">
        <v>-5.8999999999999999E-3</v>
      </c>
      <c r="O551" s="4">
        <v>1E-4</v>
      </c>
      <c r="P551" s="4">
        <v>121.7</v>
      </c>
      <c r="Q551" s="4">
        <v>0.19</v>
      </c>
      <c r="R551" s="4">
        <f t="shared" ref="R551:R588" si="36">P551*E551/G551^3</f>
        <v>0.23654033041788142</v>
      </c>
      <c r="S551" s="22">
        <f t="shared" ref="S551:S588" si="37">Q551*E551/G551^3</f>
        <v>3.6929057337220603E-4</v>
      </c>
    </row>
    <row r="552" spans="1:19">
      <c r="A552" s="28" t="s">
        <v>951</v>
      </c>
      <c r="B552" s="29" t="s">
        <v>1248</v>
      </c>
      <c r="C552" s="29"/>
      <c r="D552" s="85">
        <v>0.75</v>
      </c>
      <c r="E552" s="4">
        <v>18</v>
      </c>
      <c r="F552" s="4">
        <v>11</v>
      </c>
      <c r="G552" s="4">
        <v>21</v>
      </c>
      <c r="H552" s="29">
        <v>5.6955999999999998</v>
      </c>
      <c r="I552" s="4">
        <v>1E-3</v>
      </c>
      <c r="J552" s="29">
        <v>-35.290500000000002</v>
      </c>
      <c r="K552" s="4">
        <v>1.2999999999999999E-3</v>
      </c>
      <c r="L552" s="4">
        <v>5.5E-2</v>
      </c>
      <c r="M552" s="4">
        <v>1.0999999999999999E-2</v>
      </c>
      <c r="N552" s="4">
        <v>-7.4999999999999997E-3</v>
      </c>
      <c r="O552" s="4">
        <v>2.0000000000000001E-4</v>
      </c>
      <c r="P552" s="4">
        <v>116.66</v>
      </c>
      <c r="Q552" s="4">
        <v>0.35</v>
      </c>
      <c r="R552" s="29">
        <f t="shared" si="36"/>
        <v>0.2267444120505345</v>
      </c>
      <c r="S552" s="22">
        <f t="shared" si="37"/>
        <v>6.8027210884353737E-4</v>
      </c>
    </row>
    <row r="553" spans="1:19">
      <c r="A553" s="33" t="s">
        <v>951</v>
      </c>
      <c r="B553" s="34" t="s">
        <v>1248</v>
      </c>
      <c r="C553" s="34"/>
      <c r="D553" s="98">
        <v>1</v>
      </c>
      <c r="E553" s="4">
        <v>18</v>
      </c>
      <c r="F553" s="4">
        <v>11</v>
      </c>
      <c r="G553" s="4">
        <v>21</v>
      </c>
      <c r="H553" s="34">
        <v>5.2523999999999997</v>
      </c>
      <c r="I553" s="4">
        <v>5.9999999999999995E-4</v>
      </c>
      <c r="J553" s="34">
        <v>-33.322200000000002</v>
      </c>
      <c r="K553" s="4">
        <v>1.5E-3</v>
      </c>
      <c r="L553" s="4">
        <v>0.108</v>
      </c>
      <c r="M553" s="4">
        <v>8.0000000000000002E-3</v>
      </c>
      <c r="N553" s="4">
        <v>-9.9000000000000008E-3</v>
      </c>
      <c r="O553" s="4">
        <v>1E-4</v>
      </c>
      <c r="P553" s="4">
        <v>107.39</v>
      </c>
      <c r="Q553" s="4">
        <v>0.14000000000000001</v>
      </c>
      <c r="R553" s="34">
        <f>P553*E553/G553^3</f>
        <v>0.20872691933916424</v>
      </c>
      <c r="S553" s="22">
        <f t="shared" si="37"/>
        <v>2.7210884353741501E-4</v>
      </c>
    </row>
    <row r="554" spans="1:19">
      <c r="A554" s="19" t="s">
        <v>952</v>
      </c>
      <c r="B554" s="20" t="s">
        <v>1249</v>
      </c>
      <c r="C554" s="20"/>
      <c r="D554" s="81">
        <v>0.25</v>
      </c>
      <c r="E554" s="4">
        <v>18</v>
      </c>
      <c r="F554" s="4">
        <v>11</v>
      </c>
      <c r="G554" s="4">
        <v>21</v>
      </c>
      <c r="H554" s="20">
        <v>6.5945999999999998</v>
      </c>
      <c r="I554" s="4">
        <v>8.0000000000000004E-4</v>
      </c>
      <c r="J554" s="20">
        <v>-40.494300000000003</v>
      </c>
      <c r="K554" s="4">
        <v>1.6999999999999999E-3</v>
      </c>
      <c r="L554" s="4">
        <v>0.03</v>
      </c>
      <c r="M554" s="4">
        <v>2E-3</v>
      </c>
      <c r="N554" s="4">
        <v>-5.0000000000000001E-3</v>
      </c>
      <c r="O554" s="4">
        <v>2.0000000000000001E-4</v>
      </c>
      <c r="P554" s="4">
        <v>124.19</v>
      </c>
      <c r="Q554" s="4">
        <v>7.0000000000000007E-2</v>
      </c>
      <c r="R554" s="136">
        <v>0.23949466</v>
      </c>
      <c r="S554" s="137">
        <v>1.9436000000000002E-5</v>
      </c>
    </row>
    <row r="555" spans="1:19">
      <c r="A555" s="23" t="s">
        <v>952</v>
      </c>
      <c r="B555" s="4" t="s">
        <v>1249</v>
      </c>
      <c r="D555" s="83">
        <v>0.5</v>
      </c>
      <c r="E555" s="4">
        <v>18</v>
      </c>
      <c r="F555" s="4">
        <v>11</v>
      </c>
      <c r="G555" s="4">
        <v>21</v>
      </c>
      <c r="H555" s="4">
        <v>6.1685999999999996</v>
      </c>
      <c r="I555" s="4">
        <v>6.9999999999999999E-4</v>
      </c>
      <c r="J555" s="4">
        <v>-38.068800000000003</v>
      </c>
      <c r="K555" s="4">
        <v>1.9E-3</v>
      </c>
      <c r="L555" s="4">
        <v>4.4999999999999998E-2</v>
      </c>
      <c r="M555" s="4">
        <v>3.0000000000000001E-3</v>
      </c>
      <c r="N555" s="4">
        <v>-6.1000000000000004E-3</v>
      </c>
      <c r="O555" s="4">
        <v>1E-4</v>
      </c>
      <c r="P555" s="4">
        <v>120.82</v>
      </c>
      <c r="Q555" s="4">
        <v>0.09</v>
      </c>
      <c r="R555" s="4">
        <f t="shared" si="36"/>
        <v>0.23482993197278909</v>
      </c>
      <c r="S555" s="22">
        <f t="shared" si="37"/>
        <v>1.7492711370262388E-4</v>
      </c>
    </row>
    <row r="556" spans="1:19">
      <c r="A556" s="28" t="s">
        <v>952</v>
      </c>
      <c r="B556" s="29" t="s">
        <v>1249</v>
      </c>
      <c r="C556" s="29"/>
      <c r="D556" s="85">
        <v>0.75</v>
      </c>
      <c r="E556" s="4">
        <v>18</v>
      </c>
      <c r="F556" s="4">
        <v>11</v>
      </c>
      <c r="G556" s="4">
        <v>21</v>
      </c>
      <c r="H556" s="29">
        <v>5.7489999999999997</v>
      </c>
      <c r="I556" s="4">
        <v>8.9999999999999998E-4</v>
      </c>
      <c r="J556" s="29">
        <v>-36.035400000000003</v>
      </c>
      <c r="K556" s="4">
        <v>1.2999999999999999E-3</v>
      </c>
      <c r="L556" s="4">
        <v>6.5000000000000002E-2</v>
      </c>
      <c r="M556" s="4">
        <v>7.0000000000000001E-3</v>
      </c>
      <c r="N556" s="4">
        <v>-7.4999999999999997E-3</v>
      </c>
      <c r="O556" s="4">
        <v>1E-4</v>
      </c>
      <c r="P556" s="4">
        <v>114.57</v>
      </c>
      <c r="Q556" s="4">
        <v>0.15</v>
      </c>
      <c r="R556" s="29">
        <f t="shared" si="36"/>
        <v>0.22268221574344021</v>
      </c>
      <c r="S556" s="22">
        <f t="shared" si="37"/>
        <v>2.9154518950437317E-4</v>
      </c>
    </row>
    <row r="557" spans="1:19">
      <c r="A557" s="33" t="s">
        <v>952</v>
      </c>
      <c r="B557" s="34" t="s">
        <v>1249</v>
      </c>
      <c r="C557" s="34"/>
      <c r="D557" s="98">
        <v>1</v>
      </c>
      <c r="E557" s="4">
        <v>18</v>
      </c>
      <c r="F557" s="4">
        <v>11</v>
      </c>
      <c r="G557" s="4">
        <v>21</v>
      </c>
      <c r="H557" s="34">
        <v>5.3475999999999999</v>
      </c>
      <c r="I557" s="4">
        <v>8.9999999999999998E-4</v>
      </c>
      <c r="J557" s="34">
        <v>-34.585500000000003</v>
      </c>
      <c r="K557" s="4">
        <v>1.6999999999999999E-3</v>
      </c>
      <c r="L557" s="4">
        <v>0.129</v>
      </c>
      <c r="M557" s="4">
        <v>1.2E-2</v>
      </c>
      <c r="N557" s="4">
        <v>-0.01</v>
      </c>
      <c r="O557" s="4">
        <v>2.9999999999999997E-4</v>
      </c>
      <c r="P557" s="4">
        <v>103.37</v>
      </c>
      <c r="Q557" s="4">
        <v>0.43</v>
      </c>
      <c r="R557" s="34">
        <f>P557*E557/G557^3</f>
        <v>0.20091350826044704</v>
      </c>
      <c r="S557" s="22">
        <f t="shared" si="37"/>
        <v>8.3576287657920309E-4</v>
      </c>
    </row>
    <row r="558" spans="1:19">
      <c r="A558" s="19" t="s">
        <v>953</v>
      </c>
      <c r="B558" s="20" t="s">
        <v>1250</v>
      </c>
      <c r="C558" s="20"/>
      <c r="D558" s="81">
        <v>0.25</v>
      </c>
      <c r="E558" s="4">
        <v>18</v>
      </c>
      <c r="F558" s="4">
        <v>11</v>
      </c>
      <c r="G558" s="4">
        <v>21</v>
      </c>
      <c r="H558" s="20">
        <v>6.6082999999999998</v>
      </c>
      <c r="I558" s="4">
        <v>6.9999999999999999E-4</v>
      </c>
      <c r="J558" s="20">
        <v>-40.440600000000003</v>
      </c>
      <c r="K558" s="4">
        <v>5.9999999999999995E-4</v>
      </c>
      <c r="L558" s="4">
        <v>2.9000000000000001E-2</v>
      </c>
      <c r="M558" s="4">
        <v>6.0000000000000001E-3</v>
      </c>
      <c r="N558" s="4">
        <v>-5.0000000000000001E-3</v>
      </c>
      <c r="O558" s="4">
        <v>0</v>
      </c>
      <c r="P558" s="4">
        <v>124</v>
      </c>
      <c r="Q558" s="4">
        <v>0.09</v>
      </c>
      <c r="R558" s="136">
        <v>0.23949466</v>
      </c>
      <c r="S558" s="137">
        <v>1.9436000000000002E-5</v>
      </c>
    </row>
    <row r="559" spans="1:19">
      <c r="A559" s="23" t="s">
        <v>953</v>
      </c>
      <c r="B559" s="4" t="s">
        <v>1250</v>
      </c>
      <c r="D559" s="83">
        <v>0.5</v>
      </c>
      <c r="E559" s="4">
        <v>18</v>
      </c>
      <c r="F559" s="4">
        <v>11</v>
      </c>
      <c r="G559" s="4">
        <v>21</v>
      </c>
      <c r="H559" s="4">
        <v>6.1955999999999998</v>
      </c>
      <c r="I559" s="4">
        <v>8.9999999999999998E-4</v>
      </c>
      <c r="J559" s="4">
        <v>-37.956600000000002</v>
      </c>
      <c r="K559" s="4">
        <v>2.2000000000000001E-3</v>
      </c>
      <c r="L559" s="4">
        <v>3.5999999999999997E-2</v>
      </c>
      <c r="M559" s="4">
        <v>4.0000000000000001E-3</v>
      </c>
      <c r="N559" s="4">
        <v>-5.8999999999999999E-3</v>
      </c>
      <c r="O559" s="4">
        <v>1E-4</v>
      </c>
      <c r="P559" s="4">
        <v>120.72</v>
      </c>
      <c r="Q559" s="4">
        <v>0.14000000000000001</v>
      </c>
      <c r="R559" s="4">
        <f t="shared" si="36"/>
        <v>0.23463556851311954</v>
      </c>
      <c r="S559" s="22">
        <f t="shared" si="37"/>
        <v>2.7210884353741501E-4</v>
      </c>
    </row>
    <row r="560" spans="1:19">
      <c r="A560" s="28" t="s">
        <v>953</v>
      </c>
      <c r="B560" s="29" t="s">
        <v>1250</v>
      </c>
      <c r="C560" s="29"/>
      <c r="D560" s="85">
        <v>0.75</v>
      </c>
      <c r="E560" s="4">
        <v>18</v>
      </c>
      <c r="F560" s="4">
        <v>11</v>
      </c>
      <c r="G560" s="4">
        <v>21</v>
      </c>
      <c r="H560" s="29">
        <v>5.7918000000000003</v>
      </c>
      <c r="I560" s="4">
        <v>5.0000000000000001E-4</v>
      </c>
      <c r="J560" s="29">
        <v>-35.85</v>
      </c>
      <c r="K560" s="4">
        <v>1.1000000000000001E-3</v>
      </c>
      <c r="L560" s="4">
        <v>5.8999999999999997E-2</v>
      </c>
      <c r="M560" s="4">
        <v>8.0000000000000002E-3</v>
      </c>
      <c r="N560" s="4">
        <v>-7.3000000000000001E-3</v>
      </c>
      <c r="O560" s="4">
        <v>2.9999999999999997E-4</v>
      </c>
      <c r="P560" s="4">
        <v>114.1</v>
      </c>
      <c r="Q560" s="4">
        <v>0.26</v>
      </c>
      <c r="R560" s="29">
        <f t="shared" si="36"/>
        <v>0.22176870748299315</v>
      </c>
      <c r="S560" s="22">
        <f t="shared" si="37"/>
        <v>5.0534499514091349E-4</v>
      </c>
    </row>
    <row r="561" spans="1:19">
      <c r="A561" s="33" t="s">
        <v>953</v>
      </c>
      <c r="B561" s="34" t="s">
        <v>1250</v>
      </c>
      <c r="C561" s="34"/>
      <c r="D561" s="98">
        <v>1</v>
      </c>
      <c r="E561" s="4">
        <v>18</v>
      </c>
      <c r="F561" s="4">
        <v>11</v>
      </c>
      <c r="G561" s="4">
        <v>21</v>
      </c>
      <c r="H561" s="34">
        <v>5.4096000000000002</v>
      </c>
      <c r="I561" s="4">
        <v>5.9999999999999995E-4</v>
      </c>
      <c r="J561" s="34">
        <v>-34.293999999999997</v>
      </c>
      <c r="K561" s="4">
        <v>2E-3</v>
      </c>
      <c r="L561" s="4">
        <v>9.4E-2</v>
      </c>
      <c r="M561" s="4">
        <v>1.4E-2</v>
      </c>
      <c r="N561" s="4">
        <v>-9.7999999999999997E-3</v>
      </c>
      <c r="O561" s="4">
        <v>2.0000000000000001E-4</v>
      </c>
      <c r="P561" s="4">
        <v>102.68</v>
      </c>
      <c r="Q561" s="4">
        <v>0.27</v>
      </c>
      <c r="R561" s="34">
        <f>P561*E561/G561^3</f>
        <v>0.19957240038872695</v>
      </c>
      <c r="S561" s="22">
        <f t="shared" si="37"/>
        <v>5.2478134110787176E-4</v>
      </c>
    </row>
    <row r="562" spans="1:19">
      <c r="A562" s="19" t="s">
        <v>954</v>
      </c>
      <c r="B562" s="20" t="s">
        <v>1251</v>
      </c>
      <c r="C562" s="20"/>
      <c r="D562" s="81">
        <v>0.25</v>
      </c>
      <c r="E562" s="4">
        <v>18</v>
      </c>
      <c r="F562" s="4">
        <v>11</v>
      </c>
      <c r="G562" s="4">
        <v>21</v>
      </c>
      <c r="H562" s="20">
        <v>6.5869999999999997</v>
      </c>
      <c r="I562" s="4">
        <v>8.9999999999999998E-4</v>
      </c>
      <c r="J562" s="20">
        <v>-40.350700000000003</v>
      </c>
      <c r="K562" s="4">
        <v>2E-3</v>
      </c>
      <c r="L562" s="4">
        <v>3.1E-2</v>
      </c>
      <c r="M562" s="4">
        <v>4.0000000000000001E-3</v>
      </c>
      <c r="N562" s="4">
        <v>-5.1999999999999998E-3</v>
      </c>
      <c r="O562" s="4">
        <v>0</v>
      </c>
      <c r="P562" s="4">
        <v>123.76</v>
      </c>
      <c r="Q562" s="4">
        <v>0.06</v>
      </c>
      <c r="R562" s="136">
        <v>0.23949466</v>
      </c>
      <c r="S562" s="137">
        <v>1.9436000000000002E-5</v>
      </c>
    </row>
    <row r="563" spans="1:19">
      <c r="A563" s="23" t="s">
        <v>954</v>
      </c>
      <c r="B563" s="4" t="s">
        <v>1251</v>
      </c>
      <c r="D563" s="83">
        <v>0.5</v>
      </c>
      <c r="E563" s="4">
        <v>18</v>
      </c>
      <c r="F563" s="4">
        <v>11</v>
      </c>
      <c r="G563" s="4">
        <v>21</v>
      </c>
      <c r="H563" s="4">
        <v>6.1471</v>
      </c>
      <c r="I563" s="4">
        <v>1E-3</v>
      </c>
      <c r="J563" s="4">
        <v>-37.823099999999997</v>
      </c>
      <c r="K563" s="4">
        <v>5.9999999999999995E-4</v>
      </c>
      <c r="L563" s="4">
        <v>5.1999999999999998E-2</v>
      </c>
      <c r="M563" s="4">
        <v>5.0000000000000001E-3</v>
      </c>
      <c r="N563" s="4">
        <v>-6.4000000000000003E-3</v>
      </c>
      <c r="O563" s="4">
        <v>2.0000000000000001E-4</v>
      </c>
      <c r="P563" s="4">
        <v>119.46</v>
      </c>
      <c r="Q563" s="4">
        <v>0.28999999999999998</v>
      </c>
      <c r="R563" s="4">
        <f t="shared" si="36"/>
        <v>0.23218658892128277</v>
      </c>
      <c r="S563" s="22">
        <f t="shared" si="37"/>
        <v>5.6365403304178808E-4</v>
      </c>
    </row>
    <row r="564" spans="1:19">
      <c r="A564" s="28" t="s">
        <v>954</v>
      </c>
      <c r="B564" s="29" t="s">
        <v>1251</v>
      </c>
      <c r="C564" s="29"/>
      <c r="D564" s="85">
        <v>0.75</v>
      </c>
      <c r="E564" s="4">
        <v>18</v>
      </c>
      <c r="F564" s="4">
        <v>11</v>
      </c>
      <c r="G564" s="4">
        <v>21</v>
      </c>
      <c r="H564" s="29">
        <v>5.7013999999999996</v>
      </c>
      <c r="I564" s="4">
        <v>8.9999999999999998E-4</v>
      </c>
      <c r="J564" s="29">
        <v>-35.777299999999997</v>
      </c>
      <c r="K564" s="4">
        <v>1.6999999999999999E-3</v>
      </c>
      <c r="L564" s="4">
        <v>9.7000000000000003E-2</v>
      </c>
      <c r="M564" s="4">
        <v>0.02</v>
      </c>
      <c r="N564" s="4">
        <v>-8.8000000000000005E-3</v>
      </c>
      <c r="O564" s="4">
        <v>1E-4</v>
      </c>
      <c r="P564" s="4">
        <v>109.93</v>
      </c>
      <c r="Q564" s="4">
        <v>0.21</v>
      </c>
      <c r="R564" s="29">
        <f t="shared" si="36"/>
        <v>0.21366375121477166</v>
      </c>
      <c r="S564" s="22">
        <f t="shared" si="37"/>
        <v>4.0816326530612241E-4</v>
      </c>
    </row>
    <row r="565" spans="1:19">
      <c r="A565" s="19" t="s">
        <v>955</v>
      </c>
      <c r="B565" s="20" t="s">
        <v>1252</v>
      </c>
      <c r="C565" s="20"/>
      <c r="D565" s="81">
        <v>0.25</v>
      </c>
      <c r="E565" s="4">
        <v>18</v>
      </c>
      <c r="F565" s="4">
        <v>11</v>
      </c>
      <c r="G565" s="4">
        <v>21</v>
      </c>
      <c r="H565" s="20">
        <v>6.5808999999999997</v>
      </c>
      <c r="I565" s="4">
        <v>5.0000000000000001E-4</v>
      </c>
      <c r="J565" s="20">
        <v>-40.3748</v>
      </c>
      <c r="K565" s="4">
        <v>2.9999999999999997E-4</v>
      </c>
      <c r="L565" s="4">
        <v>3.1E-2</v>
      </c>
      <c r="M565" s="4">
        <v>8.0000000000000002E-3</v>
      </c>
      <c r="N565" s="4">
        <v>-5.1000000000000004E-3</v>
      </c>
      <c r="O565" s="4">
        <v>2.9999999999999997E-4</v>
      </c>
      <c r="P565" s="4">
        <v>124.3</v>
      </c>
      <c r="Q565" s="4">
        <v>0.25</v>
      </c>
      <c r="R565" s="136">
        <v>0.23949466</v>
      </c>
      <c r="S565" s="137">
        <v>1.9436000000000002E-5</v>
      </c>
    </row>
    <row r="566" spans="1:19">
      <c r="A566" s="23" t="s">
        <v>955</v>
      </c>
      <c r="B566" s="4" t="s">
        <v>1252</v>
      </c>
      <c r="D566" s="83">
        <v>0.5</v>
      </c>
      <c r="E566" s="4">
        <v>18</v>
      </c>
      <c r="F566" s="4">
        <v>11</v>
      </c>
      <c r="G566" s="4">
        <v>21</v>
      </c>
      <c r="H566" s="4">
        <v>6.1421999999999999</v>
      </c>
      <c r="I566" s="4">
        <v>5.9999999999999995E-4</v>
      </c>
      <c r="J566" s="4">
        <v>-37.757899999999999</v>
      </c>
      <c r="K566" s="4">
        <v>2.3999999999999998E-3</v>
      </c>
      <c r="L566" s="4">
        <v>3.6999999999999998E-2</v>
      </c>
      <c r="M566" s="4">
        <v>6.0000000000000001E-3</v>
      </c>
      <c r="N566" s="4">
        <v>-5.8999999999999999E-3</v>
      </c>
      <c r="O566" s="4">
        <v>1E-4</v>
      </c>
      <c r="P566" s="4">
        <v>121.78</v>
      </c>
      <c r="Q566" s="4">
        <v>0.23</v>
      </c>
      <c r="R566" s="4">
        <f t="shared" si="36"/>
        <v>0.23669582118561711</v>
      </c>
      <c r="S566" s="22">
        <f t="shared" si="37"/>
        <v>4.4703595724003895E-4</v>
      </c>
    </row>
    <row r="567" spans="1:19">
      <c r="A567" s="28" t="s">
        <v>955</v>
      </c>
      <c r="B567" s="29" t="s">
        <v>1252</v>
      </c>
      <c r="C567" s="29"/>
      <c r="D567" s="85">
        <v>0.75</v>
      </c>
      <c r="E567" s="4">
        <v>18</v>
      </c>
      <c r="F567" s="4">
        <v>11</v>
      </c>
      <c r="G567" s="4">
        <v>21</v>
      </c>
      <c r="H567" s="41">
        <v>5.7073</v>
      </c>
      <c r="I567" s="4">
        <v>6.9999999999999999E-4</v>
      </c>
      <c r="J567" s="29">
        <v>-35.433599999999998</v>
      </c>
      <c r="K567" s="4">
        <v>6.9999999999999999E-4</v>
      </c>
      <c r="L567" s="4">
        <v>4.3999999999999997E-2</v>
      </c>
      <c r="M567" s="4">
        <v>0.01</v>
      </c>
      <c r="N567" s="4">
        <v>-7.1999999999999998E-3</v>
      </c>
      <c r="O567" s="4">
        <v>2.0000000000000001E-4</v>
      </c>
      <c r="P567" s="4">
        <v>116.78</v>
      </c>
      <c r="Q567" s="4">
        <v>0.3</v>
      </c>
      <c r="R567" s="29">
        <f t="shared" si="36"/>
        <v>0.226977648202138</v>
      </c>
      <c r="S567" s="22">
        <f t="shared" si="37"/>
        <v>5.8309037900874635E-4</v>
      </c>
    </row>
    <row r="568" spans="1:19">
      <c r="A568" s="33" t="s">
        <v>955</v>
      </c>
      <c r="B568" s="34" t="s">
        <v>1252</v>
      </c>
      <c r="C568" s="34"/>
      <c r="D568" s="98">
        <v>1</v>
      </c>
      <c r="E568" s="4">
        <v>18</v>
      </c>
      <c r="F568" s="4">
        <v>11</v>
      </c>
      <c r="G568" s="4">
        <v>21</v>
      </c>
      <c r="H568" s="34">
        <v>5.2821999999999996</v>
      </c>
      <c r="I568" s="4">
        <v>1E-3</v>
      </c>
      <c r="J568" s="34">
        <v>-33.524700000000003</v>
      </c>
      <c r="K568" s="4">
        <v>3.0000000000000001E-3</v>
      </c>
      <c r="L568" s="4">
        <v>9.2999999999999999E-2</v>
      </c>
      <c r="M568" s="4">
        <v>1.7000000000000001E-2</v>
      </c>
      <c r="N568" s="4">
        <v>-9.4000000000000004E-3</v>
      </c>
      <c r="O568" s="4">
        <v>2.0000000000000001E-4</v>
      </c>
      <c r="P568" s="4">
        <v>107.96</v>
      </c>
      <c r="Q568" s="4">
        <v>0.35</v>
      </c>
      <c r="R568" s="34">
        <f>P568*E568/G568^3</f>
        <v>0.20983479105928085</v>
      </c>
      <c r="S568" s="22">
        <f t="shared" si="37"/>
        <v>6.8027210884353737E-4</v>
      </c>
    </row>
    <row r="569" spans="1:19">
      <c r="A569" s="19" t="s">
        <v>956</v>
      </c>
      <c r="B569" s="20" t="s">
        <v>1253</v>
      </c>
      <c r="C569" s="20"/>
      <c r="D569" s="81">
        <v>0.25</v>
      </c>
      <c r="E569" s="4">
        <v>18</v>
      </c>
      <c r="F569" s="4">
        <v>11</v>
      </c>
      <c r="G569" s="4">
        <v>21</v>
      </c>
      <c r="H569" s="20">
        <v>6.6380999999999997</v>
      </c>
      <c r="I569" s="4">
        <v>1E-3</v>
      </c>
      <c r="J569" s="20">
        <v>-40.354999999999997</v>
      </c>
      <c r="K569" s="4">
        <v>1.6000000000000001E-3</v>
      </c>
      <c r="L569" s="4">
        <v>2.7E-2</v>
      </c>
      <c r="M569" s="4">
        <v>5.0000000000000001E-3</v>
      </c>
      <c r="N569" s="4">
        <v>-5.0000000000000001E-3</v>
      </c>
      <c r="O569" s="4">
        <v>1E-4</v>
      </c>
      <c r="P569" s="4">
        <v>123.74</v>
      </c>
      <c r="Q569" s="4">
        <v>0.24</v>
      </c>
      <c r="R569" s="45">
        <f>P569*E569/G569^3</f>
        <v>0.24050534499514087</v>
      </c>
      <c r="S569" s="22">
        <f>Q569*E569/G569^3</f>
        <v>4.6647230320699711E-4</v>
      </c>
    </row>
    <row r="570" spans="1:19">
      <c r="A570" s="23" t="s">
        <v>956</v>
      </c>
      <c r="B570" s="4" t="s">
        <v>1253</v>
      </c>
      <c r="D570" s="83">
        <v>0.5</v>
      </c>
      <c r="E570" s="4">
        <v>18</v>
      </c>
      <c r="F570" s="4">
        <v>11</v>
      </c>
      <c r="G570" s="4">
        <v>21</v>
      </c>
      <c r="H570" s="4">
        <v>6.2572999999999999</v>
      </c>
      <c r="I570" s="4">
        <v>2.9999999999999997E-4</v>
      </c>
      <c r="J570" s="4">
        <v>-37.794400000000003</v>
      </c>
      <c r="K570" s="4">
        <v>8.0000000000000004E-4</v>
      </c>
      <c r="L570" s="4">
        <v>1.7000000000000001E-2</v>
      </c>
      <c r="M570" s="4">
        <v>8.0000000000000002E-3</v>
      </c>
      <c r="N570" s="4">
        <v>-5.7999999999999996E-3</v>
      </c>
      <c r="O570" s="4">
        <v>2.0000000000000001E-4</v>
      </c>
      <c r="P570" s="4">
        <v>120.04</v>
      </c>
      <c r="Q570" s="4">
        <v>0.17</v>
      </c>
      <c r="R570" s="4">
        <f t="shared" si="36"/>
        <v>0.2333138969873664</v>
      </c>
      <c r="S570" s="22">
        <f t="shared" si="37"/>
        <v>3.304178814382896E-4</v>
      </c>
    </row>
    <row r="571" spans="1:19">
      <c r="A571" s="28" t="s">
        <v>956</v>
      </c>
      <c r="B571" s="29" t="s">
        <v>1253</v>
      </c>
      <c r="C571" s="29"/>
      <c r="D571" s="85">
        <v>0.75</v>
      </c>
      <c r="E571" s="4">
        <v>18</v>
      </c>
      <c r="F571" s="4">
        <v>11</v>
      </c>
      <c r="G571" s="4">
        <v>21</v>
      </c>
      <c r="H571" s="29">
        <v>5.8868</v>
      </c>
      <c r="I571" s="4">
        <v>8.9999999999999998E-4</v>
      </c>
      <c r="J571" s="29">
        <v>-35.617899999999999</v>
      </c>
      <c r="K571" s="4">
        <v>2.8999999999999998E-3</v>
      </c>
      <c r="L571" s="4">
        <v>3.1E-2</v>
      </c>
      <c r="M571" s="4">
        <v>8.9999999999999993E-3</v>
      </c>
      <c r="N571" s="4">
        <v>-7.1999999999999998E-3</v>
      </c>
      <c r="O571" s="4">
        <v>1E-4</v>
      </c>
      <c r="P571" s="4">
        <v>113.05</v>
      </c>
      <c r="Q571" s="4">
        <v>0.1</v>
      </c>
      <c r="R571" s="29">
        <f t="shared" si="36"/>
        <v>0.21972789115646257</v>
      </c>
      <c r="S571" s="22">
        <f t="shared" si="37"/>
        <v>1.9436345966958212E-4</v>
      </c>
    </row>
    <row r="572" spans="1:19">
      <c r="A572" s="33" t="s">
        <v>956</v>
      </c>
      <c r="B572" s="34" t="s">
        <v>1253</v>
      </c>
      <c r="C572" s="34"/>
      <c r="D572" s="98">
        <v>1</v>
      </c>
      <c r="E572" s="4">
        <v>18</v>
      </c>
      <c r="F572" s="4">
        <v>11</v>
      </c>
      <c r="G572" s="4">
        <v>21</v>
      </c>
      <c r="H572" s="34">
        <v>5.5544000000000002</v>
      </c>
      <c r="I572" s="4">
        <v>1E-3</v>
      </c>
      <c r="J572" s="34">
        <v>-33.9681</v>
      </c>
      <c r="K572" s="4">
        <v>3.2000000000000002E-3</v>
      </c>
      <c r="L572" s="4">
        <v>6.2E-2</v>
      </c>
      <c r="M572" s="4">
        <v>1.9E-2</v>
      </c>
      <c r="N572" s="4">
        <v>-9.7000000000000003E-3</v>
      </c>
      <c r="O572" s="4">
        <v>1E-4</v>
      </c>
      <c r="P572" s="4">
        <v>101.55</v>
      </c>
      <c r="Q572" s="4">
        <v>0.09</v>
      </c>
      <c r="R572" s="34">
        <f>P572*E572/G572^3</f>
        <v>0.19737609329446063</v>
      </c>
      <c r="S572" s="22">
        <f t="shared" si="37"/>
        <v>1.7492711370262388E-4</v>
      </c>
    </row>
    <row r="573" spans="1:19">
      <c r="A573" s="19" t="s">
        <v>957</v>
      </c>
      <c r="B573" s="20" t="s">
        <v>1254</v>
      </c>
      <c r="C573" s="20"/>
      <c r="D573" s="81">
        <v>0.25</v>
      </c>
      <c r="E573" s="4">
        <v>18</v>
      </c>
      <c r="F573" s="4">
        <v>11</v>
      </c>
      <c r="G573" s="4">
        <v>21</v>
      </c>
      <c r="H573" s="20">
        <v>6.5590999999999999</v>
      </c>
      <c r="I573" s="4">
        <v>6.9999999999999999E-4</v>
      </c>
      <c r="J573" s="20">
        <v>-40.564500000000002</v>
      </c>
      <c r="K573" s="4">
        <v>1.5E-3</v>
      </c>
      <c r="L573" s="4">
        <v>4.2999999999999997E-2</v>
      </c>
      <c r="M573" s="4">
        <v>4.0000000000000001E-3</v>
      </c>
      <c r="N573" s="4">
        <v>-5.1999999999999998E-3</v>
      </c>
      <c r="O573" s="4">
        <v>1E-4</v>
      </c>
      <c r="P573" s="4">
        <v>123.86</v>
      </c>
      <c r="Q573" s="4">
        <v>0.11</v>
      </c>
      <c r="R573" s="45">
        <f>P573*E573/G573^3</f>
        <v>0.2407385811467444</v>
      </c>
      <c r="S573" s="22">
        <f>Q573*E573/G573^3</f>
        <v>2.1379980563654034E-4</v>
      </c>
    </row>
    <row r="574" spans="1:19">
      <c r="A574" s="23" t="s">
        <v>957</v>
      </c>
      <c r="B574" s="4" t="s">
        <v>1254</v>
      </c>
      <c r="D574" s="83">
        <v>0.5</v>
      </c>
      <c r="E574" s="4">
        <v>18</v>
      </c>
      <c r="F574" s="4">
        <v>11</v>
      </c>
      <c r="G574" s="4">
        <v>21</v>
      </c>
      <c r="H574" s="4">
        <v>6.0871000000000004</v>
      </c>
      <c r="I574" s="4">
        <v>8.0000000000000004E-4</v>
      </c>
      <c r="J574" s="4">
        <v>-38.251199999999997</v>
      </c>
      <c r="K574" s="4">
        <v>2.3E-3</v>
      </c>
      <c r="L574" s="4">
        <v>7.0999999999999994E-2</v>
      </c>
      <c r="M574" s="4">
        <v>1.4999999999999999E-2</v>
      </c>
      <c r="N574" s="4">
        <v>-6.7999999999999996E-3</v>
      </c>
      <c r="O574" s="4">
        <v>1E-4</v>
      </c>
      <c r="P574" s="4">
        <v>119.34</v>
      </c>
      <c r="Q574" s="4">
        <v>0.16</v>
      </c>
      <c r="R574" s="4">
        <f t="shared" si="36"/>
        <v>0.23195335276967929</v>
      </c>
      <c r="S574" s="22">
        <f t="shared" si="37"/>
        <v>3.1098153547133139E-4</v>
      </c>
    </row>
    <row r="575" spans="1:19">
      <c r="A575" s="28" t="s">
        <v>957</v>
      </c>
      <c r="B575" s="29" t="s">
        <v>1254</v>
      </c>
      <c r="C575" s="29"/>
      <c r="D575" s="85">
        <v>0.75</v>
      </c>
      <c r="E575" s="4">
        <v>18</v>
      </c>
      <c r="F575" s="4">
        <v>11</v>
      </c>
      <c r="G575" s="4">
        <v>21</v>
      </c>
      <c r="H575" s="29">
        <v>5.5993000000000004</v>
      </c>
      <c r="I575" s="4">
        <v>1E-3</v>
      </c>
      <c r="J575" s="29">
        <v>-36.445700000000002</v>
      </c>
      <c r="K575" s="4">
        <v>1.2999999999999999E-3</v>
      </c>
      <c r="L575" s="4">
        <v>0.14099999999999999</v>
      </c>
      <c r="M575" s="4">
        <v>1.2999999999999999E-2</v>
      </c>
      <c r="N575" s="4">
        <v>-1.03E-2</v>
      </c>
      <c r="O575" s="4">
        <v>1E-4</v>
      </c>
      <c r="P575" s="4">
        <v>107.49</v>
      </c>
      <c r="Q575" s="4">
        <v>0.25</v>
      </c>
      <c r="R575" s="29">
        <f t="shared" si="36"/>
        <v>0.20892128279883382</v>
      </c>
      <c r="S575" s="22">
        <f t="shared" si="37"/>
        <v>4.8590864917395527E-4</v>
      </c>
    </row>
    <row r="576" spans="1:19">
      <c r="A576" s="19" t="s">
        <v>958</v>
      </c>
      <c r="B576" s="20" t="s">
        <v>1255</v>
      </c>
      <c r="C576" s="20"/>
      <c r="D576" s="81">
        <v>0.25</v>
      </c>
      <c r="E576" s="4">
        <v>18</v>
      </c>
      <c r="F576" s="4">
        <v>11</v>
      </c>
      <c r="G576" s="4">
        <v>21</v>
      </c>
      <c r="H576" s="20">
        <v>6.6543000000000001</v>
      </c>
      <c r="I576" s="4">
        <v>2.9999999999999997E-4</v>
      </c>
      <c r="J576" s="20">
        <v>-40.506900000000002</v>
      </c>
      <c r="K576" s="4">
        <v>1.4E-3</v>
      </c>
      <c r="L576" s="4">
        <v>2.3E-2</v>
      </c>
      <c r="M576" s="4">
        <v>3.0000000000000001E-3</v>
      </c>
      <c r="N576" s="4">
        <v>-5.1999999999999998E-3</v>
      </c>
      <c r="O576" s="4">
        <v>1E-4</v>
      </c>
      <c r="P576" s="4">
        <v>122.6</v>
      </c>
      <c r="Q576" s="4">
        <v>7.0000000000000007E-2</v>
      </c>
      <c r="R576" s="45">
        <f>P576*E576/G576^3</f>
        <v>0.23828960155490764</v>
      </c>
      <c r="S576" s="22">
        <f>Q576*E576/G576^3</f>
        <v>1.3605442176870751E-4</v>
      </c>
    </row>
    <row r="577" spans="1:19">
      <c r="A577" s="23" t="s">
        <v>958</v>
      </c>
      <c r="B577" s="4" t="s">
        <v>1255</v>
      </c>
      <c r="D577" s="83">
        <v>0.5</v>
      </c>
      <c r="E577" s="4">
        <v>18</v>
      </c>
      <c r="F577" s="4">
        <v>11</v>
      </c>
      <c r="G577" s="4">
        <v>21</v>
      </c>
      <c r="H577" s="4">
        <v>6.3021000000000003</v>
      </c>
      <c r="I577" s="4">
        <v>4.0000000000000002E-4</v>
      </c>
      <c r="J577" s="4">
        <v>-38.391300000000001</v>
      </c>
      <c r="K577" s="4">
        <v>1.8E-3</v>
      </c>
      <c r="L577" s="4">
        <v>2.4E-2</v>
      </c>
      <c r="M577" s="4">
        <v>7.0000000000000001E-3</v>
      </c>
      <c r="N577" s="4">
        <v>-6.4000000000000003E-3</v>
      </c>
      <c r="O577" s="4">
        <v>2.0000000000000001E-4</v>
      </c>
      <c r="P577" s="4">
        <v>115.47</v>
      </c>
      <c r="Q577" s="4">
        <v>0.19</v>
      </c>
      <c r="R577" s="4">
        <f t="shared" si="36"/>
        <v>0.22443148688046646</v>
      </c>
      <c r="S577" s="22">
        <f t="shared" si="37"/>
        <v>3.6929057337220603E-4</v>
      </c>
    </row>
    <row r="578" spans="1:19">
      <c r="A578" s="28" t="s">
        <v>958</v>
      </c>
      <c r="B578" s="29" t="s">
        <v>1255</v>
      </c>
      <c r="C578" s="29"/>
      <c r="D578" s="85">
        <v>0.75</v>
      </c>
      <c r="E578" s="4">
        <v>18</v>
      </c>
      <c r="F578" s="4">
        <v>11</v>
      </c>
      <c r="G578" s="4">
        <v>21</v>
      </c>
      <c r="H578" s="29">
        <v>6.0178000000000003</v>
      </c>
      <c r="I578" s="4">
        <v>6.9999999999999999E-4</v>
      </c>
      <c r="J578" s="29">
        <v>-37.131700000000002</v>
      </c>
      <c r="K578" s="4">
        <v>2.2000000000000001E-3</v>
      </c>
      <c r="L578" s="4">
        <v>4.2999999999999997E-2</v>
      </c>
      <c r="M578" s="4">
        <v>7.0000000000000001E-3</v>
      </c>
      <c r="N578" s="4">
        <v>-8.8999999999999999E-3</v>
      </c>
      <c r="O578" s="4">
        <v>1E-4</v>
      </c>
      <c r="P578" s="4">
        <v>101.48</v>
      </c>
      <c r="Q578" s="4">
        <v>0.06</v>
      </c>
      <c r="R578" s="29">
        <f t="shared" si="36"/>
        <v>0.19724003887269195</v>
      </c>
      <c r="S578" s="22">
        <f t="shared" si="37"/>
        <v>1.1661807580174928E-4</v>
      </c>
    </row>
    <row r="579" spans="1:19">
      <c r="A579" s="33" t="s">
        <v>958</v>
      </c>
      <c r="B579" s="34" t="s">
        <v>1255</v>
      </c>
      <c r="C579" s="34"/>
      <c r="D579" s="98">
        <v>1</v>
      </c>
      <c r="E579" s="4">
        <v>18</v>
      </c>
      <c r="F579" s="4">
        <v>11</v>
      </c>
      <c r="G579" s="4">
        <v>21</v>
      </c>
      <c r="H579" s="34">
        <v>5.8792</v>
      </c>
      <c r="I579" s="4">
        <v>1E-3</v>
      </c>
      <c r="J579" s="34">
        <v>-37.186799999999998</v>
      </c>
      <c r="K579" s="4">
        <v>3.5000000000000001E-3</v>
      </c>
      <c r="L579" s="4">
        <v>5.7000000000000002E-2</v>
      </c>
      <c r="M579" s="4">
        <v>1.0999999999999999E-2</v>
      </c>
      <c r="N579" s="4">
        <v>-1.18E-2</v>
      </c>
      <c r="O579" s="4">
        <v>0</v>
      </c>
      <c r="P579" s="4">
        <v>82.15</v>
      </c>
      <c r="Q579" s="4">
        <v>0.18</v>
      </c>
      <c r="R579" s="34">
        <f>P579*E579/G579^3</f>
        <v>0.15966958211856172</v>
      </c>
      <c r="S579" s="22">
        <f t="shared" si="37"/>
        <v>3.4985422740524776E-4</v>
      </c>
    </row>
    <row r="580" spans="1:19">
      <c r="A580" s="19" t="s">
        <v>959</v>
      </c>
      <c r="B580" s="20" t="s">
        <v>1256</v>
      </c>
      <c r="C580" s="20"/>
      <c r="D580" s="81">
        <v>0.25</v>
      </c>
      <c r="E580" s="4">
        <v>18</v>
      </c>
      <c r="F580" s="4">
        <v>11</v>
      </c>
      <c r="G580" s="4">
        <v>21</v>
      </c>
      <c r="H580" s="20">
        <v>6.5507999999999997</v>
      </c>
      <c r="I580" s="4">
        <v>1E-3</v>
      </c>
      <c r="J580" s="20">
        <v>-40.568899999999999</v>
      </c>
      <c r="K580" s="4">
        <v>2.5999999999999999E-3</v>
      </c>
      <c r="L580" s="4">
        <v>3.7999999999999999E-2</v>
      </c>
      <c r="M580" s="4">
        <v>1.4999999999999999E-2</v>
      </c>
      <c r="N580" s="4">
        <v>-5.1999999999999998E-3</v>
      </c>
      <c r="O580" s="4">
        <v>1E-4</v>
      </c>
      <c r="P580" s="4">
        <v>123.9</v>
      </c>
      <c r="Q580" s="4">
        <v>0.08</v>
      </c>
      <c r="R580" s="45">
        <f>P580*E580/G580^3</f>
        <v>0.24081632653061227</v>
      </c>
      <c r="S580" s="22">
        <f>Q580*E580/G580^3</f>
        <v>1.5549076773566569E-4</v>
      </c>
    </row>
    <row r="581" spans="1:19">
      <c r="A581" s="23" t="s">
        <v>959</v>
      </c>
      <c r="B581" s="4" t="s">
        <v>1256</v>
      </c>
      <c r="D581" s="83">
        <v>0.5</v>
      </c>
      <c r="E581" s="4">
        <v>18</v>
      </c>
      <c r="F581" s="4">
        <v>11</v>
      </c>
      <c r="G581" s="4">
        <v>21</v>
      </c>
      <c r="H581" s="4">
        <v>6.0720999999999998</v>
      </c>
      <c r="I581" s="4">
        <v>8.0000000000000004E-4</v>
      </c>
      <c r="J581" s="4">
        <v>-38.246200000000002</v>
      </c>
      <c r="K581" s="4">
        <v>2.5000000000000001E-3</v>
      </c>
      <c r="L581" s="4">
        <v>7.1999999999999995E-2</v>
      </c>
      <c r="M581" s="4">
        <v>8.9999999999999993E-3</v>
      </c>
      <c r="N581" s="4">
        <v>-6.4999999999999997E-3</v>
      </c>
      <c r="O581" s="4">
        <v>1E-4</v>
      </c>
      <c r="P581" s="4">
        <v>119.9</v>
      </c>
      <c r="Q581" s="4">
        <v>0.08</v>
      </c>
      <c r="R581" s="4">
        <f t="shared" si="36"/>
        <v>0.23304178814382898</v>
      </c>
      <c r="S581" s="22">
        <f t="shared" si="37"/>
        <v>1.5549076773566569E-4</v>
      </c>
    </row>
    <row r="582" spans="1:19">
      <c r="A582" s="28" t="s">
        <v>959</v>
      </c>
      <c r="B582" s="29" t="s">
        <v>1256</v>
      </c>
      <c r="C582" s="29"/>
      <c r="D582" s="85">
        <v>0.75</v>
      </c>
      <c r="E582" s="4">
        <v>18</v>
      </c>
      <c r="F582" s="4">
        <v>11</v>
      </c>
      <c r="G582" s="4">
        <v>21</v>
      </c>
      <c r="H582" s="29">
        <v>5.5780000000000003</v>
      </c>
      <c r="I582" s="4">
        <v>1E-3</v>
      </c>
      <c r="J582" s="29">
        <v>-36.415999999999997</v>
      </c>
      <c r="K582" s="4">
        <v>1.2999999999999999E-3</v>
      </c>
      <c r="L582" s="4">
        <v>0.13</v>
      </c>
      <c r="M582" s="4">
        <v>1.7000000000000001E-2</v>
      </c>
      <c r="N582" s="4">
        <v>-9.4999999999999998E-3</v>
      </c>
      <c r="O582" s="4">
        <v>2.9999999999999997E-4</v>
      </c>
      <c r="P582" s="4">
        <v>109.92</v>
      </c>
      <c r="Q582" s="4">
        <v>0.26</v>
      </c>
      <c r="R582" s="29">
        <f t="shared" si="36"/>
        <v>0.21364431486880467</v>
      </c>
      <c r="S582" s="22">
        <f t="shared" si="37"/>
        <v>5.0534499514091349E-4</v>
      </c>
    </row>
    <row r="583" spans="1:19">
      <c r="A583" s="19" t="s">
        <v>960</v>
      </c>
      <c r="B583" s="20" t="s">
        <v>1257</v>
      </c>
      <c r="C583" s="20"/>
      <c r="D583" s="81">
        <v>0.25</v>
      </c>
      <c r="E583" s="4">
        <v>18</v>
      </c>
      <c r="F583" s="4">
        <v>11</v>
      </c>
      <c r="G583" s="4">
        <v>21</v>
      </c>
      <c r="H583" s="20">
        <v>6.5441000000000003</v>
      </c>
      <c r="I583" s="4">
        <v>1E-3</v>
      </c>
      <c r="J583" s="20">
        <v>-40.750399999999999</v>
      </c>
      <c r="K583" s="4">
        <v>1.9E-3</v>
      </c>
      <c r="L583" s="4">
        <v>5.0999999999999997E-2</v>
      </c>
      <c r="M583" s="4">
        <v>8.0000000000000002E-3</v>
      </c>
      <c r="N583" s="4">
        <v>-5.4000000000000003E-3</v>
      </c>
      <c r="O583" s="4">
        <v>1E-4</v>
      </c>
      <c r="P583" s="4">
        <v>123.24</v>
      </c>
      <c r="Q583" s="4">
        <v>0.18</v>
      </c>
      <c r="R583" s="45">
        <f>P583*E583/G583^3</f>
        <v>0.23953352769679298</v>
      </c>
      <c r="S583" s="22">
        <f>Q583*E583/G583^3</f>
        <v>3.4985422740524776E-4</v>
      </c>
    </row>
    <row r="584" spans="1:19">
      <c r="A584" s="23" t="s">
        <v>960</v>
      </c>
      <c r="B584" s="4" t="s">
        <v>1257</v>
      </c>
      <c r="D584" s="83">
        <v>0.5</v>
      </c>
      <c r="E584" s="4">
        <v>18</v>
      </c>
      <c r="F584" s="4">
        <v>11</v>
      </c>
      <c r="G584" s="4">
        <v>21</v>
      </c>
      <c r="H584" s="4">
        <v>6.0407999999999999</v>
      </c>
      <c r="I584" s="4">
        <v>2.0000000000000001E-4</v>
      </c>
      <c r="J584" s="4">
        <v>-38.873600000000003</v>
      </c>
      <c r="K584" s="4">
        <v>6.9999999999999999E-4</v>
      </c>
      <c r="L584" s="4">
        <v>0.121</v>
      </c>
      <c r="M584" s="4">
        <v>6.0000000000000001E-3</v>
      </c>
      <c r="N584" s="4">
        <v>-8.0000000000000002E-3</v>
      </c>
      <c r="O584" s="4">
        <v>2.0000000000000001E-4</v>
      </c>
      <c r="P584" s="4">
        <v>114.5</v>
      </c>
      <c r="Q584" s="4">
        <v>0.34</v>
      </c>
      <c r="R584" s="4">
        <f t="shared" si="36"/>
        <v>0.22254616132167152</v>
      </c>
      <c r="S584" s="22">
        <f t="shared" si="37"/>
        <v>6.6083576287657921E-4</v>
      </c>
    </row>
    <row r="585" spans="1:19">
      <c r="A585" s="28" t="s">
        <v>960</v>
      </c>
      <c r="B585" s="29" t="s">
        <v>1257</v>
      </c>
      <c r="C585" s="29"/>
      <c r="D585" s="85">
        <v>0.75</v>
      </c>
      <c r="E585" s="4">
        <v>18</v>
      </c>
      <c r="F585" s="4">
        <v>11</v>
      </c>
      <c r="G585" s="4">
        <v>21</v>
      </c>
      <c r="H585" s="41">
        <v>5.4433999999999996</v>
      </c>
      <c r="I585" s="4">
        <v>8.0000000000000004E-4</v>
      </c>
      <c r="J585" s="29">
        <v>-38.244500000000002</v>
      </c>
      <c r="K585" s="4">
        <v>1.1999999999999999E-3</v>
      </c>
      <c r="L585" s="4">
        <v>0.29799999999999999</v>
      </c>
      <c r="M585" s="4">
        <v>5.1999999999999998E-2</v>
      </c>
      <c r="N585" s="4">
        <v>-1.47E-2</v>
      </c>
      <c r="O585" s="4">
        <v>1E-4</v>
      </c>
      <c r="P585" s="4">
        <v>85.58</v>
      </c>
      <c r="Q585" s="4">
        <v>0.53</v>
      </c>
      <c r="R585" s="29">
        <f t="shared" si="36"/>
        <v>0.16633624878522837</v>
      </c>
      <c r="S585" s="22">
        <f t="shared" si="37"/>
        <v>1.0301263362487852E-3</v>
      </c>
    </row>
    <row r="586" spans="1:19">
      <c r="A586" s="19" t="s">
        <v>961</v>
      </c>
      <c r="B586" s="20" t="s">
        <v>1258</v>
      </c>
      <c r="C586" s="20"/>
      <c r="D586" s="81">
        <v>0.25</v>
      </c>
      <c r="E586" s="4">
        <v>18</v>
      </c>
      <c r="F586" s="4">
        <v>11</v>
      </c>
      <c r="G586" s="4">
        <v>21</v>
      </c>
      <c r="H586" s="20">
        <v>6.5518000000000001</v>
      </c>
      <c r="I586" s="4">
        <v>5.0000000000000001E-4</v>
      </c>
      <c r="J586" s="20">
        <v>-40.539299999999997</v>
      </c>
      <c r="K586" s="4">
        <v>2.0999999999999999E-3</v>
      </c>
      <c r="L586" s="4">
        <v>2.9000000000000001E-2</v>
      </c>
      <c r="M586" s="4">
        <v>0.01</v>
      </c>
      <c r="N586" s="4">
        <v>-5.1999999999999998E-3</v>
      </c>
      <c r="O586" s="4">
        <v>2.0000000000000001E-4</v>
      </c>
      <c r="P586" s="4">
        <v>124.1</v>
      </c>
      <c r="Q586" s="4">
        <v>0.13</v>
      </c>
      <c r="R586" s="45">
        <f>P586*E586/G586^3</f>
        <v>0.24120505344995138</v>
      </c>
      <c r="S586" s="22">
        <f>Q586*E586/G586^3</f>
        <v>2.5267249757045674E-4</v>
      </c>
    </row>
    <row r="587" spans="1:19">
      <c r="A587" s="23" t="s">
        <v>961</v>
      </c>
      <c r="B587" s="4" t="s">
        <v>1258</v>
      </c>
      <c r="D587" s="83">
        <v>0.5</v>
      </c>
      <c r="E587" s="4">
        <v>18</v>
      </c>
      <c r="F587" s="4">
        <v>11</v>
      </c>
      <c r="G587" s="4">
        <v>21</v>
      </c>
      <c r="H587" s="4">
        <v>6.0736999999999997</v>
      </c>
      <c r="I587" s="4">
        <v>5.0000000000000001E-4</v>
      </c>
      <c r="J587" s="4">
        <v>-38.169600000000003</v>
      </c>
      <c r="K587" s="4">
        <v>1.1000000000000001E-3</v>
      </c>
      <c r="L587" s="4">
        <v>6.7000000000000004E-2</v>
      </c>
      <c r="M587" s="4">
        <v>5.0000000000000001E-3</v>
      </c>
      <c r="N587" s="4">
        <v>-6.6E-3</v>
      </c>
      <c r="O587" s="4">
        <v>2.0000000000000001E-4</v>
      </c>
      <c r="P587" s="4">
        <v>120.16</v>
      </c>
      <c r="Q587" s="4">
        <v>0.16</v>
      </c>
      <c r="R587" s="4">
        <f t="shared" si="36"/>
        <v>0.23354713313896988</v>
      </c>
      <c r="S587" s="22">
        <f t="shared" si="37"/>
        <v>3.1098153547133139E-4</v>
      </c>
    </row>
    <row r="588" spans="1:19">
      <c r="A588" s="28" t="s">
        <v>961</v>
      </c>
      <c r="B588" s="29" t="s">
        <v>1258</v>
      </c>
      <c r="C588" s="29"/>
      <c r="D588" s="85">
        <v>0.75</v>
      </c>
      <c r="E588" s="4">
        <v>18</v>
      </c>
      <c r="F588" s="4">
        <v>11</v>
      </c>
      <c r="G588" s="4">
        <v>21</v>
      </c>
      <c r="H588" s="29">
        <v>5.5785</v>
      </c>
      <c r="I588" s="4">
        <v>1E-3</v>
      </c>
      <c r="J588" s="29">
        <v>-36.256799999999998</v>
      </c>
      <c r="K588" s="4">
        <v>2.2000000000000001E-3</v>
      </c>
      <c r="L588" s="4">
        <v>0.13800000000000001</v>
      </c>
      <c r="M588" s="4">
        <v>1.2E-2</v>
      </c>
      <c r="N588" s="4">
        <v>-9.7000000000000003E-3</v>
      </c>
      <c r="O588" s="4">
        <v>1E-4</v>
      </c>
      <c r="P588" s="4">
        <v>110.07</v>
      </c>
      <c r="Q588" s="4">
        <v>0.18</v>
      </c>
      <c r="R588" s="29">
        <f t="shared" si="36"/>
        <v>0.213935860058309</v>
      </c>
      <c r="S588" s="22">
        <f t="shared" si="37"/>
        <v>3.4985422740524776E-4</v>
      </c>
    </row>
    <row r="589" spans="1:19">
      <c r="A589" s="19" t="s">
        <v>962</v>
      </c>
      <c r="B589" s="20" t="s">
        <v>1259</v>
      </c>
      <c r="C589" s="20"/>
      <c r="D589" s="81">
        <v>0.25</v>
      </c>
      <c r="E589" s="4">
        <v>18</v>
      </c>
      <c r="F589" s="4">
        <v>11</v>
      </c>
      <c r="G589" s="4">
        <v>21</v>
      </c>
      <c r="H589" s="20">
        <v>6.6097999999999999</v>
      </c>
      <c r="I589" s="4">
        <v>2.0000000000000001E-4</v>
      </c>
      <c r="J589" s="20">
        <v>-40.502200000000002</v>
      </c>
      <c r="K589" s="4">
        <v>1.1000000000000001E-3</v>
      </c>
      <c r="L589" s="4">
        <v>2.9000000000000001E-2</v>
      </c>
      <c r="M589" s="4">
        <v>5.0000000000000001E-3</v>
      </c>
      <c r="N589" s="4">
        <v>-5.0000000000000001E-3</v>
      </c>
      <c r="O589" s="4">
        <v>1E-4</v>
      </c>
      <c r="P589" s="4">
        <v>124.16</v>
      </c>
      <c r="Q589" s="4">
        <v>0.1</v>
      </c>
      <c r="R589" s="45">
        <f>P589*E589/G589^3</f>
        <v>0.24132167152575318</v>
      </c>
      <c r="S589" s="22">
        <f>Q589*E589/G589^3</f>
        <v>1.9436345966958212E-4</v>
      </c>
    </row>
    <row r="590" spans="1:19">
      <c r="A590" s="23" t="s">
        <v>962</v>
      </c>
      <c r="B590" s="4" t="s">
        <v>1259</v>
      </c>
      <c r="D590" s="83">
        <v>0.5</v>
      </c>
      <c r="E590" s="4">
        <v>18</v>
      </c>
      <c r="F590" s="4">
        <v>11</v>
      </c>
      <c r="G590" s="4">
        <v>21</v>
      </c>
      <c r="H590" s="4">
        <v>6.1993</v>
      </c>
      <c r="I590" s="4">
        <v>1E-3</v>
      </c>
      <c r="J590" s="4">
        <v>-38.033000000000001</v>
      </c>
      <c r="K590" s="4">
        <v>1.1999999999999999E-3</v>
      </c>
      <c r="L590" s="4">
        <v>2.7E-2</v>
      </c>
      <c r="M590" s="4">
        <v>6.0000000000000001E-3</v>
      </c>
      <c r="N590" s="4">
        <v>-5.7000000000000002E-3</v>
      </c>
      <c r="O590" s="4">
        <v>1E-4</v>
      </c>
      <c r="P590" s="4">
        <v>121.48</v>
      </c>
      <c r="Q590" s="4">
        <v>0.14000000000000001</v>
      </c>
      <c r="R590" s="4">
        <f t="shared" ref="R590:R632" si="38">P590*E590/G590^3</f>
        <v>0.23611273080660836</v>
      </c>
      <c r="S590" s="22">
        <f t="shared" ref="S590:S632" si="39">Q590*E590/G590^3</f>
        <v>2.7210884353741501E-4</v>
      </c>
    </row>
    <row r="591" spans="1:19">
      <c r="A591" s="19" t="s">
        <v>963</v>
      </c>
      <c r="B591" s="20" t="s">
        <v>1260</v>
      </c>
      <c r="C591" s="20"/>
      <c r="D591" s="81">
        <v>0.25</v>
      </c>
      <c r="E591" s="4">
        <v>18</v>
      </c>
      <c r="F591" s="4">
        <v>11</v>
      </c>
      <c r="G591" s="4">
        <v>21</v>
      </c>
      <c r="H591" s="20">
        <v>6.6172000000000004</v>
      </c>
      <c r="I591" s="4">
        <v>6.9999999999999999E-4</v>
      </c>
      <c r="J591" s="20">
        <v>-40.530500000000004</v>
      </c>
      <c r="K591" s="4">
        <v>2.0999999999999999E-3</v>
      </c>
      <c r="L591" s="4">
        <v>2.3E-2</v>
      </c>
      <c r="M591" s="4">
        <v>2E-3</v>
      </c>
      <c r="N591" s="4">
        <v>-5.0000000000000001E-3</v>
      </c>
      <c r="O591" s="4">
        <v>2.9999999999999997E-4</v>
      </c>
      <c r="P591" s="4">
        <v>123.99</v>
      </c>
      <c r="Q591" s="4">
        <v>0.33</v>
      </c>
      <c r="R591" s="45">
        <f>P591*E591/G591^3</f>
        <v>0.24099125364431484</v>
      </c>
      <c r="S591" s="22">
        <f>Q591*E591/G591^3</f>
        <v>6.4139941690962105E-4</v>
      </c>
    </row>
    <row r="592" spans="1:19">
      <c r="A592" s="23" t="s">
        <v>963</v>
      </c>
      <c r="B592" s="4" t="s">
        <v>1260</v>
      </c>
      <c r="D592" s="83">
        <v>0.5</v>
      </c>
      <c r="E592" s="4">
        <v>18</v>
      </c>
      <c r="F592" s="4">
        <v>11</v>
      </c>
      <c r="G592" s="4">
        <v>21</v>
      </c>
      <c r="H592" s="4">
        <v>6.2117000000000004</v>
      </c>
      <c r="I592" s="4">
        <v>1E-3</v>
      </c>
      <c r="J592" s="4">
        <v>-38.131300000000003</v>
      </c>
      <c r="K592" s="4">
        <v>1.5E-3</v>
      </c>
      <c r="L592" s="4">
        <v>0.03</v>
      </c>
      <c r="M592" s="4">
        <v>7.0000000000000001E-3</v>
      </c>
      <c r="N592" s="4">
        <v>-5.8999999999999999E-3</v>
      </c>
      <c r="O592" s="4">
        <v>1E-4</v>
      </c>
      <c r="P592" s="4">
        <v>120.42</v>
      </c>
      <c r="Q592" s="4">
        <v>0.23</v>
      </c>
      <c r="R592" s="4">
        <f t="shared" si="38"/>
        <v>0.23405247813411079</v>
      </c>
      <c r="S592" s="22">
        <f t="shared" si="39"/>
        <v>4.4703595724003895E-4</v>
      </c>
    </row>
    <row r="593" spans="1:19">
      <c r="A593" s="19" t="s">
        <v>964</v>
      </c>
      <c r="B593" s="20" t="s">
        <v>1261</v>
      </c>
      <c r="C593" s="20"/>
      <c r="D593" s="81">
        <v>0.25</v>
      </c>
      <c r="E593" s="4">
        <v>18</v>
      </c>
      <c r="F593" s="4">
        <v>11</v>
      </c>
      <c r="G593" s="4">
        <v>21</v>
      </c>
      <c r="H593" s="20">
        <v>6.5814000000000004</v>
      </c>
      <c r="I593" s="4">
        <v>6.9999999999999999E-4</v>
      </c>
      <c r="J593" s="20">
        <v>-40.5366</v>
      </c>
      <c r="K593" s="4">
        <v>1.1000000000000001E-3</v>
      </c>
      <c r="L593" s="4">
        <v>4.2999999999999997E-2</v>
      </c>
      <c r="M593" s="4">
        <v>1.0999999999999999E-2</v>
      </c>
      <c r="N593" s="4">
        <v>-5.1999999999999998E-3</v>
      </c>
      <c r="O593" s="4">
        <v>1E-4</v>
      </c>
      <c r="P593" s="4">
        <v>124.39</v>
      </c>
      <c r="Q593" s="4">
        <v>0.21</v>
      </c>
      <c r="R593" s="45">
        <f>P593*E593/G593^3</f>
        <v>0.2417687074829932</v>
      </c>
      <c r="S593" s="22">
        <f>Q593*E593/G593^3</f>
        <v>4.0816326530612241E-4</v>
      </c>
    </row>
    <row r="594" spans="1:19">
      <c r="A594" s="23" t="s">
        <v>964</v>
      </c>
      <c r="B594" s="4" t="s">
        <v>1261</v>
      </c>
      <c r="D594" s="83">
        <v>0.5</v>
      </c>
      <c r="E594" s="4">
        <v>18</v>
      </c>
      <c r="F594" s="4">
        <v>11</v>
      </c>
      <c r="G594" s="4">
        <v>21</v>
      </c>
      <c r="H594" s="4">
        <v>6.1435000000000004</v>
      </c>
      <c r="I594" s="4">
        <v>1E-3</v>
      </c>
      <c r="J594" s="4">
        <v>-38.069800000000001</v>
      </c>
      <c r="K594" s="4">
        <v>3.8999999999999998E-3</v>
      </c>
      <c r="L594" s="4">
        <v>3.4000000000000002E-2</v>
      </c>
      <c r="M594" s="4">
        <v>8.0000000000000002E-3</v>
      </c>
      <c r="N594" s="4">
        <v>-5.8999999999999999E-3</v>
      </c>
      <c r="O594" s="4">
        <v>2.9999999999999997E-4</v>
      </c>
      <c r="P594" s="4">
        <v>122.23</v>
      </c>
      <c r="Q594" s="4">
        <v>0.27</v>
      </c>
      <c r="R594" s="4">
        <f t="shared" si="38"/>
        <v>0.23757045675413022</v>
      </c>
      <c r="S594" s="22">
        <f t="shared" si="39"/>
        <v>5.2478134110787176E-4</v>
      </c>
    </row>
    <row r="595" spans="1:19">
      <c r="A595" s="19" t="s">
        <v>965</v>
      </c>
      <c r="B595" s="20" t="s">
        <v>1262</v>
      </c>
      <c r="C595" s="20"/>
      <c r="D595" s="81">
        <v>0.25</v>
      </c>
      <c r="E595" s="4">
        <v>18</v>
      </c>
      <c r="F595" s="4">
        <v>11</v>
      </c>
      <c r="G595" s="4">
        <v>21</v>
      </c>
      <c r="H595" s="20">
        <v>6.5140000000000002</v>
      </c>
      <c r="I595" s="4">
        <v>5.9999999999999995E-4</v>
      </c>
      <c r="J595" s="20">
        <v>-40.667200000000001</v>
      </c>
      <c r="K595" s="4">
        <v>2.2000000000000001E-3</v>
      </c>
      <c r="L595" s="4">
        <v>5.3999999999999999E-2</v>
      </c>
      <c r="M595" s="4">
        <v>5.0000000000000001E-3</v>
      </c>
      <c r="N595" s="4">
        <v>-5.4999999999999997E-3</v>
      </c>
      <c r="O595" s="4">
        <v>2.0000000000000001E-4</v>
      </c>
      <c r="P595" s="4">
        <v>123.2</v>
      </c>
      <c r="Q595" s="4">
        <v>0.17</v>
      </c>
      <c r="R595" s="45">
        <f>P595*E595/G595^3</f>
        <v>0.23945578231292516</v>
      </c>
      <c r="S595" s="22">
        <f>Q595*E595/G595^3</f>
        <v>3.304178814382896E-4</v>
      </c>
    </row>
    <row r="596" spans="1:19">
      <c r="A596" s="23" t="s">
        <v>965</v>
      </c>
      <c r="B596" s="4" t="s">
        <v>1262</v>
      </c>
      <c r="D596" s="83">
        <v>0.5</v>
      </c>
      <c r="E596" s="4">
        <v>18</v>
      </c>
      <c r="F596" s="4">
        <v>11</v>
      </c>
      <c r="G596" s="4">
        <v>21</v>
      </c>
      <c r="H596" s="4">
        <v>5.9866999999999999</v>
      </c>
      <c r="I596" s="4">
        <v>5.9999999999999995E-4</v>
      </c>
      <c r="J596" s="4">
        <v>-38.809600000000003</v>
      </c>
      <c r="K596" s="4">
        <v>1.6000000000000001E-3</v>
      </c>
      <c r="L596" s="4">
        <v>0.126</v>
      </c>
      <c r="M596" s="4">
        <v>5.0000000000000001E-3</v>
      </c>
      <c r="N596" s="4">
        <v>-7.9000000000000008E-3</v>
      </c>
      <c r="O596" s="4">
        <v>2.0000000000000001E-4</v>
      </c>
      <c r="P596" s="4">
        <v>114.58</v>
      </c>
      <c r="Q596" s="4">
        <v>0.25</v>
      </c>
      <c r="R596" s="4">
        <f t="shared" si="38"/>
        <v>0.2227016520894072</v>
      </c>
      <c r="S596" s="22">
        <f t="shared" si="39"/>
        <v>4.8590864917395527E-4</v>
      </c>
    </row>
    <row r="597" spans="1:19">
      <c r="A597" s="19" t="s">
        <v>966</v>
      </c>
      <c r="B597" s="20" t="s">
        <v>1263</v>
      </c>
      <c r="C597" s="20"/>
      <c r="D597" s="81">
        <v>0.25</v>
      </c>
      <c r="E597" s="4">
        <v>18</v>
      </c>
      <c r="F597" s="4">
        <v>11</v>
      </c>
      <c r="G597" s="4">
        <v>21</v>
      </c>
      <c r="H597" s="20">
        <v>6.5552999999999999</v>
      </c>
      <c r="I597" s="4">
        <v>5.0000000000000001E-4</v>
      </c>
      <c r="J597" s="20">
        <v>-40.496899999999997</v>
      </c>
      <c r="K597" s="4">
        <v>2.3999999999999998E-3</v>
      </c>
      <c r="L597" s="4">
        <v>4.1000000000000002E-2</v>
      </c>
      <c r="M597" s="4">
        <v>8.0000000000000002E-3</v>
      </c>
      <c r="N597" s="4">
        <v>-5.1999999999999998E-3</v>
      </c>
      <c r="O597" s="4">
        <v>1E-4</v>
      </c>
      <c r="P597" s="4">
        <v>123.7</v>
      </c>
      <c r="Q597" s="4">
        <v>0.16</v>
      </c>
      <c r="R597" s="45">
        <f>P597*E597/G597^3</f>
        <v>0.24042759961127308</v>
      </c>
      <c r="S597" s="22">
        <f>Q597*E597/G597^3</f>
        <v>3.1098153547133139E-4</v>
      </c>
    </row>
    <row r="598" spans="1:19">
      <c r="A598" s="23" t="s">
        <v>966</v>
      </c>
      <c r="B598" s="4" t="s">
        <v>1263</v>
      </c>
      <c r="D598" s="83">
        <v>0.5</v>
      </c>
      <c r="E598" s="4">
        <v>18</v>
      </c>
      <c r="F598" s="4">
        <v>11</v>
      </c>
      <c r="G598" s="4">
        <v>21</v>
      </c>
      <c r="H598" s="4">
        <v>6.0791000000000004</v>
      </c>
      <c r="I598" s="4">
        <v>8.0000000000000004E-4</v>
      </c>
      <c r="J598" s="4">
        <v>-38.173200000000001</v>
      </c>
      <c r="K598" s="4">
        <v>1.6999999999999999E-3</v>
      </c>
      <c r="L598" s="4">
        <v>8.3000000000000004E-2</v>
      </c>
      <c r="M598" s="4">
        <v>7.0000000000000001E-3</v>
      </c>
      <c r="N598" s="4">
        <v>-7.3000000000000001E-3</v>
      </c>
      <c r="O598" s="4">
        <v>0</v>
      </c>
      <c r="P598" s="4">
        <v>117.8</v>
      </c>
      <c r="Q598" s="4">
        <v>0.1</v>
      </c>
      <c r="R598" s="4">
        <f t="shared" si="38"/>
        <v>0.22896015549076776</v>
      </c>
      <c r="S598" s="22">
        <f t="shared" si="39"/>
        <v>1.9436345966958212E-4</v>
      </c>
    </row>
    <row r="599" spans="1:19">
      <c r="A599" s="19" t="s">
        <v>967</v>
      </c>
      <c r="B599" s="20" t="s">
        <v>1264</v>
      </c>
      <c r="C599" s="20"/>
      <c r="D599" s="81">
        <v>0.25</v>
      </c>
      <c r="E599" s="4">
        <v>18</v>
      </c>
      <c r="F599" s="4">
        <v>11</v>
      </c>
      <c r="G599" s="4">
        <v>21</v>
      </c>
      <c r="H599" s="20">
        <v>6.5449000000000002</v>
      </c>
      <c r="I599" s="4">
        <v>2.9999999999999997E-4</v>
      </c>
      <c r="J599" s="20">
        <v>-40.692</v>
      </c>
      <c r="K599" s="4">
        <v>8.9999999999999998E-4</v>
      </c>
      <c r="L599" s="4">
        <v>0.04</v>
      </c>
      <c r="M599" s="4">
        <v>6.0000000000000001E-3</v>
      </c>
      <c r="N599" s="4">
        <v>-5.0000000000000001E-3</v>
      </c>
      <c r="O599" s="4">
        <v>1E-4</v>
      </c>
      <c r="P599" s="4">
        <v>124.72</v>
      </c>
      <c r="Q599" s="4">
        <v>0.19</v>
      </c>
      <c r="R599" s="45">
        <f>P599*E599/G599^3</f>
        <v>0.24241010689990283</v>
      </c>
      <c r="S599" s="22">
        <f>Q599*E599/G599^3</f>
        <v>3.6929057337220603E-4</v>
      </c>
    </row>
    <row r="600" spans="1:19">
      <c r="A600" s="23" t="s">
        <v>967</v>
      </c>
      <c r="B600" s="4" t="s">
        <v>1264</v>
      </c>
      <c r="D600" s="83">
        <v>0.5</v>
      </c>
      <c r="E600" s="4">
        <v>18</v>
      </c>
      <c r="F600" s="4">
        <v>11</v>
      </c>
      <c r="G600" s="4">
        <v>21</v>
      </c>
      <c r="H600" s="4">
        <v>6.0641999999999996</v>
      </c>
      <c r="I600" s="4">
        <v>8.0000000000000004E-4</v>
      </c>
      <c r="J600" s="4">
        <v>-38.438800000000001</v>
      </c>
      <c r="K600" s="4">
        <v>1.1000000000000001E-3</v>
      </c>
      <c r="L600" s="4">
        <v>5.7000000000000002E-2</v>
      </c>
      <c r="M600" s="4">
        <v>6.0000000000000001E-3</v>
      </c>
      <c r="N600" s="4">
        <v>-6.4000000000000003E-3</v>
      </c>
      <c r="O600" s="4">
        <v>1E-4</v>
      </c>
      <c r="P600" s="4">
        <v>121.37</v>
      </c>
      <c r="Q600" s="4">
        <v>0.11</v>
      </c>
      <c r="R600" s="4">
        <f t="shared" si="38"/>
        <v>0.23589893100097181</v>
      </c>
      <c r="S600" s="22">
        <f t="shared" si="39"/>
        <v>2.1379980563654034E-4</v>
      </c>
    </row>
    <row r="601" spans="1:19">
      <c r="A601" s="19" t="s">
        <v>968</v>
      </c>
      <c r="B601" s="20" t="s">
        <v>1265</v>
      </c>
      <c r="C601" s="20"/>
      <c r="D601" s="81">
        <v>0.25</v>
      </c>
      <c r="E601" s="4">
        <v>18</v>
      </c>
      <c r="F601" s="4">
        <v>11</v>
      </c>
      <c r="G601" s="4">
        <v>21</v>
      </c>
      <c r="H601" s="20">
        <v>6.5762</v>
      </c>
      <c r="I601" s="4">
        <v>8.9999999999999998E-4</v>
      </c>
      <c r="J601" s="20">
        <v>-40.4664</v>
      </c>
      <c r="K601" s="4">
        <v>1.6000000000000001E-3</v>
      </c>
      <c r="L601" s="4">
        <v>3.1E-2</v>
      </c>
      <c r="M601" s="4">
        <v>6.0000000000000001E-3</v>
      </c>
      <c r="N601" s="4">
        <v>-5.0000000000000001E-3</v>
      </c>
      <c r="O601" s="4">
        <v>2.9999999999999997E-4</v>
      </c>
      <c r="P601" s="4">
        <v>124.62</v>
      </c>
      <c r="Q601" s="4">
        <v>0.26</v>
      </c>
      <c r="R601" s="45">
        <f>P601*E601/G601^3</f>
        <v>0.24221574344023322</v>
      </c>
      <c r="S601" s="22">
        <f>Q601*E601/G601^3</f>
        <v>5.0534499514091349E-4</v>
      </c>
    </row>
    <row r="602" spans="1:19">
      <c r="A602" s="23" t="s">
        <v>968</v>
      </c>
      <c r="B602" s="4" t="s">
        <v>1265</v>
      </c>
      <c r="D602" s="83">
        <v>0.5</v>
      </c>
      <c r="E602" s="4">
        <v>18</v>
      </c>
      <c r="F602" s="4">
        <v>11</v>
      </c>
      <c r="G602" s="4">
        <v>21</v>
      </c>
      <c r="H602" s="4">
        <v>6.1303000000000001</v>
      </c>
      <c r="I602" s="4">
        <v>5.9999999999999995E-4</v>
      </c>
      <c r="J602" s="4">
        <v>-37.9116</v>
      </c>
      <c r="K602" s="4">
        <v>1E-3</v>
      </c>
      <c r="L602" s="4">
        <v>3.5000000000000003E-2</v>
      </c>
      <c r="M602" s="4">
        <v>6.0000000000000001E-3</v>
      </c>
      <c r="N602" s="4">
        <v>-5.7000000000000002E-3</v>
      </c>
      <c r="O602" s="4">
        <v>1E-4</v>
      </c>
      <c r="P602" s="4">
        <v>122.62</v>
      </c>
      <c r="Q602" s="4">
        <v>0.11</v>
      </c>
      <c r="R602" s="4">
        <f t="shared" si="38"/>
        <v>0.23832847424684159</v>
      </c>
      <c r="S602" s="22">
        <f t="shared" si="39"/>
        <v>2.1379980563654034E-4</v>
      </c>
    </row>
    <row r="603" spans="1:19">
      <c r="A603" s="19" t="s">
        <v>969</v>
      </c>
      <c r="B603" s="20" t="s">
        <v>1266</v>
      </c>
      <c r="C603" s="20"/>
      <c r="D603" s="81">
        <v>0.25</v>
      </c>
      <c r="E603" s="4">
        <v>18</v>
      </c>
      <c r="F603" s="4">
        <v>11</v>
      </c>
      <c r="G603" s="4">
        <v>21</v>
      </c>
      <c r="H603" s="20">
        <v>6.5805999999999996</v>
      </c>
      <c r="I603" s="4">
        <v>5.9999999999999995E-4</v>
      </c>
      <c r="J603" s="20">
        <v>-40.708199999999998</v>
      </c>
      <c r="K603" s="4">
        <v>1.6999999999999999E-3</v>
      </c>
      <c r="L603" s="4">
        <v>3.2000000000000001E-2</v>
      </c>
      <c r="M603" s="4">
        <v>6.0000000000000001E-3</v>
      </c>
      <c r="N603" s="4">
        <v>-5.3E-3</v>
      </c>
      <c r="O603" s="4">
        <v>1E-4</v>
      </c>
      <c r="P603" s="4">
        <v>123.68</v>
      </c>
      <c r="Q603" s="4">
        <v>0.1</v>
      </c>
      <c r="R603" s="45">
        <f>P603*E603/G603^3</f>
        <v>0.24038872691933919</v>
      </c>
      <c r="S603" s="22">
        <f>Q603*E603/G603^3</f>
        <v>1.9436345966958212E-4</v>
      </c>
    </row>
    <row r="604" spans="1:19">
      <c r="A604" s="23" t="s">
        <v>969</v>
      </c>
      <c r="B604" s="4" t="s">
        <v>1266</v>
      </c>
      <c r="D604" s="83">
        <v>0.5</v>
      </c>
      <c r="E604" s="4">
        <v>18</v>
      </c>
      <c r="F604" s="4">
        <v>11</v>
      </c>
      <c r="G604" s="4">
        <v>21</v>
      </c>
      <c r="H604" s="4">
        <v>6.1275000000000004</v>
      </c>
      <c r="I604" s="4">
        <v>2.9999999999999997E-4</v>
      </c>
      <c r="J604" s="4">
        <v>-38.557200000000002</v>
      </c>
      <c r="K604" s="4">
        <v>1.4E-3</v>
      </c>
      <c r="L604" s="4">
        <v>6.6000000000000003E-2</v>
      </c>
      <c r="M604" s="4">
        <v>1E-3</v>
      </c>
      <c r="N604" s="4">
        <v>-6.6E-3</v>
      </c>
      <c r="O604" s="4">
        <v>1E-4</v>
      </c>
      <c r="P604" s="4">
        <v>119</v>
      </c>
      <c r="Q604" s="4">
        <v>0.11</v>
      </c>
      <c r="R604" s="4">
        <f t="shared" si="38"/>
        <v>0.23129251700680273</v>
      </c>
      <c r="S604" s="22">
        <f t="shared" si="39"/>
        <v>2.1379980563654034E-4</v>
      </c>
    </row>
    <row r="605" spans="1:19">
      <c r="A605" s="28" t="s">
        <v>969</v>
      </c>
      <c r="B605" s="29" t="s">
        <v>1266</v>
      </c>
      <c r="C605" s="29"/>
      <c r="D605" s="85">
        <v>0.75</v>
      </c>
      <c r="E605" s="4">
        <v>18</v>
      </c>
      <c r="F605" s="4">
        <v>11</v>
      </c>
      <c r="G605" s="4">
        <v>21</v>
      </c>
      <c r="H605" s="29">
        <v>5.6544999999999996</v>
      </c>
      <c r="I605" s="4">
        <v>1E-3</v>
      </c>
      <c r="J605" s="29">
        <v>-36.945099999999996</v>
      </c>
      <c r="K605" s="4">
        <v>2.7000000000000001E-3</v>
      </c>
      <c r="L605" s="4">
        <v>0.14499999999999999</v>
      </c>
      <c r="M605" s="4">
        <v>1.4E-2</v>
      </c>
      <c r="N605" s="4">
        <v>-1.04E-2</v>
      </c>
      <c r="O605" s="4">
        <v>2.0000000000000001E-4</v>
      </c>
      <c r="P605" s="4">
        <v>106.47</v>
      </c>
      <c r="Q605" s="4">
        <v>0.28999999999999998</v>
      </c>
      <c r="R605" s="29">
        <f t="shared" si="38"/>
        <v>0.20693877551020409</v>
      </c>
      <c r="S605" s="22">
        <f t="shared" si="39"/>
        <v>5.6365403304178808E-4</v>
      </c>
    </row>
    <row r="606" spans="1:19">
      <c r="A606" s="19" t="s">
        <v>970</v>
      </c>
      <c r="B606" s="20" t="s">
        <v>1267</v>
      </c>
      <c r="C606" s="20"/>
      <c r="D606" s="81">
        <v>0.25</v>
      </c>
      <c r="E606" s="4">
        <v>18</v>
      </c>
      <c r="F606" s="4">
        <v>11</v>
      </c>
      <c r="G606" s="4">
        <v>21</v>
      </c>
      <c r="H606" s="20">
        <v>6.5632000000000001</v>
      </c>
      <c r="I606" s="4">
        <v>1E-4</v>
      </c>
      <c r="J606" s="20">
        <v>-40.560499999999998</v>
      </c>
      <c r="K606" s="4">
        <v>6.9999999999999999E-4</v>
      </c>
      <c r="L606" s="4">
        <v>6.0999999999999999E-2</v>
      </c>
      <c r="M606" s="4">
        <v>8.0000000000000002E-3</v>
      </c>
      <c r="N606" s="4">
        <v>-5.3E-3</v>
      </c>
      <c r="O606" s="4">
        <v>1E-4</v>
      </c>
      <c r="P606" s="4">
        <v>124.31</v>
      </c>
      <c r="Q606" s="4">
        <v>0.11</v>
      </c>
      <c r="R606" s="45">
        <f>P606*E606/G606^3</f>
        <v>0.24161321671525751</v>
      </c>
      <c r="S606" s="22">
        <f>Q606*E606/G606^3</f>
        <v>2.1379980563654034E-4</v>
      </c>
    </row>
    <row r="607" spans="1:19">
      <c r="A607" s="23" t="s">
        <v>970</v>
      </c>
      <c r="B607" s="4" t="s">
        <v>1267</v>
      </c>
      <c r="D607" s="83">
        <v>0.5</v>
      </c>
      <c r="E607" s="4">
        <v>18</v>
      </c>
      <c r="F607" s="4">
        <v>11</v>
      </c>
      <c r="G607" s="4">
        <v>21</v>
      </c>
      <c r="H607" s="4">
        <v>6.1077000000000004</v>
      </c>
      <c r="I607" s="4">
        <v>1E-3</v>
      </c>
      <c r="J607" s="4">
        <v>-38.122599999999998</v>
      </c>
      <c r="K607" s="4">
        <v>2.0999999999999999E-3</v>
      </c>
      <c r="L607" s="4">
        <v>4.7E-2</v>
      </c>
      <c r="M607" s="4">
        <v>0.01</v>
      </c>
      <c r="N607" s="4">
        <v>-6.1000000000000004E-3</v>
      </c>
      <c r="O607" s="4">
        <v>2.0000000000000001E-4</v>
      </c>
      <c r="P607" s="4">
        <v>121.82</v>
      </c>
      <c r="Q607" s="4">
        <v>0.23</v>
      </c>
      <c r="R607" s="4">
        <f t="shared" si="38"/>
        <v>0.23677356656948492</v>
      </c>
      <c r="S607" s="22">
        <f t="shared" si="39"/>
        <v>4.4703595724003895E-4</v>
      </c>
    </row>
    <row r="608" spans="1:19">
      <c r="A608" s="28" t="s">
        <v>970</v>
      </c>
      <c r="B608" s="29" t="s">
        <v>1267</v>
      </c>
      <c r="C608" s="29"/>
      <c r="D608" s="85">
        <v>0.75</v>
      </c>
      <c r="E608" s="4">
        <v>18</v>
      </c>
      <c r="F608" s="4">
        <v>11</v>
      </c>
      <c r="G608" s="4">
        <v>21</v>
      </c>
      <c r="H608" s="29">
        <v>5.6528999999999998</v>
      </c>
      <c r="I608" s="4">
        <v>6.9999999999999999E-4</v>
      </c>
      <c r="J608" s="29">
        <v>-35.977600000000002</v>
      </c>
      <c r="K608" s="4">
        <v>2.2000000000000001E-3</v>
      </c>
      <c r="L608" s="4">
        <v>6.2E-2</v>
      </c>
      <c r="M608" s="4">
        <v>4.0000000000000001E-3</v>
      </c>
      <c r="N608" s="4">
        <v>-7.4999999999999997E-3</v>
      </c>
      <c r="O608" s="4">
        <v>1E-4</v>
      </c>
      <c r="P608" s="4">
        <v>116.67</v>
      </c>
      <c r="Q608" s="4">
        <v>0.11</v>
      </c>
      <c r="R608" s="29">
        <f t="shared" si="38"/>
        <v>0.22676384839650146</v>
      </c>
      <c r="S608" s="22">
        <f t="shared" si="39"/>
        <v>2.1379980563654034E-4</v>
      </c>
    </row>
    <row r="609" spans="1:19">
      <c r="A609" s="19" t="s">
        <v>971</v>
      </c>
      <c r="B609" s="20" t="s">
        <v>1268</v>
      </c>
      <c r="C609" s="20"/>
      <c r="D609" s="81">
        <v>0.25</v>
      </c>
      <c r="E609" s="4">
        <v>18</v>
      </c>
      <c r="F609" s="4">
        <v>11</v>
      </c>
      <c r="G609" s="4">
        <v>21</v>
      </c>
      <c r="H609" s="20">
        <v>6.5926</v>
      </c>
      <c r="I609" s="4">
        <v>8.0000000000000004E-4</v>
      </c>
      <c r="J609" s="20">
        <v>-40.612699999999997</v>
      </c>
      <c r="K609" s="4">
        <v>2.2000000000000001E-3</v>
      </c>
      <c r="L609" s="4">
        <v>5.3999999999999999E-2</v>
      </c>
      <c r="M609" s="4">
        <v>7.0000000000000001E-3</v>
      </c>
      <c r="N609" s="4">
        <v>-5.0000000000000001E-3</v>
      </c>
      <c r="O609" s="4">
        <v>2.0000000000000001E-4</v>
      </c>
      <c r="P609" s="4">
        <v>124.64</v>
      </c>
      <c r="Q609" s="4">
        <v>0.2</v>
      </c>
      <c r="R609" s="45">
        <f>P609*E609/G609^3</f>
        <v>0.24225461613216714</v>
      </c>
      <c r="S609" s="22">
        <f>Q609*E609/G609^3</f>
        <v>3.8872691933916425E-4</v>
      </c>
    </row>
    <row r="610" spans="1:19">
      <c r="A610" s="23" t="s">
        <v>971</v>
      </c>
      <c r="B610" s="4" t="s">
        <v>1268</v>
      </c>
      <c r="D610" s="83">
        <v>0.5</v>
      </c>
      <c r="E610" s="4">
        <v>18</v>
      </c>
      <c r="F610" s="4">
        <v>11</v>
      </c>
      <c r="G610" s="4">
        <v>21</v>
      </c>
      <c r="H610" s="4">
        <v>6.1612</v>
      </c>
      <c r="I610" s="4">
        <v>8.9999999999999998E-4</v>
      </c>
      <c r="J610" s="4">
        <v>-38.216200000000001</v>
      </c>
      <c r="K610" s="4">
        <v>4.5999999999999999E-3</v>
      </c>
      <c r="L610" s="4">
        <v>3.7999999999999999E-2</v>
      </c>
      <c r="M610" s="4">
        <v>1.2E-2</v>
      </c>
      <c r="N610" s="4">
        <v>-5.7000000000000002E-3</v>
      </c>
      <c r="O610" s="4">
        <v>4.0000000000000002E-4</v>
      </c>
      <c r="P610" s="4">
        <v>122.36</v>
      </c>
      <c r="Q610" s="4">
        <v>0.47</v>
      </c>
      <c r="R610" s="4">
        <f t="shared" si="38"/>
        <v>0.23782312925170068</v>
      </c>
      <c r="S610" s="22">
        <f t="shared" si="39"/>
        <v>9.1350826044703584E-4</v>
      </c>
    </row>
    <row r="611" spans="1:19">
      <c r="A611" s="28" t="s">
        <v>971</v>
      </c>
      <c r="B611" s="29" t="s">
        <v>1268</v>
      </c>
      <c r="C611" s="29"/>
      <c r="D611" s="85">
        <v>0.75</v>
      </c>
      <c r="E611" s="4">
        <v>18</v>
      </c>
      <c r="F611" s="4">
        <v>11</v>
      </c>
      <c r="G611" s="4">
        <v>21</v>
      </c>
      <c r="H611" s="29">
        <v>5.7314999999999996</v>
      </c>
      <c r="I611" s="4">
        <v>6.9999999999999999E-4</v>
      </c>
      <c r="J611" s="29">
        <v>-36.071599999999997</v>
      </c>
      <c r="K611" s="4">
        <v>1.9E-3</v>
      </c>
      <c r="L611" s="4">
        <v>4.7E-2</v>
      </c>
      <c r="M611" s="4">
        <v>1.0999999999999999E-2</v>
      </c>
      <c r="N611" s="4">
        <v>-7.1000000000000004E-3</v>
      </c>
      <c r="O611" s="4">
        <v>1E-4</v>
      </c>
      <c r="P611" s="4">
        <v>117.95</v>
      </c>
      <c r="Q611" s="4">
        <v>0.17</v>
      </c>
      <c r="R611" s="29">
        <f t="shared" si="38"/>
        <v>0.22925170068027209</v>
      </c>
      <c r="S611" s="22">
        <f t="shared" si="39"/>
        <v>3.304178814382896E-4</v>
      </c>
    </row>
    <row r="612" spans="1:19">
      <c r="A612" s="33" t="s">
        <v>971</v>
      </c>
      <c r="B612" s="34" t="s">
        <v>1268</v>
      </c>
      <c r="C612" s="34"/>
      <c r="D612" s="98">
        <v>1</v>
      </c>
      <c r="E612" s="4">
        <v>18</v>
      </c>
      <c r="F612" s="4">
        <v>11</v>
      </c>
      <c r="G612" s="4">
        <v>21</v>
      </c>
      <c r="H612" s="34">
        <v>5.2992999999999997</v>
      </c>
      <c r="I612" s="4">
        <v>8.9999999999999998E-4</v>
      </c>
      <c r="J612" s="34">
        <v>-34.29</v>
      </c>
      <c r="K612" s="4">
        <v>1.1000000000000001E-3</v>
      </c>
      <c r="L612" s="4">
        <v>0.128</v>
      </c>
      <c r="M612" s="4">
        <v>8.0000000000000002E-3</v>
      </c>
      <c r="N612" s="4">
        <v>-9.5999999999999992E-3</v>
      </c>
      <c r="O612" s="4">
        <v>2.0000000000000001E-4</v>
      </c>
      <c r="P612" s="4">
        <v>109.91</v>
      </c>
      <c r="Q612" s="4">
        <v>0.31</v>
      </c>
      <c r="R612" s="34">
        <f>P612*E612/G612^3</f>
        <v>0.21362487852283768</v>
      </c>
      <c r="S612" s="22">
        <f t="shared" si="39"/>
        <v>6.0252672497570462E-4</v>
      </c>
    </row>
    <row r="613" spans="1:19">
      <c r="A613" s="19" t="s">
        <v>972</v>
      </c>
      <c r="B613" s="20" t="s">
        <v>1269</v>
      </c>
      <c r="C613" s="20"/>
      <c r="D613" s="81">
        <v>0.25</v>
      </c>
      <c r="E613" s="4">
        <v>18</v>
      </c>
      <c r="F613" s="4">
        <v>11</v>
      </c>
      <c r="G613" s="4">
        <v>21</v>
      </c>
      <c r="H613" s="20">
        <v>6.5879000000000003</v>
      </c>
      <c r="I613" s="4">
        <v>8.9999999999999998E-4</v>
      </c>
      <c r="J613" s="20">
        <v>-40.634300000000003</v>
      </c>
      <c r="K613" s="4">
        <v>1.2999999999999999E-3</v>
      </c>
      <c r="L613" s="4">
        <v>3.7999999999999999E-2</v>
      </c>
      <c r="M613" s="4">
        <v>8.9999999999999993E-3</v>
      </c>
      <c r="N613" s="4">
        <v>-5.3E-3</v>
      </c>
      <c r="O613" s="4">
        <v>1E-4</v>
      </c>
      <c r="P613" s="4">
        <v>123.75</v>
      </c>
      <c r="Q613" s="4">
        <v>0.1</v>
      </c>
      <c r="R613" s="45">
        <f>P613*E613/G613^3</f>
        <v>0.24052478134110788</v>
      </c>
      <c r="S613" s="22">
        <f>Q613*E613/G613^3</f>
        <v>1.9436345966958212E-4</v>
      </c>
    </row>
    <row r="614" spans="1:19">
      <c r="A614" s="23" t="s">
        <v>972</v>
      </c>
      <c r="B614" s="4" t="s">
        <v>1269</v>
      </c>
      <c r="D614" s="83">
        <v>0.5</v>
      </c>
      <c r="E614" s="4">
        <v>18</v>
      </c>
      <c r="F614" s="4">
        <v>11</v>
      </c>
      <c r="G614" s="4">
        <v>21</v>
      </c>
      <c r="H614" s="39">
        <v>6.1516999999999999</v>
      </c>
      <c r="I614" s="4">
        <v>4.0000000000000002E-4</v>
      </c>
      <c r="J614" s="4">
        <v>-38.430300000000003</v>
      </c>
      <c r="K614" s="4">
        <v>8.0000000000000004E-4</v>
      </c>
      <c r="L614" s="4">
        <v>5.0999999999999997E-2</v>
      </c>
      <c r="M614" s="4">
        <v>5.0000000000000001E-3</v>
      </c>
      <c r="N614" s="4">
        <v>-6.3E-3</v>
      </c>
      <c r="O614" s="4">
        <v>1E-4</v>
      </c>
      <c r="P614" s="4">
        <v>119.39</v>
      </c>
      <c r="Q614" s="4">
        <v>0.03</v>
      </c>
      <c r="R614" s="4">
        <f t="shared" si="38"/>
        <v>0.2320505344995141</v>
      </c>
      <c r="S614" s="22">
        <f t="shared" si="39"/>
        <v>5.8309037900874639E-5</v>
      </c>
    </row>
    <row r="615" spans="1:19">
      <c r="A615" s="28" t="s">
        <v>972</v>
      </c>
      <c r="B615" s="29" t="s">
        <v>1269</v>
      </c>
      <c r="C615" s="29"/>
      <c r="D615" s="85">
        <v>0.75</v>
      </c>
      <c r="E615" s="4">
        <v>18</v>
      </c>
      <c r="F615" s="4">
        <v>11</v>
      </c>
      <c r="G615" s="4">
        <v>21</v>
      </c>
      <c r="H615" s="29">
        <v>5.7183999999999999</v>
      </c>
      <c r="I615" s="4">
        <v>8.9999999999999998E-4</v>
      </c>
      <c r="J615" s="29">
        <v>-36.763100000000001</v>
      </c>
      <c r="K615" s="4">
        <v>1.2999999999999999E-3</v>
      </c>
      <c r="L615" s="4">
        <v>0.115</v>
      </c>
      <c r="M615" s="4">
        <v>1.2999999999999999E-2</v>
      </c>
      <c r="N615" s="4">
        <v>-8.6999999999999994E-3</v>
      </c>
      <c r="O615" s="4">
        <v>2.0000000000000001E-4</v>
      </c>
      <c r="P615" s="4">
        <v>109.5</v>
      </c>
      <c r="Q615" s="4">
        <v>0.23</v>
      </c>
      <c r="R615" s="29">
        <f t="shared" si="38"/>
        <v>0.21282798833819241</v>
      </c>
      <c r="S615" s="22">
        <f t="shared" si="39"/>
        <v>4.4703595724003895E-4</v>
      </c>
    </row>
    <row r="616" spans="1:19">
      <c r="A616" s="19" t="s">
        <v>973</v>
      </c>
      <c r="B616" s="20" t="s">
        <v>1270</v>
      </c>
      <c r="C616" s="20"/>
      <c r="D616" s="81">
        <v>0.25</v>
      </c>
      <c r="E616" s="4">
        <v>18</v>
      </c>
      <c r="F616" s="4">
        <v>11</v>
      </c>
      <c r="G616" s="4">
        <v>21</v>
      </c>
      <c r="H616" s="42">
        <v>6.5792999999999999</v>
      </c>
      <c r="I616" s="4">
        <v>5.9999999999999995E-4</v>
      </c>
      <c r="J616" s="20">
        <v>-40.601399999999998</v>
      </c>
      <c r="K616" s="4">
        <v>1.6000000000000001E-3</v>
      </c>
      <c r="L616" s="4">
        <v>3.5000000000000003E-2</v>
      </c>
      <c r="M616" s="4">
        <v>4.0000000000000001E-3</v>
      </c>
      <c r="N616" s="4">
        <v>-5.1999999999999998E-3</v>
      </c>
      <c r="O616" s="4">
        <v>1E-4</v>
      </c>
      <c r="P616" s="4">
        <v>123.81</v>
      </c>
      <c r="Q616" s="4">
        <v>0.09</v>
      </c>
      <c r="R616" s="45">
        <f>P616*E616/G616^3</f>
        <v>0.24064139941690962</v>
      </c>
      <c r="S616" s="22">
        <f>Q616*E616/G616^3</f>
        <v>1.7492711370262388E-4</v>
      </c>
    </row>
    <row r="617" spans="1:19">
      <c r="A617" s="23" t="s">
        <v>973</v>
      </c>
      <c r="B617" s="4" t="s">
        <v>1270</v>
      </c>
      <c r="D617" s="83">
        <v>0.5</v>
      </c>
      <c r="E617" s="4">
        <v>18</v>
      </c>
      <c r="F617" s="4">
        <v>11</v>
      </c>
      <c r="G617" s="4">
        <v>21</v>
      </c>
      <c r="H617" s="4">
        <v>6.1268000000000002</v>
      </c>
      <c r="I617" s="4">
        <v>1E-3</v>
      </c>
      <c r="J617" s="4">
        <v>-38.296999999999997</v>
      </c>
      <c r="K617" s="4">
        <v>2.3E-3</v>
      </c>
      <c r="L617" s="4">
        <v>5.8999999999999997E-2</v>
      </c>
      <c r="M617" s="4">
        <v>5.0000000000000001E-3</v>
      </c>
      <c r="N617" s="4">
        <v>-6.7999999999999996E-3</v>
      </c>
      <c r="O617" s="4">
        <v>1E-4</v>
      </c>
      <c r="P617" s="4">
        <v>119.29</v>
      </c>
      <c r="Q617" s="4">
        <v>0.14000000000000001</v>
      </c>
      <c r="R617" s="4">
        <f t="shared" si="38"/>
        <v>0.23185617103984454</v>
      </c>
      <c r="S617" s="22">
        <f t="shared" si="39"/>
        <v>2.7210884353741501E-4</v>
      </c>
    </row>
    <row r="618" spans="1:19">
      <c r="A618" s="28" t="s">
        <v>973</v>
      </c>
      <c r="B618" s="29" t="s">
        <v>1270</v>
      </c>
      <c r="C618" s="29"/>
      <c r="D618" s="85">
        <v>0.75</v>
      </c>
      <c r="E618" s="4">
        <v>18</v>
      </c>
      <c r="F618" s="4">
        <v>11</v>
      </c>
      <c r="G618" s="4">
        <v>21</v>
      </c>
      <c r="H618" s="29">
        <v>5.6542000000000003</v>
      </c>
      <c r="I618" s="4">
        <v>8.0000000000000004E-4</v>
      </c>
      <c r="J618" s="29">
        <v>-36.4559</v>
      </c>
      <c r="K618" s="4">
        <v>5.0000000000000001E-4</v>
      </c>
      <c r="L618" s="4">
        <v>0.126</v>
      </c>
      <c r="M618" s="4">
        <v>5.0000000000000001E-3</v>
      </c>
      <c r="N618" s="4">
        <v>-9.9000000000000008E-3</v>
      </c>
      <c r="O618" s="4">
        <v>1E-4</v>
      </c>
      <c r="P618" s="4">
        <v>108.21</v>
      </c>
      <c r="Q618" s="4">
        <v>0.15</v>
      </c>
      <c r="R618" s="29">
        <f t="shared" si="38"/>
        <v>0.21032069970845479</v>
      </c>
      <c r="S618" s="22">
        <f t="shared" si="39"/>
        <v>2.9154518950437317E-4</v>
      </c>
    </row>
    <row r="619" spans="1:19">
      <c r="A619" s="19" t="s">
        <v>974</v>
      </c>
      <c r="B619" s="20" t="s">
        <v>1271</v>
      </c>
      <c r="C619" s="20"/>
      <c r="D619" s="81">
        <v>0.25</v>
      </c>
      <c r="E619" s="4">
        <v>18</v>
      </c>
      <c r="F619" s="4">
        <v>11</v>
      </c>
      <c r="G619" s="4">
        <v>21</v>
      </c>
      <c r="H619" s="20">
        <v>6.6211000000000002</v>
      </c>
      <c r="I619" s="4">
        <v>6.9999999999999999E-4</v>
      </c>
      <c r="J619" s="20">
        <v>-40.423000000000002</v>
      </c>
      <c r="K619" s="4">
        <v>1.4E-3</v>
      </c>
      <c r="L619" s="4">
        <v>3.3000000000000002E-2</v>
      </c>
      <c r="M619" s="4">
        <v>8.9999999999999993E-3</v>
      </c>
      <c r="N619" s="4">
        <v>-5.1000000000000004E-3</v>
      </c>
      <c r="O619" s="4">
        <v>0</v>
      </c>
      <c r="P619" s="4">
        <v>124.13</v>
      </c>
      <c r="Q619" s="4">
        <v>0.08</v>
      </c>
      <c r="R619" s="45">
        <f>P619*E619/G619^3</f>
        <v>0.2412633624878523</v>
      </c>
      <c r="S619" s="22">
        <f>Q619*E619/G619^3</f>
        <v>1.5549076773566569E-4</v>
      </c>
    </row>
    <row r="620" spans="1:19">
      <c r="A620" s="23" t="s">
        <v>974</v>
      </c>
      <c r="B620" s="4" t="s">
        <v>1271</v>
      </c>
      <c r="D620" s="83">
        <v>0.5</v>
      </c>
      <c r="E620" s="4">
        <v>18</v>
      </c>
      <c r="F620" s="4">
        <v>11</v>
      </c>
      <c r="G620" s="4">
        <v>21</v>
      </c>
      <c r="H620" s="4">
        <v>6.2228000000000003</v>
      </c>
      <c r="I620" s="4">
        <v>5.0000000000000001E-4</v>
      </c>
      <c r="J620" s="4">
        <v>-37.855499999999999</v>
      </c>
      <c r="K620" s="4">
        <v>1.5E-3</v>
      </c>
      <c r="L620" s="4">
        <v>2.3E-2</v>
      </c>
      <c r="M620" s="4">
        <v>8.0000000000000002E-3</v>
      </c>
      <c r="N620" s="4">
        <v>-5.7000000000000002E-3</v>
      </c>
      <c r="O620" s="4">
        <v>2.0000000000000001E-4</v>
      </c>
      <c r="P620" s="4">
        <v>121.57</v>
      </c>
      <c r="Q620" s="4">
        <v>0.19</v>
      </c>
      <c r="R620" s="4">
        <f t="shared" si="38"/>
        <v>0.23628765792031095</v>
      </c>
      <c r="S620" s="22">
        <f t="shared" si="39"/>
        <v>3.6929057337220603E-4</v>
      </c>
    </row>
    <row r="621" spans="1:19">
      <c r="A621" s="19" t="s">
        <v>975</v>
      </c>
      <c r="B621" s="20" t="s">
        <v>1272</v>
      </c>
      <c r="C621" s="20"/>
      <c r="D621" s="81">
        <v>0.25</v>
      </c>
      <c r="E621" s="4">
        <v>18</v>
      </c>
      <c r="F621" s="4">
        <v>11</v>
      </c>
      <c r="G621" s="4">
        <v>21</v>
      </c>
      <c r="H621" s="20">
        <v>6.5107999999999997</v>
      </c>
      <c r="I621" s="4">
        <v>8.0000000000000004E-4</v>
      </c>
      <c r="J621" s="20">
        <v>-40.706000000000003</v>
      </c>
      <c r="K621" s="4">
        <v>1.6999999999999999E-3</v>
      </c>
      <c r="L621" s="4">
        <v>4.2000000000000003E-2</v>
      </c>
      <c r="M621" s="4">
        <v>7.0000000000000001E-3</v>
      </c>
      <c r="N621" s="4">
        <v>-5.3E-3</v>
      </c>
      <c r="O621" s="4">
        <v>2.0000000000000001E-4</v>
      </c>
      <c r="P621" s="4">
        <v>124.13</v>
      </c>
      <c r="Q621" s="4">
        <v>0.26</v>
      </c>
      <c r="R621" s="45">
        <f>P621*E621/G621^3</f>
        <v>0.2412633624878523</v>
      </c>
      <c r="S621" s="22">
        <f>Q621*E621/G621^3</f>
        <v>5.0534499514091349E-4</v>
      </c>
    </row>
    <row r="622" spans="1:19">
      <c r="A622" s="23" t="s">
        <v>975</v>
      </c>
      <c r="B622" s="4" t="s">
        <v>1272</v>
      </c>
      <c r="D622" s="83">
        <v>0.5</v>
      </c>
      <c r="E622" s="4">
        <v>18</v>
      </c>
      <c r="F622" s="4">
        <v>11</v>
      </c>
      <c r="G622" s="4">
        <v>21</v>
      </c>
      <c r="H622" s="4">
        <v>5.9825999999999997</v>
      </c>
      <c r="I622" s="4">
        <v>1E-3</v>
      </c>
      <c r="J622" s="4">
        <v>-38.564100000000003</v>
      </c>
      <c r="K622" s="4">
        <v>3.8E-3</v>
      </c>
      <c r="L622" s="4">
        <v>9.6000000000000002E-2</v>
      </c>
      <c r="M622" s="4">
        <v>1.2E-2</v>
      </c>
      <c r="N622" s="4">
        <v>-6.8999999999999999E-3</v>
      </c>
      <c r="O622" s="4">
        <v>2.9999999999999997E-4</v>
      </c>
      <c r="P622" s="4">
        <v>119.7</v>
      </c>
      <c r="Q622" s="4">
        <v>0.4</v>
      </c>
      <c r="R622" s="4">
        <f t="shared" si="38"/>
        <v>0.23265306122448978</v>
      </c>
      <c r="S622" s="22">
        <f t="shared" si="39"/>
        <v>7.774538386783285E-4</v>
      </c>
    </row>
    <row r="623" spans="1:19">
      <c r="A623" s="19" t="s">
        <v>976</v>
      </c>
      <c r="B623" s="20" t="s">
        <v>1273</v>
      </c>
      <c r="C623" s="20"/>
      <c r="D623" s="81">
        <v>0.25</v>
      </c>
      <c r="E623" s="4">
        <v>18</v>
      </c>
      <c r="F623" s="4">
        <v>11</v>
      </c>
      <c r="G623" s="4">
        <v>21</v>
      </c>
      <c r="H623" s="20">
        <v>6.6078999999999999</v>
      </c>
      <c r="I623" s="4">
        <v>5.9999999999999995E-4</v>
      </c>
      <c r="J623" s="20">
        <v>-40.449100000000001</v>
      </c>
      <c r="K623" s="4">
        <v>1.1999999999999999E-3</v>
      </c>
      <c r="L623" s="4">
        <v>2.8000000000000001E-2</v>
      </c>
      <c r="M623" s="4">
        <v>6.0000000000000001E-3</v>
      </c>
      <c r="N623" s="4">
        <v>-5.1000000000000004E-3</v>
      </c>
      <c r="O623" s="4">
        <v>1E-4</v>
      </c>
      <c r="P623" s="4">
        <v>123.94</v>
      </c>
      <c r="Q623" s="4">
        <v>0.11</v>
      </c>
      <c r="R623" s="45">
        <f>P623*E623/G623^3</f>
        <v>0.24089407191448009</v>
      </c>
      <c r="S623" s="22">
        <f>Q623*E623/G623^3</f>
        <v>2.1379980563654034E-4</v>
      </c>
    </row>
    <row r="624" spans="1:19">
      <c r="A624" s="23" t="s">
        <v>976</v>
      </c>
      <c r="B624" s="4" t="s">
        <v>1273</v>
      </c>
      <c r="D624" s="83">
        <v>0.5</v>
      </c>
      <c r="E624" s="4">
        <v>18</v>
      </c>
      <c r="F624" s="4">
        <v>11</v>
      </c>
      <c r="G624" s="4">
        <v>21</v>
      </c>
      <c r="H624" s="4">
        <v>6.1966000000000001</v>
      </c>
      <c r="I624" s="4">
        <v>2.9999999999999997E-4</v>
      </c>
      <c r="J624" s="4">
        <v>-37.974400000000003</v>
      </c>
      <c r="K624" s="4">
        <v>1.2999999999999999E-3</v>
      </c>
      <c r="L624" s="4">
        <v>3.5999999999999997E-2</v>
      </c>
      <c r="M624" s="4">
        <v>4.0000000000000001E-3</v>
      </c>
      <c r="N624" s="4">
        <v>-5.8999999999999999E-3</v>
      </c>
      <c r="O624" s="4">
        <v>2.0000000000000001E-4</v>
      </c>
      <c r="P624" s="4">
        <v>120.67</v>
      </c>
      <c r="Q624" s="4">
        <v>0.26</v>
      </c>
      <c r="R624" s="4">
        <f t="shared" si="38"/>
        <v>0.23453838678328473</v>
      </c>
      <c r="S624" s="22">
        <f t="shared" si="39"/>
        <v>5.0534499514091349E-4</v>
      </c>
    </row>
    <row r="625" spans="1:19">
      <c r="A625" s="19" t="s">
        <v>977</v>
      </c>
      <c r="B625" s="20" t="s">
        <v>1274</v>
      </c>
      <c r="C625" s="20"/>
      <c r="D625" s="81">
        <v>0.25</v>
      </c>
      <c r="E625" s="4">
        <v>18</v>
      </c>
      <c r="F625" s="4">
        <v>11</v>
      </c>
      <c r="G625" s="4">
        <v>21</v>
      </c>
      <c r="H625" s="20">
        <v>6.5156999999999998</v>
      </c>
      <c r="I625" s="4">
        <v>8.0000000000000004E-4</v>
      </c>
      <c r="J625" s="20">
        <v>-40.590400000000002</v>
      </c>
      <c r="K625" s="4">
        <v>1.5E-3</v>
      </c>
      <c r="L625" s="4">
        <v>3.7999999999999999E-2</v>
      </c>
      <c r="M625" s="4">
        <v>8.0000000000000002E-3</v>
      </c>
      <c r="N625" s="4">
        <v>-5.1999999999999998E-3</v>
      </c>
      <c r="O625" s="4">
        <v>2.0000000000000001E-4</v>
      </c>
      <c r="P625" s="4">
        <v>124.14</v>
      </c>
      <c r="Q625" s="4">
        <v>0.16</v>
      </c>
      <c r="R625" s="45">
        <f>P625*E625/G625^3</f>
        <v>0.24128279883381923</v>
      </c>
      <c r="S625" s="22">
        <f>Q625*E625/G625^3</f>
        <v>3.1098153547133139E-4</v>
      </c>
    </row>
    <row r="626" spans="1:19">
      <c r="A626" s="23" t="s">
        <v>977</v>
      </c>
      <c r="B626" s="4" t="s">
        <v>1274</v>
      </c>
      <c r="D626" s="83">
        <v>0.5</v>
      </c>
      <c r="E626" s="4">
        <v>18</v>
      </c>
      <c r="F626" s="4">
        <v>11</v>
      </c>
      <c r="G626" s="4">
        <v>21</v>
      </c>
      <c r="H626" s="4">
        <v>5.9996</v>
      </c>
      <c r="I626" s="4">
        <v>6.9999999999999999E-4</v>
      </c>
      <c r="J626" s="4">
        <v>-38.348999999999997</v>
      </c>
      <c r="K626" s="4">
        <v>1.1999999999999999E-3</v>
      </c>
      <c r="L626" s="4">
        <v>8.4000000000000005E-2</v>
      </c>
      <c r="M626" s="4">
        <v>4.0000000000000001E-3</v>
      </c>
      <c r="N626" s="4">
        <v>-7.0000000000000001E-3</v>
      </c>
      <c r="O626" s="4">
        <v>2.0000000000000001E-4</v>
      </c>
      <c r="P626" s="4">
        <v>119.25</v>
      </c>
      <c r="Q626" s="4">
        <v>0.24</v>
      </c>
      <c r="R626" s="4">
        <f t="shared" si="38"/>
        <v>0.23177842565597667</v>
      </c>
      <c r="S626" s="22">
        <f t="shared" si="39"/>
        <v>4.6647230320699711E-4</v>
      </c>
    </row>
    <row r="627" spans="1:19">
      <c r="A627" s="19" t="s">
        <v>978</v>
      </c>
      <c r="B627" s="20" t="s">
        <v>1275</v>
      </c>
      <c r="C627" s="20"/>
      <c r="D627" s="81">
        <v>0.25</v>
      </c>
      <c r="E627" s="4">
        <v>18</v>
      </c>
      <c r="F627" s="4">
        <v>11</v>
      </c>
      <c r="G627" s="4">
        <v>21</v>
      </c>
      <c r="H627" s="20">
        <v>6.6374000000000004</v>
      </c>
      <c r="I627" s="4">
        <v>6.9999999999999999E-4</v>
      </c>
      <c r="J627" s="20">
        <v>-40.390900000000002</v>
      </c>
      <c r="K627" s="4">
        <v>1.1000000000000001E-3</v>
      </c>
      <c r="L627" s="4">
        <v>4.5999999999999999E-2</v>
      </c>
      <c r="M627" s="4">
        <v>0.01</v>
      </c>
      <c r="N627" s="4">
        <v>-4.7999999999999996E-3</v>
      </c>
      <c r="O627" s="4">
        <v>1E-4</v>
      </c>
      <c r="P627" s="4">
        <v>123.76</v>
      </c>
      <c r="Q627" s="4">
        <v>0.25</v>
      </c>
      <c r="R627" s="45">
        <f>P627*E627/G627^3</f>
        <v>0.24054421768707487</v>
      </c>
      <c r="S627" s="22">
        <f>Q627*E627/G627^3</f>
        <v>4.8590864917395527E-4</v>
      </c>
    </row>
    <row r="628" spans="1:19">
      <c r="A628" s="23" t="s">
        <v>978</v>
      </c>
      <c r="B628" s="4" t="s">
        <v>1275</v>
      </c>
      <c r="D628" s="83">
        <v>0.5</v>
      </c>
      <c r="E628" s="4">
        <v>18</v>
      </c>
      <c r="F628" s="4">
        <v>11</v>
      </c>
      <c r="G628" s="4">
        <v>21</v>
      </c>
      <c r="H628" s="4">
        <v>6.2554999999999996</v>
      </c>
      <c r="I628" s="4">
        <v>2.9999999999999997E-4</v>
      </c>
      <c r="J628" s="4">
        <v>-37.886000000000003</v>
      </c>
      <c r="K628" s="4">
        <v>6.9999999999999999E-4</v>
      </c>
      <c r="L628" s="4">
        <v>1.9E-2</v>
      </c>
      <c r="M628" s="4">
        <v>2E-3</v>
      </c>
      <c r="N628" s="4">
        <v>-5.7999999999999996E-3</v>
      </c>
      <c r="O628" s="4">
        <v>1E-4</v>
      </c>
      <c r="P628" s="4">
        <v>119.79</v>
      </c>
      <c r="Q628" s="4">
        <v>0.14000000000000001</v>
      </c>
      <c r="R628" s="4">
        <f t="shared" si="38"/>
        <v>0.23282798833819246</v>
      </c>
      <c r="S628" s="22">
        <f t="shared" si="39"/>
        <v>2.7210884353741501E-4</v>
      </c>
    </row>
    <row r="629" spans="1:19">
      <c r="A629" s="19" t="s">
        <v>979</v>
      </c>
      <c r="B629" s="20" t="s">
        <v>1276</v>
      </c>
      <c r="C629" s="20"/>
      <c r="D629" s="81">
        <v>0.25</v>
      </c>
      <c r="E629" s="4">
        <v>18</v>
      </c>
      <c r="F629" s="4">
        <v>11</v>
      </c>
      <c r="G629" s="4">
        <v>21</v>
      </c>
      <c r="H629" s="20">
        <v>6.5572999999999997</v>
      </c>
      <c r="I629" s="4">
        <v>8.9999999999999998E-4</v>
      </c>
      <c r="J629" s="20">
        <v>-40.533000000000001</v>
      </c>
      <c r="K629" s="4">
        <v>2.3E-3</v>
      </c>
      <c r="L629" s="4">
        <v>3.4000000000000002E-2</v>
      </c>
      <c r="M629" s="4">
        <v>5.0000000000000001E-3</v>
      </c>
      <c r="N629" s="4">
        <v>-5.1999999999999998E-3</v>
      </c>
      <c r="O629" s="4">
        <v>1E-4</v>
      </c>
      <c r="P629" s="4">
        <v>124</v>
      </c>
      <c r="Q629" s="4">
        <v>0.15</v>
      </c>
      <c r="R629" s="45">
        <f>P629*E629/G629^3</f>
        <v>0.24101068999028183</v>
      </c>
      <c r="S629" s="22">
        <f>Q629*E629/G629^3</f>
        <v>2.9154518950437317E-4</v>
      </c>
    </row>
    <row r="630" spans="1:19">
      <c r="A630" s="23" t="s">
        <v>979</v>
      </c>
      <c r="B630" s="4" t="s">
        <v>1276</v>
      </c>
      <c r="D630" s="83">
        <v>0.5</v>
      </c>
      <c r="E630" s="4">
        <v>18</v>
      </c>
      <c r="F630" s="4">
        <v>11</v>
      </c>
      <c r="G630" s="4">
        <v>21</v>
      </c>
      <c r="H630" s="4">
        <v>6.0835999999999997</v>
      </c>
      <c r="I630" s="4">
        <v>8.9999999999999998E-4</v>
      </c>
      <c r="J630" s="4">
        <v>-38.1648</v>
      </c>
      <c r="K630" s="4">
        <v>2.7000000000000001E-3</v>
      </c>
      <c r="L630" s="4">
        <v>6.7000000000000004E-2</v>
      </c>
      <c r="M630" s="4">
        <v>0.01</v>
      </c>
      <c r="N630" s="4">
        <v>-6.7000000000000002E-3</v>
      </c>
      <c r="O630" s="4">
        <v>2.0000000000000001E-4</v>
      </c>
      <c r="P630" s="4">
        <v>119.89</v>
      </c>
      <c r="Q630" s="4">
        <v>0.33</v>
      </c>
      <c r="R630" s="4">
        <f t="shared" si="38"/>
        <v>0.23302235179786199</v>
      </c>
      <c r="S630" s="22">
        <f t="shared" si="39"/>
        <v>6.4139941690962105E-4</v>
      </c>
    </row>
    <row r="631" spans="1:19">
      <c r="A631" s="19" t="s">
        <v>980</v>
      </c>
      <c r="B631" s="20" t="s">
        <v>1277</v>
      </c>
      <c r="C631" s="20"/>
      <c r="D631" s="81">
        <v>0.25</v>
      </c>
      <c r="E631" s="4">
        <v>18</v>
      </c>
      <c r="F631" s="4">
        <v>11</v>
      </c>
      <c r="G631" s="4">
        <v>21</v>
      </c>
      <c r="H631" s="20">
        <v>6.5799000000000003</v>
      </c>
      <c r="I631" s="4">
        <v>4.0000000000000002E-4</v>
      </c>
      <c r="J631" s="20">
        <v>-40.508499999999998</v>
      </c>
      <c r="K631" s="4">
        <v>1.1000000000000001E-3</v>
      </c>
      <c r="L631" s="4">
        <v>4.1000000000000002E-2</v>
      </c>
      <c r="M631" s="4">
        <v>1.4999999999999999E-2</v>
      </c>
      <c r="N631" s="4">
        <v>-5.1999999999999998E-3</v>
      </c>
      <c r="O631" s="4">
        <v>1E-4</v>
      </c>
      <c r="P631" s="4">
        <v>123.73</v>
      </c>
      <c r="Q631" s="4">
        <v>0.15</v>
      </c>
      <c r="R631" s="45">
        <f>P631*E631/G631^3</f>
        <v>0.24048590864917394</v>
      </c>
      <c r="S631" s="22">
        <f>Q631*E631/G631^3</f>
        <v>2.9154518950437317E-4</v>
      </c>
    </row>
    <row r="632" spans="1:19">
      <c r="A632" s="23" t="s">
        <v>980</v>
      </c>
      <c r="B632" s="4" t="s">
        <v>1277</v>
      </c>
      <c r="D632" s="83">
        <v>0.5</v>
      </c>
      <c r="E632" s="4">
        <v>18</v>
      </c>
      <c r="F632" s="4">
        <v>11</v>
      </c>
      <c r="G632" s="4">
        <v>21</v>
      </c>
      <c r="H632" s="4">
        <v>6.1326999999999998</v>
      </c>
      <c r="I632" s="4">
        <v>5.0000000000000001E-4</v>
      </c>
      <c r="J632" s="4">
        <v>-38.133499999999998</v>
      </c>
      <c r="K632" s="4">
        <v>1.6999999999999999E-3</v>
      </c>
      <c r="L632" s="4">
        <v>5.1999999999999998E-2</v>
      </c>
      <c r="M632" s="4">
        <v>1.2E-2</v>
      </c>
      <c r="N632" s="4">
        <v>-6.7000000000000002E-3</v>
      </c>
      <c r="O632" s="4">
        <v>1E-4</v>
      </c>
      <c r="P632" s="4">
        <v>119.16</v>
      </c>
      <c r="Q632" s="4">
        <v>0.14000000000000001</v>
      </c>
      <c r="R632" s="4">
        <f t="shared" si="38"/>
        <v>0.23160349854227408</v>
      </c>
      <c r="S632" s="22">
        <f t="shared" si="39"/>
        <v>2.7210884353741501E-4</v>
      </c>
    </row>
    <row r="633" spans="1:19" ht="17" thickBot="1">
      <c r="A633" s="19" t="s">
        <v>981</v>
      </c>
      <c r="B633" s="132" t="s">
        <v>1278</v>
      </c>
      <c r="C633" s="45" t="s">
        <v>17</v>
      </c>
      <c r="D633" s="81">
        <v>0.25</v>
      </c>
      <c r="E633" s="4">
        <v>18</v>
      </c>
      <c r="F633" s="4">
        <v>11</v>
      </c>
      <c r="G633" s="4">
        <v>21</v>
      </c>
      <c r="H633" s="20">
        <v>6.5260999999999996</v>
      </c>
      <c r="I633" s="4">
        <v>1E-3</v>
      </c>
      <c r="J633" s="20">
        <v>-41.498600000000003</v>
      </c>
      <c r="K633" s="4">
        <v>3.3E-3</v>
      </c>
      <c r="L633" s="4">
        <v>8.5000000000000006E-2</v>
      </c>
      <c r="M633" s="4">
        <v>8.9999999999999993E-3</v>
      </c>
      <c r="N633" s="4">
        <v>-6.4999999999999997E-3</v>
      </c>
      <c r="O633" s="4">
        <v>2.0000000000000001E-4</v>
      </c>
      <c r="P633" s="4">
        <v>118.76</v>
      </c>
      <c r="Q633" s="4">
        <v>0.32</v>
      </c>
      <c r="R633" s="45">
        <f>P633*E633/G633^3</f>
        <v>0.23082604470359575</v>
      </c>
      <c r="S633" s="22">
        <f>Q633*E633/G633^3</f>
        <v>6.2196307094266278E-4</v>
      </c>
    </row>
    <row r="634" spans="1:19" ht="17" thickTop="1">
      <c r="A634" s="102" t="s">
        <v>982</v>
      </c>
      <c r="B634" s="119" t="s">
        <v>1279</v>
      </c>
      <c r="C634" s="119"/>
      <c r="D634" s="77">
        <v>0.25</v>
      </c>
      <c r="E634" s="7">
        <v>18</v>
      </c>
      <c r="F634" s="7">
        <v>12</v>
      </c>
      <c r="G634" s="7">
        <v>21</v>
      </c>
      <c r="H634" s="119">
        <v>6.8121999999999998</v>
      </c>
      <c r="I634" s="7">
        <v>8.9999999999999998E-4</v>
      </c>
      <c r="J634" s="119">
        <v>-42.139600000000002</v>
      </c>
      <c r="K634" s="7">
        <v>1.9E-3</v>
      </c>
      <c r="L634" s="7">
        <v>5.1999999999999998E-2</v>
      </c>
      <c r="M634" s="7">
        <v>1.2999999999999999E-2</v>
      </c>
      <c r="N634" s="7">
        <v>-5.1999999999999998E-3</v>
      </c>
      <c r="O634" s="7">
        <v>1E-4</v>
      </c>
      <c r="P634" s="7">
        <v>123.22</v>
      </c>
      <c r="Q634" s="7">
        <v>0.01</v>
      </c>
      <c r="R634" s="119">
        <f>P634*E634/G634^3</f>
        <v>0.23949465500485909</v>
      </c>
      <c r="S634" s="18">
        <f>Q634*E634/G634^3</f>
        <v>1.9436345966958212E-5</v>
      </c>
    </row>
    <row r="635" spans="1:19">
      <c r="A635" s="23" t="s">
        <v>982</v>
      </c>
      <c r="B635" s="4" t="s">
        <v>1279</v>
      </c>
      <c r="D635" s="83">
        <v>0.5</v>
      </c>
      <c r="E635" s="4">
        <v>18</v>
      </c>
      <c r="F635" s="4">
        <v>12</v>
      </c>
      <c r="G635" s="4">
        <v>21</v>
      </c>
      <c r="H635" s="4">
        <v>6.5841000000000003</v>
      </c>
      <c r="I635" s="4">
        <v>5.0000000000000001E-4</v>
      </c>
      <c r="J635" s="4">
        <v>-41.515500000000003</v>
      </c>
      <c r="K635" s="4">
        <v>1.2999999999999999E-3</v>
      </c>
      <c r="L635" s="4">
        <v>8.2000000000000003E-2</v>
      </c>
      <c r="M635" s="4">
        <v>7.0000000000000001E-3</v>
      </c>
      <c r="N635" s="4">
        <v>-6.7000000000000002E-3</v>
      </c>
      <c r="O635" s="4">
        <v>2.0000000000000001E-4</v>
      </c>
      <c r="P635" s="4">
        <v>116.9</v>
      </c>
      <c r="Q635" s="4">
        <v>0.32</v>
      </c>
      <c r="R635" s="4">
        <f t="shared" ref="R635:R688" si="40">P635*E635/G635^3</f>
        <v>0.22721088435374154</v>
      </c>
      <c r="S635" s="22">
        <f t="shared" ref="S635:S688" si="41">Q635*E635/G635^3</f>
        <v>6.2196307094266278E-4</v>
      </c>
    </row>
    <row r="636" spans="1:19">
      <c r="A636" s="28" t="s">
        <v>982</v>
      </c>
      <c r="B636" s="29" t="s">
        <v>1279</v>
      </c>
      <c r="C636" s="29"/>
      <c r="D636" s="85">
        <v>0.75</v>
      </c>
      <c r="E636" s="4">
        <v>18</v>
      </c>
      <c r="F636" s="4">
        <v>12</v>
      </c>
      <c r="G636" s="4">
        <v>21</v>
      </c>
      <c r="H636" s="41">
        <v>6.3253000000000004</v>
      </c>
      <c r="I636" s="4">
        <v>5.9999999999999995E-4</v>
      </c>
      <c r="J636" s="29">
        <v>-41.548900000000003</v>
      </c>
      <c r="K636" s="4">
        <v>5.9999999999999995E-4</v>
      </c>
      <c r="L636" s="4">
        <v>0.17299999999999999</v>
      </c>
      <c r="M636" s="4">
        <v>3.2000000000000001E-2</v>
      </c>
      <c r="N636" s="4">
        <v>-1.04E-2</v>
      </c>
      <c r="O636" s="4">
        <v>1E-4</v>
      </c>
      <c r="P636" s="4">
        <v>100.83</v>
      </c>
      <c r="Q636" s="4">
        <v>0.36</v>
      </c>
      <c r="R636" s="29">
        <f t="shared" si="40"/>
        <v>0.19597667638483965</v>
      </c>
      <c r="S636" s="22">
        <f t="shared" si="41"/>
        <v>6.9970845481049553E-4</v>
      </c>
    </row>
    <row r="637" spans="1:19">
      <c r="A637" s="44" t="s">
        <v>983</v>
      </c>
      <c r="B637" s="45" t="s">
        <v>91</v>
      </c>
      <c r="C637" s="45"/>
      <c r="D637" s="104">
        <v>0.25</v>
      </c>
      <c r="E637" s="4">
        <v>18</v>
      </c>
      <c r="F637" s="4">
        <v>12</v>
      </c>
      <c r="G637" s="4">
        <v>21</v>
      </c>
      <c r="H637" s="45">
        <v>6.8415999999999997</v>
      </c>
      <c r="I637" s="4">
        <v>4.0000000000000002E-4</v>
      </c>
      <c r="J637" s="45">
        <v>-42.012900000000002</v>
      </c>
      <c r="K637" s="4">
        <v>1E-3</v>
      </c>
      <c r="L637" s="4">
        <v>3.5000000000000003E-2</v>
      </c>
      <c r="M637" s="4">
        <v>1.7000000000000001E-2</v>
      </c>
      <c r="N637" s="4">
        <v>-4.7999999999999996E-3</v>
      </c>
      <c r="O637" s="4">
        <v>2.0000000000000001E-4</v>
      </c>
      <c r="P637" s="4">
        <v>124.27</v>
      </c>
      <c r="Q637" s="4">
        <v>0.14000000000000001</v>
      </c>
      <c r="R637" s="45">
        <f>P637*E637/G637^3</f>
        <v>0.24153547133138972</v>
      </c>
      <c r="S637" s="22">
        <f>Q637*E637/G637^3</f>
        <v>2.7210884353741501E-4</v>
      </c>
    </row>
    <row r="638" spans="1:19">
      <c r="A638" s="23" t="s">
        <v>983</v>
      </c>
      <c r="B638" s="4" t="s">
        <v>91</v>
      </c>
      <c r="D638" s="83">
        <v>0.5</v>
      </c>
      <c r="E638" s="4">
        <v>18</v>
      </c>
      <c r="F638" s="4">
        <v>12</v>
      </c>
      <c r="G638" s="4">
        <v>21</v>
      </c>
      <c r="H638" s="4">
        <v>6.6599000000000004</v>
      </c>
      <c r="I638" s="4">
        <v>6.9999999999999999E-4</v>
      </c>
      <c r="J638" s="4">
        <v>-41.064599999999999</v>
      </c>
      <c r="K638" s="4">
        <v>1.1999999999999999E-3</v>
      </c>
      <c r="L638" s="4">
        <v>3.9E-2</v>
      </c>
      <c r="M638" s="4">
        <v>6.0000000000000001E-3</v>
      </c>
      <c r="N638" s="4">
        <v>-5.3E-3</v>
      </c>
      <c r="O638" s="4">
        <v>1E-4</v>
      </c>
      <c r="P638" s="4">
        <v>121.82</v>
      </c>
      <c r="Q638" s="4">
        <v>0.26</v>
      </c>
      <c r="R638" s="4">
        <f t="shared" si="40"/>
        <v>0.23677356656948492</v>
      </c>
      <c r="S638" s="22">
        <f t="shared" si="41"/>
        <v>5.0534499514091349E-4</v>
      </c>
    </row>
    <row r="639" spans="1:19">
      <c r="A639" s="28" t="s">
        <v>983</v>
      </c>
      <c r="B639" s="29" t="s">
        <v>91</v>
      </c>
      <c r="C639" s="29"/>
      <c r="D639" s="85">
        <v>0.75</v>
      </c>
      <c r="E639" s="4">
        <v>18</v>
      </c>
      <c r="F639" s="4">
        <v>12</v>
      </c>
      <c r="G639" s="4">
        <v>21</v>
      </c>
      <c r="H639" s="29">
        <v>6.4819000000000004</v>
      </c>
      <c r="I639" s="4">
        <v>5.9999999999999995E-4</v>
      </c>
      <c r="J639" s="29">
        <v>-40.399799999999999</v>
      </c>
      <c r="K639" s="4">
        <v>1.8E-3</v>
      </c>
      <c r="L639" s="4">
        <v>6.3E-2</v>
      </c>
      <c r="M639" s="4">
        <v>6.0000000000000001E-3</v>
      </c>
      <c r="N639" s="4">
        <v>-6.1000000000000004E-3</v>
      </c>
      <c r="O639" s="4">
        <v>2.9999999999999997E-4</v>
      </c>
      <c r="P639" s="4">
        <v>117.21</v>
      </c>
      <c r="Q639" s="4">
        <v>0.27</v>
      </c>
      <c r="R639" s="29">
        <f t="shared" si="40"/>
        <v>0.22781341107871717</v>
      </c>
      <c r="S639" s="22">
        <f t="shared" si="41"/>
        <v>5.2478134110787176E-4</v>
      </c>
    </row>
    <row r="640" spans="1:19">
      <c r="A640" s="33" t="s">
        <v>983</v>
      </c>
      <c r="B640" s="34" t="s">
        <v>91</v>
      </c>
      <c r="C640" s="34"/>
      <c r="D640" s="98">
        <v>1</v>
      </c>
      <c r="E640" s="4">
        <v>18</v>
      </c>
      <c r="F640" s="4">
        <v>12</v>
      </c>
      <c r="G640" s="4">
        <v>21</v>
      </c>
      <c r="H640" s="34">
        <v>6.3075000000000001</v>
      </c>
      <c r="I640" s="4">
        <v>2.9999999999999997E-4</v>
      </c>
      <c r="J640" s="34">
        <v>-40.0869</v>
      </c>
      <c r="K640" s="4">
        <v>8.9999999999999998E-4</v>
      </c>
      <c r="L640" s="4">
        <v>0.11600000000000001</v>
      </c>
      <c r="M640" s="4">
        <v>1.7999999999999999E-2</v>
      </c>
      <c r="N640" s="4">
        <v>-7.0000000000000001E-3</v>
      </c>
      <c r="O640" s="4">
        <v>1E-4</v>
      </c>
      <c r="P640" s="4">
        <v>110.71</v>
      </c>
      <c r="Q640" s="4">
        <v>0.28000000000000003</v>
      </c>
      <c r="R640" s="34">
        <f t="shared" si="40"/>
        <v>0.21517978620019437</v>
      </c>
      <c r="S640" s="22">
        <f t="shared" si="41"/>
        <v>5.4421768707483002E-4</v>
      </c>
    </row>
    <row r="641" spans="1:19">
      <c r="A641" s="44" t="s">
        <v>984</v>
      </c>
      <c r="B641" s="45" t="s">
        <v>93</v>
      </c>
      <c r="C641" s="45"/>
      <c r="D641" s="104">
        <v>0.25</v>
      </c>
      <c r="E641" s="4">
        <v>18</v>
      </c>
      <c r="F641" s="4">
        <v>12</v>
      </c>
      <c r="G641" s="4">
        <v>21</v>
      </c>
      <c r="H641" s="45">
        <v>6.8761999999999999</v>
      </c>
      <c r="I641" s="4">
        <v>2.0000000000000001E-4</v>
      </c>
      <c r="J641" s="45">
        <v>-42.089199999999998</v>
      </c>
      <c r="K641" s="4">
        <v>6.9999999999999999E-4</v>
      </c>
      <c r="L641" s="4">
        <v>3.2000000000000001E-2</v>
      </c>
      <c r="M641" s="4">
        <v>3.0000000000000001E-3</v>
      </c>
      <c r="N641" s="4">
        <v>-5.1000000000000004E-3</v>
      </c>
      <c r="O641" s="4">
        <v>1E-4</v>
      </c>
      <c r="P641" s="4">
        <v>122.49</v>
      </c>
      <c r="Q641" s="4">
        <v>0.17</v>
      </c>
      <c r="R641" s="45">
        <f>P641*E641/G641^3</f>
        <v>0.23807580174927109</v>
      </c>
      <c r="S641" s="22">
        <f>Q641*E641/G641^3</f>
        <v>3.304178814382896E-4</v>
      </c>
    </row>
    <row r="642" spans="1:19">
      <c r="A642" s="23" t="s">
        <v>984</v>
      </c>
      <c r="B642" s="4" t="s">
        <v>93</v>
      </c>
      <c r="D642" s="83">
        <v>0.5</v>
      </c>
      <c r="E642" s="4">
        <v>18</v>
      </c>
      <c r="F642" s="4">
        <v>12</v>
      </c>
      <c r="G642" s="4">
        <v>21</v>
      </c>
      <c r="H642" s="4">
        <v>6.7297000000000002</v>
      </c>
      <c r="I642" s="4">
        <v>4.0000000000000002E-4</v>
      </c>
      <c r="J642" s="4">
        <v>-41.527000000000001</v>
      </c>
      <c r="K642" s="4">
        <v>2E-3</v>
      </c>
      <c r="L642" s="4">
        <v>5.7000000000000002E-2</v>
      </c>
      <c r="M642" s="4">
        <v>1.2999999999999999E-2</v>
      </c>
      <c r="N642" s="4">
        <v>-6.3E-3</v>
      </c>
      <c r="O642" s="4">
        <v>1E-4</v>
      </c>
      <c r="P642" s="4">
        <v>115.71</v>
      </c>
      <c r="Q642" s="4">
        <v>0.23</v>
      </c>
      <c r="R642" s="4">
        <f t="shared" si="40"/>
        <v>0.22489795918367345</v>
      </c>
      <c r="S642" s="22">
        <f t="shared" si="41"/>
        <v>4.4703595724003895E-4</v>
      </c>
    </row>
    <row r="643" spans="1:19">
      <c r="A643" s="28" t="s">
        <v>984</v>
      </c>
      <c r="B643" s="29" t="s">
        <v>93</v>
      </c>
      <c r="C643" s="29"/>
      <c r="D643" s="85">
        <v>0.75</v>
      </c>
      <c r="E643" s="4">
        <v>18</v>
      </c>
      <c r="F643" s="4">
        <v>12</v>
      </c>
      <c r="G643" s="4">
        <v>21</v>
      </c>
      <c r="H643" s="29">
        <v>6.6032999999999999</v>
      </c>
      <c r="I643" s="4">
        <v>5.9999999999999995E-4</v>
      </c>
      <c r="J643" s="29">
        <v>-41.692799999999998</v>
      </c>
      <c r="K643" s="4">
        <v>8.0000000000000004E-4</v>
      </c>
      <c r="L643" s="4">
        <v>8.4000000000000005E-2</v>
      </c>
      <c r="M643" s="4">
        <v>2.5000000000000001E-2</v>
      </c>
      <c r="N643" s="4">
        <v>-9.1000000000000004E-3</v>
      </c>
      <c r="O643" s="4">
        <v>2.0000000000000001E-4</v>
      </c>
      <c r="P643" s="4">
        <v>101.6</v>
      </c>
      <c r="Q643" s="4">
        <v>0.28000000000000003</v>
      </c>
      <c r="R643" s="29">
        <f t="shared" si="40"/>
        <v>0.19747327502429543</v>
      </c>
      <c r="S643" s="22">
        <f t="shared" si="41"/>
        <v>5.4421768707483002E-4</v>
      </c>
    </row>
    <row r="644" spans="1:19">
      <c r="A644" s="33" t="s">
        <v>984</v>
      </c>
      <c r="B644" s="34" t="s">
        <v>93</v>
      </c>
      <c r="C644" s="34"/>
      <c r="D644" s="98">
        <v>1</v>
      </c>
      <c r="E644" s="4">
        <v>18</v>
      </c>
      <c r="F644" s="4">
        <v>12</v>
      </c>
      <c r="G644" s="4">
        <v>21</v>
      </c>
      <c r="H644" s="34">
        <v>6.4927999999999999</v>
      </c>
      <c r="I644" s="4">
        <v>2.9999999999999997E-4</v>
      </c>
      <c r="J644" s="34">
        <v>-42.942100000000003</v>
      </c>
      <c r="K644" s="4">
        <v>1.6999999999999999E-3</v>
      </c>
      <c r="L644" s="4">
        <v>0.14899999999999999</v>
      </c>
      <c r="M644" s="4">
        <v>0.03</v>
      </c>
      <c r="N644" s="4">
        <v>-1.23E-2</v>
      </c>
      <c r="O644" s="4">
        <v>1E-4</v>
      </c>
      <c r="P644" s="4">
        <v>81.3</v>
      </c>
      <c r="Q644" s="4">
        <v>0.28000000000000003</v>
      </c>
      <c r="R644" s="34">
        <f t="shared" si="40"/>
        <v>0.15801749271137025</v>
      </c>
      <c r="S644" s="22">
        <f t="shared" si="41"/>
        <v>5.4421768707483002E-4</v>
      </c>
    </row>
    <row r="645" spans="1:19">
      <c r="A645" s="44" t="s">
        <v>985</v>
      </c>
      <c r="B645" s="45" t="s">
        <v>1280</v>
      </c>
      <c r="C645" s="45"/>
      <c r="D645" s="104">
        <v>0.25</v>
      </c>
      <c r="E645" s="4">
        <v>18</v>
      </c>
      <c r="F645" s="4">
        <v>12</v>
      </c>
      <c r="G645" s="4">
        <v>21</v>
      </c>
      <c r="H645" s="45">
        <v>6.8677000000000001</v>
      </c>
      <c r="I645" s="4">
        <v>5.0000000000000001E-4</v>
      </c>
      <c r="J645" s="45">
        <v>-41.981499999999997</v>
      </c>
      <c r="K645" s="4">
        <v>5.9999999999999995E-4</v>
      </c>
      <c r="L645" s="4">
        <v>3.3000000000000002E-2</v>
      </c>
      <c r="M645" s="4">
        <v>1E-3</v>
      </c>
      <c r="N645" s="4">
        <v>-5.0000000000000001E-3</v>
      </c>
      <c r="O645" s="4">
        <v>1E-4</v>
      </c>
      <c r="P645" s="4">
        <v>123.57</v>
      </c>
      <c r="Q645" s="4">
        <v>0.13</v>
      </c>
      <c r="R645" s="45">
        <f>P645*E645/G645^3</f>
        <v>0.24017492711370259</v>
      </c>
      <c r="S645" s="22">
        <f>Q645*E645/G645^3</f>
        <v>2.5267249757045674E-4</v>
      </c>
    </row>
    <row r="646" spans="1:19">
      <c r="A646" s="23" t="s">
        <v>985</v>
      </c>
      <c r="B646" s="4" t="s">
        <v>1280</v>
      </c>
      <c r="D646" s="83">
        <v>0.5</v>
      </c>
      <c r="E646" s="4">
        <v>18</v>
      </c>
      <c r="F646" s="4">
        <v>12</v>
      </c>
      <c r="G646" s="4">
        <v>21</v>
      </c>
      <c r="H646" s="4">
        <v>6.7091000000000003</v>
      </c>
      <c r="I646" s="4">
        <v>6.9999999999999999E-4</v>
      </c>
      <c r="J646" s="4">
        <v>-41.049199999999999</v>
      </c>
      <c r="K646" s="4">
        <v>1.8E-3</v>
      </c>
      <c r="L646" s="4">
        <v>3.1E-2</v>
      </c>
      <c r="M646" s="4">
        <v>7.0000000000000001E-3</v>
      </c>
      <c r="N646" s="4">
        <v>-5.7999999999999996E-3</v>
      </c>
      <c r="O646" s="4">
        <v>1E-4</v>
      </c>
      <c r="P646" s="4">
        <v>119.82</v>
      </c>
      <c r="Q646" s="4">
        <v>0.16</v>
      </c>
      <c r="R646" s="4">
        <f t="shared" si="40"/>
        <v>0.23288629737609326</v>
      </c>
      <c r="S646" s="22">
        <f t="shared" si="41"/>
        <v>3.1098153547133139E-4</v>
      </c>
    </row>
    <row r="647" spans="1:19">
      <c r="A647" s="28" t="s">
        <v>985</v>
      </c>
      <c r="B647" s="29" t="s">
        <v>1280</v>
      </c>
      <c r="C647" s="29"/>
      <c r="D647" s="85">
        <v>0.75</v>
      </c>
      <c r="E647" s="4">
        <v>18</v>
      </c>
      <c r="F647" s="4">
        <v>12</v>
      </c>
      <c r="G647" s="4">
        <v>21</v>
      </c>
      <c r="H647" s="29">
        <v>6.5500999999999996</v>
      </c>
      <c r="I647" s="4">
        <v>4.0000000000000002E-4</v>
      </c>
      <c r="J647" s="29">
        <v>-40.4589</v>
      </c>
      <c r="K647" s="4">
        <v>1.1999999999999999E-3</v>
      </c>
      <c r="L647" s="4">
        <v>6.6000000000000003E-2</v>
      </c>
      <c r="M647" s="4">
        <v>2.8000000000000001E-2</v>
      </c>
      <c r="N647" s="4">
        <v>-6.8999999999999999E-3</v>
      </c>
      <c r="O647" s="4">
        <v>2.9999999999999997E-4</v>
      </c>
      <c r="P647" s="4">
        <v>113.18</v>
      </c>
      <c r="Q647" s="4">
        <v>0.32</v>
      </c>
      <c r="R647" s="29">
        <f t="shared" si="40"/>
        <v>0.21998056365403307</v>
      </c>
      <c r="S647" s="22">
        <f t="shared" si="41"/>
        <v>6.2196307094266278E-4</v>
      </c>
    </row>
    <row r="648" spans="1:19">
      <c r="A648" s="33" t="s">
        <v>985</v>
      </c>
      <c r="B648" s="34" t="s">
        <v>1280</v>
      </c>
      <c r="C648" s="34"/>
      <c r="D648" s="98">
        <v>1</v>
      </c>
      <c r="E648" s="4">
        <v>18</v>
      </c>
      <c r="F648" s="4">
        <v>12</v>
      </c>
      <c r="G648" s="4">
        <v>21</v>
      </c>
      <c r="H648" s="38">
        <v>6.391</v>
      </c>
      <c r="I648" s="39">
        <v>6.9999999999999999E-4</v>
      </c>
      <c r="J648" s="38">
        <v>-40.312800000000003</v>
      </c>
      <c r="K648" s="39">
        <v>1.6999999999999999E-3</v>
      </c>
      <c r="L648" s="39">
        <v>9.5000000000000001E-2</v>
      </c>
      <c r="M648" s="39">
        <v>1.4E-2</v>
      </c>
      <c r="N648" s="39">
        <v>-8.8999999999999999E-3</v>
      </c>
      <c r="O648" s="39">
        <v>1E-4</v>
      </c>
      <c r="P648" s="39">
        <v>102.54</v>
      </c>
      <c r="Q648" s="39">
        <v>0.28000000000000003</v>
      </c>
      <c r="R648" s="34">
        <f t="shared" si="40"/>
        <v>0.1993002915451895</v>
      </c>
      <c r="S648" s="22">
        <f t="shared" si="41"/>
        <v>5.4421768707483002E-4</v>
      </c>
    </row>
    <row r="649" spans="1:19">
      <c r="A649" s="44" t="s">
        <v>986</v>
      </c>
      <c r="B649" s="45" t="s">
        <v>1281</v>
      </c>
      <c r="C649" s="45"/>
      <c r="D649" s="104">
        <v>0.25</v>
      </c>
      <c r="E649" s="4">
        <v>18</v>
      </c>
      <c r="F649" s="4">
        <v>12</v>
      </c>
      <c r="G649" s="4">
        <v>21</v>
      </c>
      <c r="H649" s="45">
        <v>6.7990000000000004</v>
      </c>
      <c r="I649" s="4">
        <v>5.9999999999999995E-4</v>
      </c>
      <c r="J649" s="45">
        <v>-42.166899999999998</v>
      </c>
      <c r="K649" s="4">
        <v>1.8E-3</v>
      </c>
      <c r="L649" s="4">
        <v>5.7000000000000002E-2</v>
      </c>
      <c r="M649" s="4">
        <v>1.2999999999999999E-2</v>
      </c>
      <c r="N649" s="4">
        <v>-5.1000000000000004E-3</v>
      </c>
      <c r="O649" s="4">
        <v>1E-4</v>
      </c>
      <c r="P649" s="4">
        <v>123</v>
      </c>
      <c r="Q649" s="4">
        <v>0.23</v>
      </c>
      <c r="R649" s="45">
        <f>P649*E649/G649^3</f>
        <v>0.239067055393586</v>
      </c>
      <c r="S649" s="22">
        <f>Q649*E649/G649^3</f>
        <v>4.4703595724003895E-4</v>
      </c>
    </row>
    <row r="650" spans="1:19">
      <c r="A650" s="23" t="s">
        <v>986</v>
      </c>
      <c r="B650" s="4" t="s">
        <v>1281</v>
      </c>
      <c r="D650" s="83">
        <v>0.5</v>
      </c>
      <c r="E650" s="4">
        <v>18</v>
      </c>
      <c r="F650" s="4">
        <v>12</v>
      </c>
      <c r="G650" s="4">
        <v>21</v>
      </c>
      <c r="H650" s="4">
        <v>6.5494000000000003</v>
      </c>
      <c r="I650" s="4">
        <v>5.9999999999999995E-4</v>
      </c>
      <c r="J650" s="4">
        <v>-41.717399999999998</v>
      </c>
      <c r="K650" s="4">
        <v>2.3999999999999998E-3</v>
      </c>
      <c r="L650" s="4">
        <v>0.105</v>
      </c>
      <c r="M650" s="4">
        <v>7.0000000000000001E-3</v>
      </c>
      <c r="N650" s="4">
        <v>-7.7000000000000002E-3</v>
      </c>
      <c r="O650" s="4">
        <v>1E-4</v>
      </c>
      <c r="P650" s="4">
        <v>113.43</v>
      </c>
      <c r="Q650" s="4">
        <v>0.16</v>
      </c>
      <c r="R650" s="4">
        <f t="shared" si="40"/>
        <v>0.22046647230320701</v>
      </c>
      <c r="S650" s="22">
        <f t="shared" si="41"/>
        <v>3.1098153547133139E-4</v>
      </c>
    </row>
    <row r="651" spans="1:19">
      <c r="A651" s="44" t="s">
        <v>987</v>
      </c>
      <c r="B651" s="45" t="s">
        <v>1282</v>
      </c>
      <c r="C651" s="45"/>
      <c r="D651" s="104">
        <v>0.25</v>
      </c>
      <c r="E651" s="4">
        <v>18</v>
      </c>
      <c r="F651" s="4">
        <v>12</v>
      </c>
      <c r="G651" s="4">
        <v>21</v>
      </c>
      <c r="H651" s="45">
        <v>6.7737999999999996</v>
      </c>
      <c r="I651" s="4">
        <v>8.0000000000000004E-4</v>
      </c>
      <c r="J651" s="45">
        <v>-42.322099999999999</v>
      </c>
      <c r="K651" s="4">
        <v>1.1999999999999999E-3</v>
      </c>
      <c r="L651" s="4">
        <v>5.1999999999999998E-2</v>
      </c>
      <c r="M651" s="4">
        <v>1.0999999999999999E-2</v>
      </c>
      <c r="N651" s="4">
        <v>-5.1000000000000004E-3</v>
      </c>
      <c r="O651" s="4">
        <v>2.0000000000000001E-4</v>
      </c>
      <c r="P651" s="4">
        <v>123.99</v>
      </c>
      <c r="Q651" s="4">
        <v>0.27</v>
      </c>
      <c r="R651" s="45">
        <f>P651*E651/G651^3</f>
        <v>0.24099125364431484</v>
      </c>
      <c r="S651" s="22">
        <f>Q651*E651/G651^3</f>
        <v>5.2478134110787176E-4</v>
      </c>
    </row>
    <row r="652" spans="1:19">
      <c r="A652" s="23" t="s">
        <v>987</v>
      </c>
      <c r="B652" s="4" t="s">
        <v>1282</v>
      </c>
      <c r="D652" s="83">
        <v>0.5</v>
      </c>
      <c r="E652" s="4">
        <v>18</v>
      </c>
      <c r="F652" s="4">
        <v>12</v>
      </c>
      <c r="G652" s="4">
        <v>21</v>
      </c>
      <c r="H652" s="4">
        <v>6.5082000000000004</v>
      </c>
      <c r="I652" s="4">
        <v>6.9999999999999999E-4</v>
      </c>
      <c r="J652" s="4">
        <v>-41.8093</v>
      </c>
      <c r="K652" s="4">
        <v>1E-3</v>
      </c>
      <c r="L652" s="4">
        <v>0.1</v>
      </c>
      <c r="M652" s="4">
        <v>1.0999999999999999E-2</v>
      </c>
      <c r="N652" s="4">
        <v>-6.4999999999999997E-3</v>
      </c>
      <c r="O652" s="4">
        <v>2.0000000000000001E-4</v>
      </c>
      <c r="P652" s="4">
        <v>119.21</v>
      </c>
      <c r="Q652" s="4">
        <v>0.35</v>
      </c>
      <c r="R652" s="4">
        <f t="shared" si="40"/>
        <v>0.23170068027210883</v>
      </c>
      <c r="S652" s="22">
        <f t="shared" si="41"/>
        <v>6.8027210884353737E-4</v>
      </c>
    </row>
    <row r="653" spans="1:19">
      <c r="A653" s="44" t="s">
        <v>988</v>
      </c>
      <c r="B653" s="45" t="s">
        <v>1283</v>
      </c>
      <c r="C653" s="45"/>
      <c r="D653" s="104">
        <v>0.25</v>
      </c>
      <c r="E653" s="4">
        <v>18</v>
      </c>
      <c r="F653" s="4">
        <v>12</v>
      </c>
      <c r="G653" s="4">
        <v>21</v>
      </c>
      <c r="H653" s="45">
        <v>6.8422999999999998</v>
      </c>
      <c r="I653" s="4">
        <v>8.9999999999999998E-4</v>
      </c>
      <c r="J653" s="45">
        <v>-41.995199999999997</v>
      </c>
      <c r="K653" s="4">
        <v>1.4E-3</v>
      </c>
      <c r="L653" s="4">
        <v>4.1000000000000002E-2</v>
      </c>
      <c r="M653" s="4">
        <v>7.0000000000000001E-3</v>
      </c>
      <c r="N653" s="4">
        <v>-5.0000000000000001E-3</v>
      </c>
      <c r="O653" s="4">
        <v>1E-4</v>
      </c>
      <c r="P653" s="4">
        <v>123.82</v>
      </c>
      <c r="Q653" s="4">
        <v>0.22</v>
      </c>
      <c r="R653" s="45">
        <f>P653*E653/G653^3</f>
        <v>0.24066083576287656</v>
      </c>
      <c r="S653" s="22">
        <f>Q653*E653/G653^3</f>
        <v>4.2759961127308068E-4</v>
      </c>
    </row>
    <row r="654" spans="1:19">
      <c r="A654" s="23" t="s">
        <v>988</v>
      </c>
      <c r="B654" s="4" t="s">
        <v>1283</v>
      </c>
      <c r="D654" s="83">
        <v>0.5</v>
      </c>
      <c r="E654" s="4">
        <v>18</v>
      </c>
      <c r="F654" s="4">
        <v>12</v>
      </c>
      <c r="G654" s="4">
        <v>21</v>
      </c>
      <c r="H654" s="4">
        <v>6.6593999999999998</v>
      </c>
      <c r="I654" s="4">
        <v>5.9999999999999995E-4</v>
      </c>
      <c r="J654" s="4">
        <v>-41.050400000000003</v>
      </c>
      <c r="K654" s="4">
        <v>1.1999999999999999E-3</v>
      </c>
      <c r="L654" s="4">
        <v>3.7999999999999999E-2</v>
      </c>
      <c r="M654" s="4">
        <v>3.0000000000000001E-3</v>
      </c>
      <c r="N654" s="4">
        <v>-5.5999999999999999E-3</v>
      </c>
      <c r="O654" s="4">
        <v>1E-4</v>
      </c>
      <c r="P654" s="4">
        <v>120.43</v>
      </c>
      <c r="Q654" s="4">
        <v>0.08</v>
      </c>
      <c r="R654" s="4">
        <f t="shared" si="40"/>
        <v>0.23407191448007778</v>
      </c>
      <c r="S654" s="22">
        <f t="shared" si="41"/>
        <v>1.5549076773566569E-4</v>
      </c>
    </row>
    <row r="655" spans="1:19">
      <c r="A655" s="44" t="s">
        <v>989</v>
      </c>
      <c r="B655" s="45" t="s">
        <v>1284</v>
      </c>
      <c r="C655" s="45"/>
      <c r="D655" s="104">
        <v>0.25</v>
      </c>
      <c r="E655" s="4">
        <v>18</v>
      </c>
      <c r="F655" s="4">
        <v>12</v>
      </c>
      <c r="G655" s="4">
        <v>21</v>
      </c>
      <c r="H655" s="45">
        <v>6.81</v>
      </c>
      <c r="I655" s="4">
        <v>8.9999999999999998E-4</v>
      </c>
      <c r="J655" s="45">
        <v>-42.284100000000002</v>
      </c>
      <c r="K655" s="4">
        <v>2.0000000000000001E-4</v>
      </c>
      <c r="L655" s="4">
        <v>0.129</v>
      </c>
      <c r="M655" s="4">
        <v>1.0999999999999999E-2</v>
      </c>
      <c r="N655" s="4">
        <v>-5.4999999999999997E-3</v>
      </c>
      <c r="O655" s="4">
        <v>1E-4</v>
      </c>
      <c r="P655" s="4">
        <v>123.69</v>
      </c>
      <c r="Q655" s="4">
        <v>0.18</v>
      </c>
      <c r="R655" s="45">
        <f t="shared" si="40"/>
        <v>0.24040816326530612</v>
      </c>
      <c r="S655" s="22">
        <f t="shared" si="41"/>
        <v>3.4985422740524776E-4</v>
      </c>
    </row>
    <row r="656" spans="1:19">
      <c r="A656" s="23" t="s">
        <v>989</v>
      </c>
      <c r="B656" s="4" t="s">
        <v>1284</v>
      </c>
      <c r="D656" s="83">
        <v>0.5</v>
      </c>
      <c r="E656" s="4">
        <v>18</v>
      </c>
      <c r="F656" s="4">
        <v>12</v>
      </c>
      <c r="G656" s="4">
        <v>21</v>
      </c>
      <c r="H656" s="4">
        <v>6.5979000000000001</v>
      </c>
      <c r="I656" s="4">
        <v>5.9999999999999995E-4</v>
      </c>
      <c r="J656" s="4">
        <v>-41.624200000000002</v>
      </c>
      <c r="K656" s="4">
        <v>2.0999999999999999E-3</v>
      </c>
      <c r="L656" s="4">
        <v>5.7000000000000002E-2</v>
      </c>
      <c r="M656" s="4">
        <v>1.2E-2</v>
      </c>
      <c r="N656" s="4">
        <v>-5.8999999999999999E-3</v>
      </c>
      <c r="O656" s="4">
        <v>2.0000000000000001E-4</v>
      </c>
      <c r="P656" s="4">
        <v>120.62</v>
      </c>
      <c r="Q656" s="4">
        <v>0.17</v>
      </c>
      <c r="R656" s="4">
        <f t="shared" si="40"/>
        <v>0.23444120505344992</v>
      </c>
      <c r="S656" s="22">
        <f t="shared" si="41"/>
        <v>3.304178814382896E-4</v>
      </c>
    </row>
    <row r="657" spans="1:19">
      <c r="A657" s="44" t="s">
        <v>990</v>
      </c>
      <c r="B657" s="45" t="s">
        <v>1285</v>
      </c>
      <c r="C657" s="45"/>
      <c r="D657" s="104">
        <v>0.25</v>
      </c>
      <c r="E657" s="4">
        <v>18</v>
      </c>
      <c r="F657" s="4">
        <v>12</v>
      </c>
      <c r="G657" s="4">
        <v>21</v>
      </c>
      <c r="H657" s="45">
        <v>6.8129999999999997</v>
      </c>
      <c r="I657" s="4">
        <v>1E-3</v>
      </c>
      <c r="J657" s="45">
        <v>-42.154499999999999</v>
      </c>
      <c r="K657" s="4">
        <v>1.2999999999999999E-3</v>
      </c>
      <c r="L657" s="4">
        <v>3.6999999999999998E-2</v>
      </c>
      <c r="M657" s="4">
        <v>5.0000000000000001E-3</v>
      </c>
      <c r="N657" s="4">
        <v>-5.0000000000000001E-3</v>
      </c>
      <c r="O657" s="4">
        <v>1E-4</v>
      </c>
      <c r="P657" s="4">
        <v>124.39</v>
      </c>
      <c r="Q657" s="4">
        <v>0.11</v>
      </c>
      <c r="R657" s="45">
        <f>P657*E657/G657^3</f>
        <v>0.2417687074829932</v>
      </c>
      <c r="S657" s="22">
        <f>Q657*E657/G657^3</f>
        <v>2.1379980563654034E-4</v>
      </c>
    </row>
    <row r="658" spans="1:19">
      <c r="A658" s="23" t="s">
        <v>990</v>
      </c>
      <c r="B658" s="4" t="s">
        <v>1285</v>
      </c>
      <c r="D658" s="83">
        <v>0.5</v>
      </c>
      <c r="E658" s="4">
        <v>18</v>
      </c>
      <c r="F658" s="4">
        <v>12</v>
      </c>
      <c r="G658" s="4">
        <v>21</v>
      </c>
      <c r="H658" s="39">
        <v>6.6035000000000004</v>
      </c>
      <c r="I658" s="4">
        <v>1E-3</v>
      </c>
      <c r="J658" s="4">
        <v>-41.289499999999997</v>
      </c>
      <c r="K658" s="4">
        <v>2E-3</v>
      </c>
      <c r="L658" s="4">
        <v>4.7E-2</v>
      </c>
      <c r="M658" s="4">
        <v>8.0000000000000002E-3</v>
      </c>
      <c r="N658" s="4">
        <v>-5.3E-3</v>
      </c>
      <c r="O658" s="4">
        <v>1E-4</v>
      </c>
      <c r="P658" s="4">
        <v>122.84</v>
      </c>
      <c r="Q658" s="4">
        <v>0.11</v>
      </c>
      <c r="R658" s="4">
        <f t="shared" si="40"/>
        <v>0.23875607385811468</v>
      </c>
      <c r="S658" s="22">
        <f t="shared" si="41"/>
        <v>2.1379980563654034E-4</v>
      </c>
    </row>
    <row r="659" spans="1:19">
      <c r="A659" s="44" t="s">
        <v>991</v>
      </c>
      <c r="B659" s="45" t="s">
        <v>1286</v>
      </c>
      <c r="C659" s="45"/>
      <c r="D659" s="104">
        <v>0.25</v>
      </c>
      <c r="E659" s="4">
        <v>18</v>
      </c>
      <c r="F659" s="4">
        <v>12</v>
      </c>
      <c r="G659" s="4">
        <v>21</v>
      </c>
      <c r="H659" s="45">
        <v>6.8452999999999999</v>
      </c>
      <c r="I659" s="4">
        <v>6.9999999999999999E-4</v>
      </c>
      <c r="J659" s="45">
        <v>-41.9054</v>
      </c>
      <c r="K659" s="4">
        <v>2.0999999999999999E-3</v>
      </c>
      <c r="L659" s="4">
        <v>3.3000000000000002E-2</v>
      </c>
      <c r="M659" s="4">
        <v>5.0000000000000001E-3</v>
      </c>
      <c r="N659" s="4">
        <v>-5.0000000000000001E-3</v>
      </c>
      <c r="O659" s="4">
        <v>2.0000000000000001E-4</v>
      </c>
      <c r="P659" s="4">
        <v>123.82</v>
      </c>
      <c r="Q659" s="4">
        <v>0.17</v>
      </c>
      <c r="R659" s="45">
        <f>P659*E659/G659^3</f>
        <v>0.24066083576287656</v>
      </c>
      <c r="S659" s="22">
        <f>Q659*E659/G659^3</f>
        <v>3.304178814382896E-4</v>
      </c>
    </row>
    <row r="660" spans="1:19">
      <c r="A660" s="23" t="s">
        <v>991</v>
      </c>
      <c r="B660" s="4" t="s">
        <v>1286</v>
      </c>
      <c r="D660" s="83">
        <v>0.5</v>
      </c>
      <c r="E660" s="4">
        <v>18</v>
      </c>
      <c r="F660" s="4">
        <v>12</v>
      </c>
      <c r="G660" s="4">
        <v>21</v>
      </c>
      <c r="H660" s="4">
        <v>6.6657000000000002</v>
      </c>
      <c r="I660" s="4">
        <v>2.9999999999999997E-4</v>
      </c>
      <c r="J660" s="4">
        <v>-40.896900000000002</v>
      </c>
      <c r="K660" s="4">
        <v>1.4E-3</v>
      </c>
      <c r="L660" s="4">
        <v>0.13300000000000001</v>
      </c>
      <c r="M660" s="4">
        <v>4.0000000000000001E-3</v>
      </c>
      <c r="N660" s="4">
        <v>-5.8999999999999999E-3</v>
      </c>
      <c r="O660" s="4">
        <v>1E-4</v>
      </c>
      <c r="P660" s="4">
        <v>120.34</v>
      </c>
      <c r="Q660" s="4">
        <v>0.14000000000000001</v>
      </c>
      <c r="R660" s="4">
        <f t="shared" si="40"/>
        <v>0.2338969873663751</v>
      </c>
      <c r="S660" s="22">
        <f t="shared" si="41"/>
        <v>2.7210884353741501E-4</v>
      </c>
    </row>
    <row r="661" spans="1:19">
      <c r="A661" s="44" t="s">
        <v>992</v>
      </c>
      <c r="B661" s="45" t="s">
        <v>1287</v>
      </c>
      <c r="C661" s="45"/>
      <c r="D661" s="104">
        <v>0.25</v>
      </c>
      <c r="E661" s="4">
        <v>18</v>
      </c>
      <c r="F661" s="4">
        <v>12</v>
      </c>
      <c r="G661" s="4">
        <v>21</v>
      </c>
      <c r="H661" s="45">
        <v>6.8365</v>
      </c>
      <c r="I661" s="4">
        <v>2.0000000000000001E-4</v>
      </c>
      <c r="J661" s="45">
        <v>-42.109400000000001</v>
      </c>
      <c r="K661" s="4">
        <v>8.0000000000000004E-4</v>
      </c>
      <c r="L661" s="4">
        <v>3.4000000000000002E-2</v>
      </c>
      <c r="M661" s="4">
        <v>5.0000000000000001E-3</v>
      </c>
      <c r="N661" s="4">
        <v>-4.7999999999999996E-3</v>
      </c>
      <c r="O661" s="4">
        <v>1E-4</v>
      </c>
      <c r="P661" s="4">
        <v>124.35</v>
      </c>
      <c r="Q661" s="4">
        <v>0.12</v>
      </c>
      <c r="R661" s="45">
        <f>P661*E661/G661^3</f>
        <v>0.24169096209912533</v>
      </c>
      <c r="S661" s="22">
        <f>Q661*E661/G661^3</f>
        <v>2.3323615160349855E-4</v>
      </c>
    </row>
    <row r="662" spans="1:19">
      <c r="A662" s="23" t="s">
        <v>992</v>
      </c>
      <c r="B662" s="4" t="s">
        <v>1287</v>
      </c>
      <c r="D662" s="83">
        <v>0.5</v>
      </c>
      <c r="E662" s="4">
        <v>18</v>
      </c>
      <c r="F662" s="4">
        <v>12</v>
      </c>
      <c r="G662" s="4">
        <v>21</v>
      </c>
      <c r="H662" s="4">
        <v>6.6483999999999996</v>
      </c>
      <c r="I662" s="4">
        <v>4.0000000000000002E-4</v>
      </c>
      <c r="J662" s="4">
        <v>-41.221400000000003</v>
      </c>
      <c r="K662" s="4">
        <v>5.9999999999999995E-4</v>
      </c>
      <c r="L662" s="4">
        <v>3.5999999999999997E-2</v>
      </c>
      <c r="M662" s="4">
        <v>1E-3</v>
      </c>
      <c r="N662" s="4">
        <v>-5.4999999999999997E-3</v>
      </c>
      <c r="O662" s="4">
        <v>1E-4</v>
      </c>
      <c r="P662" s="4">
        <v>121.87</v>
      </c>
      <c r="Q662" s="4">
        <v>0.13</v>
      </c>
      <c r="R662" s="4">
        <f t="shared" si="40"/>
        <v>0.2368707482993197</v>
      </c>
      <c r="S662" s="22">
        <f t="shared" si="41"/>
        <v>2.5267249757045674E-4</v>
      </c>
    </row>
    <row r="663" spans="1:19">
      <c r="A663" s="44" t="s">
        <v>993</v>
      </c>
      <c r="B663" s="45" t="s">
        <v>1288</v>
      </c>
      <c r="C663" s="45"/>
      <c r="D663" s="104">
        <v>0.25</v>
      </c>
      <c r="E663" s="4">
        <v>18</v>
      </c>
      <c r="F663" s="4">
        <v>12</v>
      </c>
      <c r="G663" s="4">
        <v>21</v>
      </c>
      <c r="H663" s="45">
        <v>6.8234000000000004</v>
      </c>
      <c r="I663" s="4">
        <v>8.9999999999999998E-4</v>
      </c>
      <c r="J663" s="45">
        <v>-41.993600000000001</v>
      </c>
      <c r="K663" s="4">
        <v>2.2000000000000001E-3</v>
      </c>
      <c r="L663" s="4">
        <v>4.2999999999999997E-2</v>
      </c>
      <c r="M663" s="4">
        <v>1.2E-2</v>
      </c>
      <c r="N663" s="4">
        <v>-5.0000000000000001E-3</v>
      </c>
      <c r="O663" s="4">
        <v>2.9999999999999997E-4</v>
      </c>
      <c r="P663" s="4">
        <v>124.23</v>
      </c>
      <c r="Q663" s="4">
        <v>0.16</v>
      </c>
      <c r="R663" s="45">
        <f>P663*E663/G663^3</f>
        <v>0.24145772594752185</v>
      </c>
      <c r="S663" s="22">
        <f>Q663*E663/G663^3</f>
        <v>3.1098153547133139E-4</v>
      </c>
    </row>
    <row r="664" spans="1:19">
      <c r="A664" s="23" t="s">
        <v>993</v>
      </c>
      <c r="B664" s="4" t="s">
        <v>1288</v>
      </c>
      <c r="D664" s="83">
        <v>0.5</v>
      </c>
      <c r="E664" s="4">
        <v>18</v>
      </c>
      <c r="F664" s="4">
        <v>12</v>
      </c>
      <c r="G664" s="4">
        <v>21</v>
      </c>
      <c r="H664" s="4">
        <v>6.6254</v>
      </c>
      <c r="I664" s="4">
        <v>5.9999999999999995E-4</v>
      </c>
      <c r="J664" s="4">
        <v>-40.996200000000002</v>
      </c>
      <c r="K664" s="4">
        <v>6.9999999999999999E-4</v>
      </c>
      <c r="L664" s="4">
        <v>3.4000000000000002E-2</v>
      </c>
      <c r="M664" s="4">
        <v>3.0000000000000001E-3</v>
      </c>
      <c r="N664" s="4">
        <v>-5.4000000000000003E-3</v>
      </c>
      <c r="O664" s="4">
        <v>0</v>
      </c>
      <c r="P664" s="4">
        <v>121.79</v>
      </c>
      <c r="Q664" s="4">
        <v>0.15</v>
      </c>
      <c r="R664" s="4">
        <f t="shared" si="40"/>
        <v>0.23671525753158409</v>
      </c>
      <c r="S664" s="22">
        <f t="shared" si="41"/>
        <v>2.9154518950437317E-4</v>
      </c>
    </row>
    <row r="665" spans="1:19">
      <c r="A665" s="28" t="s">
        <v>993</v>
      </c>
      <c r="B665" s="29" t="s">
        <v>1288</v>
      </c>
      <c r="C665" s="29"/>
      <c r="D665" s="85">
        <v>0.75</v>
      </c>
      <c r="E665" s="4">
        <v>18</v>
      </c>
      <c r="F665" s="4">
        <v>12</v>
      </c>
      <c r="G665" s="4">
        <v>21</v>
      </c>
      <c r="H665" s="29">
        <v>6.4297000000000004</v>
      </c>
      <c r="I665" s="4">
        <v>5.0000000000000001E-4</v>
      </c>
      <c r="J665" s="29">
        <v>-40.247700000000002</v>
      </c>
      <c r="K665" s="4">
        <v>1E-3</v>
      </c>
      <c r="L665" s="4">
        <v>5.3999999999999999E-2</v>
      </c>
      <c r="M665" s="4">
        <v>3.0000000000000001E-3</v>
      </c>
      <c r="N665" s="4">
        <v>-6.3E-3</v>
      </c>
      <c r="O665" s="4">
        <v>2.9999999999999997E-4</v>
      </c>
      <c r="P665" s="4">
        <v>117.58</v>
      </c>
      <c r="Q665" s="4">
        <v>0.24</v>
      </c>
      <c r="R665" s="29">
        <f t="shared" si="40"/>
        <v>0.22853255587949467</v>
      </c>
      <c r="S665" s="22">
        <f t="shared" si="41"/>
        <v>4.6647230320699711E-4</v>
      </c>
    </row>
    <row r="666" spans="1:19">
      <c r="A666" s="33" t="s">
        <v>993</v>
      </c>
      <c r="B666" s="34" t="s">
        <v>1288</v>
      </c>
      <c r="C666" s="34"/>
      <c r="D666" s="98">
        <v>1</v>
      </c>
      <c r="E666" s="4">
        <v>18</v>
      </c>
      <c r="F666" s="4">
        <v>12</v>
      </c>
      <c r="G666" s="4">
        <v>21</v>
      </c>
      <c r="H666" s="34">
        <v>6.2380000000000004</v>
      </c>
      <c r="I666" s="4">
        <v>1E-3</v>
      </c>
      <c r="J666" s="34">
        <v>-39.809600000000003</v>
      </c>
      <c r="K666" s="4">
        <v>2.3999999999999998E-3</v>
      </c>
      <c r="L666" s="4">
        <v>8.2000000000000003E-2</v>
      </c>
      <c r="M666" s="4">
        <v>2.1999999999999999E-2</v>
      </c>
      <c r="N666" s="4">
        <v>-7.3000000000000001E-3</v>
      </c>
      <c r="O666" s="4">
        <v>2.9999999999999997E-4</v>
      </c>
      <c r="P666" s="4">
        <v>111.34</v>
      </c>
      <c r="Q666" s="4">
        <v>0.35</v>
      </c>
      <c r="R666" s="34">
        <f t="shared" si="40"/>
        <v>0.21640427599611275</v>
      </c>
      <c r="S666" s="22">
        <f t="shared" si="41"/>
        <v>6.8027210884353737E-4</v>
      </c>
    </row>
    <row r="667" spans="1:19">
      <c r="A667" s="44" t="s">
        <v>994</v>
      </c>
      <c r="B667" s="45" t="s">
        <v>1289</v>
      </c>
      <c r="C667" s="45"/>
      <c r="D667" s="104">
        <v>0.25</v>
      </c>
      <c r="E667" s="4">
        <v>18</v>
      </c>
      <c r="F667" s="4">
        <v>12</v>
      </c>
      <c r="G667" s="4">
        <v>21</v>
      </c>
      <c r="H667" s="45">
        <v>6.7891000000000004</v>
      </c>
      <c r="I667" s="4">
        <v>8.0000000000000004E-4</v>
      </c>
      <c r="J667" s="45">
        <v>-42.067900000000002</v>
      </c>
      <c r="K667" s="4">
        <v>2.8E-3</v>
      </c>
      <c r="L667" s="4">
        <v>4.7E-2</v>
      </c>
      <c r="M667" s="4">
        <v>1.0999999999999999E-2</v>
      </c>
      <c r="N667" s="4">
        <v>-5.0000000000000001E-3</v>
      </c>
      <c r="O667" s="4">
        <v>2.9999999999999997E-4</v>
      </c>
      <c r="P667" s="4">
        <v>124.61</v>
      </c>
      <c r="Q667" s="4">
        <v>0.26</v>
      </c>
      <c r="R667" s="45">
        <f>P667*E667/G667^3</f>
        <v>0.24219630709426629</v>
      </c>
      <c r="S667" s="22">
        <f>Q667*E667/G667^3</f>
        <v>5.0534499514091349E-4</v>
      </c>
    </row>
    <row r="668" spans="1:19">
      <c r="A668" s="23" t="s">
        <v>994</v>
      </c>
      <c r="B668" s="4" t="s">
        <v>1289</v>
      </c>
      <c r="D668" s="83">
        <v>0.5</v>
      </c>
      <c r="E668" s="4">
        <v>18</v>
      </c>
      <c r="F668" s="4">
        <v>12</v>
      </c>
      <c r="G668" s="4">
        <v>21</v>
      </c>
      <c r="H668" s="4">
        <v>6.5552000000000001</v>
      </c>
      <c r="I668" s="4">
        <v>8.0000000000000004E-4</v>
      </c>
      <c r="J668" s="4">
        <v>-41.139099999999999</v>
      </c>
      <c r="K668" s="4">
        <v>2.7000000000000001E-3</v>
      </c>
      <c r="L668" s="4">
        <v>5.8000000000000003E-2</v>
      </c>
      <c r="M668" s="4">
        <v>1.2999999999999999E-2</v>
      </c>
      <c r="N668" s="4">
        <v>-5.4999999999999997E-3</v>
      </c>
      <c r="O668" s="4">
        <v>1E-4</v>
      </c>
      <c r="P668" s="4">
        <v>122.55</v>
      </c>
      <c r="Q668" s="4">
        <v>0.11</v>
      </c>
      <c r="R668" s="4">
        <f t="shared" si="40"/>
        <v>0.23819241982507289</v>
      </c>
      <c r="S668" s="22">
        <f t="shared" si="41"/>
        <v>2.1379980563654034E-4</v>
      </c>
    </row>
    <row r="669" spans="1:19">
      <c r="A669" s="28" t="s">
        <v>994</v>
      </c>
      <c r="B669" s="29" t="s">
        <v>1289</v>
      </c>
      <c r="C669" s="29"/>
      <c r="D669" s="85">
        <v>0.75</v>
      </c>
      <c r="E669" s="4">
        <v>18</v>
      </c>
      <c r="F669" s="4">
        <v>12</v>
      </c>
      <c r="G669" s="4">
        <v>21</v>
      </c>
      <c r="H669" s="29">
        <v>6.3094000000000001</v>
      </c>
      <c r="I669" s="4">
        <v>6.9999999999999999E-4</v>
      </c>
      <c r="J669" s="29">
        <v>-40.485300000000002</v>
      </c>
      <c r="K669" s="4">
        <v>8.0000000000000004E-4</v>
      </c>
      <c r="L669" s="4">
        <v>0.11799999999999999</v>
      </c>
      <c r="M669" s="4">
        <v>1.2999999999999999E-2</v>
      </c>
      <c r="N669" s="4">
        <v>-6.7999999999999996E-3</v>
      </c>
      <c r="O669" s="4">
        <v>1E-4</v>
      </c>
      <c r="P669" s="4">
        <v>118.24</v>
      </c>
      <c r="Q669" s="4">
        <v>0.11</v>
      </c>
      <c r="R669" s="29">
        <f t="shared" si="40"/>
        <v>0.22981535471331385</v>
      </c>
      <c r="S669" s="22">
        <f t="shared" si="41"/>
        <v>2.1379980563654034E-4</v>
      </c>
    </row>
    <row r="670" spans="1:19">
      <c r="A670" s="44" t="s">
        <v>995</v>
      </c>
      <c r="B670" s="45" t="s">
        <v>1290</v>
      </c>
      <c r="C670" s="45"/>
      <c r="D670" s="104">
        <v>0.25</v>
      </c>
      <c r="E670" s="4">
        <v>18</v>
      </c>
      <c r="F670" s="4">
        <v>12</v>
      </c>
      <c r="G670" s="4">
        <v>21</v>
      </c>
      <c r="H670" s="45">
        <v>6.8547000000000002</v>
      </c>
      <c r="I670" s="4">
        <v>4.0000000000000002E-4</v>
      </c>
      <c r="J670" s="45">
        <v>-42.084899999999998</v>
      </c>
      <c r="K670" s="4">
        <v>8.0000000000000004E-4</v>
      </c>
      <c r="L670" s="4">
        <v>3.2000000000000001E-2</v>
      </c>
      <c r="M670" s="4">
        <v>0.01</v>
      </c>
      <c r="N670" s="4">
        <v>-5.0000000000000001E-3</v>
      </c>
      <c r="O670" s="4">
        <v>2.0000000000000001E-4</v>
      </c>
      <c r="P670" s="4">
        <v>124.04</v>
      </c>
      <c r="Q670" s="4">
        <v>0.12</v>
      </c>
      <c r="R670" s="45">
        <f>P670*E670/G670^3</f>
        <v>0.2410884353741497</v>
      </c>
      <c r="S670" s="22">
        <f>Q670*E670/G670^3</f>
        <v>2.3323615160349855E-4</v>
      </c>
    </row>
    <row r="671" spans="1:19">
      <c r="A671" s="23" t="s">
        <v>995</v>
      </c>
      <c r="B671" s="4" t="s">
        <v>1290</v>
      </c>
      <c r="D671" s="83">
        <v>0.5</v>
      </c>
      <c r="E671" s="4">
        <v>18</v>
      </c>
      <c r="F671" s="4">
        <v>12</v>
      </c>
      <c r="G671" s="4">
        <v>21</v>
      </c>
      <c r="H671" s="4">
        <v>6.6887999999999996</v>
      </c>
      <c r="I671" s="4">
        <v>8.0000000000000004E-4</v>
      </c>
      <c r="J671" s="4">
        <v>-41.179099999999998</v>
      </c>
      <c r="K671" s="4">
        <v>2.8E-3</v>
      </c>
      <c r="L671" s="4">
        <v>2.7E-2</v>
      </c>
      <c r="M671" s="4">
        <v>6.0000000000000001E-3</v>
      </c>
      <c r="N671" s="4">
        <v>-5.1999999999999998E-3</v>
      </c>
      <c r="O671" s="4">
        <v>1E-4</v>
      </c>
      <c r="P671" s="4">
        <v>121.85</v>
      </c>
      <c r="Q671" s="4">
        <v>0.05</v>
      </c>
      <c r="R671" s="4">
        <f t="shared" si="40"/>
        <v>0.23683187560738578</v>
      </c>
      <c r="S671" s="22">
        <f t="shared" si="41"/>
        <v>9.7181729834791062E-5</v>
      </c>
    </row>
    <row r="672" spans="1:19">
      <c r="A672" s="28" t="s">
        <v>995</v>
      </c>
      <c r="B672" s="29" t="s">
        <v>1290</v>
      </c>
      <c r="C672" s="29"/>
      <c r="D672" s="85">
        <v>0.75</v>
      </c>
      <c r="E672" s="4">
        <v>18</v>
      </c>
      <c r="F672" s="4">
        <v>12</v>
      </c>
      <c r="G672" s="4">
        <v>21</v>
      </c>
      <c r="H672" s="29">
        <v>6.5242000000000004</v>
      </c>
      <c r="I672" s="4">
        <v>1E-3</v>
      </c>
      <c r="J672" s="29">
        <v>-40.53</v>
      </c>
      <c r="K672" s="4">
        <v>3.5999999999999999E-3</v>
      </c>
      <c r="L672" s="4">
        <v>4.4999999999999998E-2</v>
      </c>
      <c r="M672" s="4">
        <v>8.0000000000000002E-3</v>
      </c>
      <c r="N672" s="4">
        <v>-5.8999999999999999E-3</v>
      </c>
      <c r="O672" s="4">
        <v>1E-4</v>
      </c>
      <c r="P672" s="4">
        <v>117.71</v>
      </c>
      <c r="Q672" s="4">
        <v>0.16</v>
      </c>
      <c r="R672" s="29">
        <f t="shared" si="40"/>
        <v>0.22878522837706508</v>
      </c>
      <c r="S672" s="22">
        <f t="shared" si="41"/>
        <v>3.1098153547133139E-4</v>
      </c>
    </row>
    <row r="673" spans="1:19">
      <c r="A673" s="33" t="s">
        <v>995</v>
      </c>
      <c r="B673" s="34" t="s">
        <v>1290</v>
      </c>
      <c r="C673" s="34"/>
      <c r="D673" s="98">
        <v>1</v>
      </c>
      <c r="E673" s="4">
        <v>18</v>
      </c>
      <c r="F673" s="4">
        <v>12</v>
      </c>
      <c r="G673" s="4">
        <v>21</v>
      </c>
      <c r="H673" s="34">
        <v>6.3746999999999998</v>
      </c>
      <c r="I673" s="4">
        <v>4.0000000000000002E-4</v>
      </c>
      <c r="J673" s="34">
        <v>-40.1631</v>
      </c>
      <c r="K673" s="4">
        <v>8.0000000000000004E-4</v>
      </c>
      <c r="L673" s="4">
        <v>7.0000000000000007E-2</v>
      </c>
      <c r="M673" s="4">
        <v>0.03</v>
      </c>
      <c r="N673" s="4">
        <v>-7.1000000000000004E-3</v>
      </c>
      <c r="O673" s="4">
        <v>1E-4</v>
      </c>
      <c r="P673" s="4">
        <v>111.14</v>
      </c>
      <c r="Q673" s="4">
        <v>0.17</v>
      </c>
      <c r="R673" s="34">
        <f t="shared" si="40"/>
        <v>0.21601554907677356</v>
      </c>
      <c r="S673" s="22">
        <f t="shared" si="41"/>
        <v>3.304178814382896E-4</v>
      </c>
    </row>
    <row r="674" spans="1:19">
      <c r="A674" s="44" t="s">
        <v>996</v>
      </c>
      <c r="B674" s="45" t="s">
        <v>1291</v>
      </c>
      <c r="C674" s="45"/>
      <c r="D674" s="104">
        <v>0.25</v>
      </c>
      <c r="E674" s="4">
        <v>18</v>
      </c>
      <c r="F674" s="4">
        <v>12</v>
      </c>
      <c r="G674" s="4">
        <v>21</v>
      </c>
      <c r="H674" s="45">
        <v>6.8419999999999996</v>
      </c>
      <c r="I674" s="4">
        <v>5.9999999999999995E-4</v>
      </c>
      <c r="J674" s="45">
        <v>-42.073900000000002</v>
      </c>
      <c r="K674" s="4">
        <v>2.0000000000000001E-4</v>
      </c>
      <c r="L674" s="4">
        <v>3.2000000000000001E-2</v>
      </c>
      <c r="M674" s="4">
        <v>8.0000000000000002E-3</v>
      </c>
      <c r="N674" s="4">
        <v>-5.0000000000000001E-3</v>
      </c>
      <c r="O674" s="4">
        <v>2.0000000000000001E-4</v>
      </c>
      <c r="P674" s="4">
        <v>123.77</v>
      </c>
      <c r="Q674" s="4">
        <v>0.18</v>
      </c>
      <c r="R674" s="45">
        <f>P674*E674/G674^3</f>
        <v>0.24056365403304181</v>
      </c>
      <c r="S674" s="22">
        <f>Q674*E674/G674^3</f>
        <v>3.4985422740524776E-4</v>
      </c>
    </row>
    <row r="675" spans="1:19">
      <c r="A675" s="23" t="s">
        <v>996</v>
      </c>
      <c r="B675" s="4" t="s">
        <v>1291</v>
      </c>
      <c r="D675" s="83">
        <v>0.5</v>
      </c>
      <c r="E675" s="4">
        <v>18</v>
      </c>
      <c r="F675" s="4">
        <v>12</v>
      </c>
      <c r="G675" s="4">
        <v>21</v>
      </c>
      <c r="H675" s="4">
        <v>6.6543000000000001</v>
      </c>
      <c r="I675" s="4">
        <v>2.9999999999999997E-4</v>
      </c>
      <c r="J675" s="4">
        <v>-41.247500000000002</v>
      </c>
      <c r="K675" s="4">
        <v>2E-3</v>
      </c>
      <c r="L675" s="4">
        <v>4.7E-2</v>
      </c>
      <c r="M675" s="4">
        <v>6.0000000000000001E-3</v>
      </c>
      <c r="N675" s="4">
        <v>-5.8999999999999999E-3</v>
      </c>
      <c r="O675" s="4">
        <v>1E-4</v>
      </c>
      <c r="P675" s="4">
        <v>119.88</v>
      </c>
      <c r="Q675" s="4">
        <v>0.23</v>
      </c>
      <c r="R675" s="4">
        <f t="shared" si="40"/>
        <v>0.23300291545189505</v>
      </c>
      <c r="S675" s="22">
        <f t="shared" si="41"/>
        <v>4.4703595724003895E-4</v>
      </c>
    </row>
    <row r="676" spans="1:19">
      <c r="A676" s="28" t="s">
        <v>996</v>
      </c>
      <c r="B676" s="29" t="s">
        <v>1291</v>
      </c>
      <c r="C676" s="29"/>
      <c r="D676" s="85">
        <v>0.75</v>
      </c>
      <c r="E676" s="4">
        <v>18</v>
      </c>
      <c r="F676" s="4">
        <v>12</v>
      </c>
      <c r="G676" s="4">
        <v>21</v>
      </c>
      <c r="H676" s="29">
        <v>6.4561999999999999</v>
      </c>
      <c r="I676" s="4">
        <v>5.0000000000000001E-4</v>
      </c>
      <c r="J676" s="29">
        <v>-40.811999999999998</v>
      </c>
      <c r="K676" s="4">
        <v>8.0000000000000004E-4</v>
      </c>
      <c r="L676" s="4">
        <v>8.7999999999999995E-2</v>
      </c>
      <c r="M676" s="4">
        <v>1.2999999999999999E-2</v>
      </c>
      <c r="N676" s="4">
        <v>-7.7000000000000002E-3</v>
      </c>
      <c r="O676" s="4">
        <v>1E-4</v>
      </c>
      <c r="P676" s="4">
        <v>111.86</v>
      </c>
      <c r="Q676" s="4">
        <v>0.18</v>
      </c>
      <c r="R676" s="29">
        <f t="shared" si="40"/>
        <v>0.21741496598639456</v>
      </c>
      <c r="S676" s="22">
        <f t="shared" si="41"/>
        <v>3.4985422740524776E-4</v>
      </c>
    </row>
    <row r="677" spans="1:19">
      <c r="A677" s="33" t="s">
        <v>996</v>
      </c>
      <c r="B677" s="34" t="s">
        <v>1291</v>
      </c>
      <c r="C677" s="34"/>
      <c r="D677" s="98">
        <v>1</v>
      </c>
      <c r="E677" s="4">
        <v>18</v>
      </c>
      <c r="F677" s="4">
        <v>12</v>
      </c>
      <c r="G677" s="4">
        <v>21</v>
      </c>
      <c r="H677" s="34">
        <v>6.2340999999999998</v>
      </c>
      <c r="I677" s="4">
        <v>4.0000000000000002E-4</v>
      </c>
      <c r="J677" s="34">
        <v>-40.9373</v>
      </c>
      <c r="K677" s="4">
        <v>1E-3</v>
      </c>
      <c r="L677" s="4">
        <v>0.14099999999999999</v>
      </c>
      <c r="M677" s="4">
        <v>5.0999999999999997E-2</v>
      </c>
      <c r="N677" s="4">
        <v>-1.0999999999999999E-2</v>
      </c>
      <c r="O677" s="4">
        <v>2.0000000000000001E-4</v>
      </c>
      <c r="P677" s="4">
        <v>97.46</v>
      </c>
      <c r="Q677" s="4">
        <v>0.24</v>
      </c>
      <c r="R677" s="34">
        <f t="shared" si="40"/>
        <v>0.18942662779397473</v>
      </c>
      <c r="S677" s="22">
        <f t="shared" si="41"/>
        <v>4.6647230320699711E-4</v>
      </c>
    </row>
    <row r="678" spans="1:19">
      <c r="A678" s="44" t="s">
        <v>997</v>
      </c>
      <c r="B678" s="45" t="s">
        <v>1292</v>
      </c>
      <c r="C678" s="45"/>
      <c r="D678" s="104">
        <v>0.25</v>
      </c>
      <c r="E678" s="4">
        <v>18</v>
      </c>
      <c r="F678" s="4">
        <v>12</v>
      </c>
      <c r="G678" s="4">
        <v>21</v>
      </c>
      <c r="H678" s="45">
        <v>6.8655999999999997</v>
      </c>
      <c r="I678" s="4">
        <v>8.0000000000000004E-4</v>
      </c>
      <c r="J678" s="45">
        <v>-42.017099999999999</v>
      </c>
      <c r="K678" s="4">
        <v>1.4E-3</v>
      </c>
      <c r="L678" s="4">
        <v>3.3000000000000002E-2</v>
      </c>
      <c r="M678" s="4">
        <v>0.01</v>
      </c>
      <c r="N678" s="4">
        <v>-5.1000000000000004E-3</v>
      </c>
      <c r="O678" s="4">
        <v>1E-4</v>
      </c>
      <c r="P678" s="4">
        <v>123.32</v>
      </c>
      <c r="Q678" s="4">
        <v>0.17</v>
      </c>
      <c r="R678" s="45">
        <f>P678*E678/G678^3</f>
        <v>0.23968901846452864</v>
      </c>
      <c r="S678" s="22">
        <f>Q678*E678/G678^3</f>
        <v>3.304178814382896E-4</v>
      </c>
    </row>
    <row r="679" spans="1:19">
      <c r="A679" s="23" t="s">
        <v>997</v>
      </c>
      <c r="B679" s="4" t="s">
        <v>1292</v>
      </c>
      <c r="D679" s="83">
        <v>0.5</v>
      </c>
      <c r="E679" s="4">
        <v>18</v>
      </c>
      <c r="F679" s="4">
        <v>12</v>
      </c>
      <c r="G679" s="4">
        <v>21</v>
      </c>
      <c r="H679" s="4">
        <v>6.7092000000000001</v>
      </c>
      <c r="I679" s="4">
        <v>1E-3</v>
      </c>
      <c r="J679" s="4">
        <v>-41.189599999999999</v>
      </c>
      <c r="K679" s="4">
        <v>1.1999999999999999E-3</v>
      </c>
      <c r="L679" s="4">
        <v>3.6999999999999998E-2</v>
      </c>
      <c r="M679" s="4">
        <v>8.9999999999999993E-3</v>
      </c>
      <c r="N679" s="4">
        <v>-5.5999999999999999E-3</v>
      </c>
      <c r="O679" s="4">
        <v>1E-4</v>
      </c>
      <c r="P679" s="4">
        <v>119.41</v>
      </c>
      <c r="Q679" s="4">
        <v>0.2</v>
      </c>
      <c r="R679" s="4">
        <f t="shared" si="40"/>
        <v>0.23208940719144802</v>
      </c>
      <c r="S679" s="22">
        <f t="shared" si="41"/>
        <v>3.8872691933916425E-4</v>
      </c>
    </row>
    <row r="680" spans="1:19">
      <c r="A680" s="28" t="s">
        <v>997</v>
      </c>
      <c r="B680" s="29" t="s">
        <v>1292</v>
      </c>
      <c r="C680" s="29"/>
      <c r="D680" s="85">
        <v>0.75</v>
      </c>
      <c r="E680" s="4">
        <v>18</v>
      </c>
      <c r="F680" s="4">
        <v>12</v>
      </c>
      <c r="G680" s="4">
        <v>21</v>
      </c>
      <c r="H680" s="29">
        <v>6.5697000000000001</v>
      </c>
      <c r="I680" s="4">
        <v>5.9999999999999995E-4</v>
      </c>
      <c r="J680" s="29">
        <v>-40.786999999999999</v>
      </c>
      <c r="K680" s="4">
        <v>8.0000000000000004E-4</v>
      </c>
      <c r="L680" s="4">
        <v>4.4999999999999998E-2</v>
      </c>
      <c r="M680" s="4">
        <v>4.0000000000000001E-3</v>
      </c>
      <c r="N680" s="4">
        <v>-6.7000000000000002E-3</v>
      </c>
      <c r="O680" s="4">
        <v>1E-4</v>
      </c>
      <c r="P680" s="4">
        <v>112.14</v>
      </c>
      <c r="Q680" s="4">
        <v>0.12</v>
      </c>
      <c r="R680" s="29">
        <f t="shared" si="40"/>
        <v>0.21795918367346939</v>
      </c>
      <c r="S680" s="22">
        <f t="shared" si="41"/>
        <v>2.3323615160349855E-4</v>
      </c>
    </row>
    <row r="681" spans="1:19">
      <c r="A681" s="33" t="s">
        <v>997</v>
      </c>
      <c r="B681" s="34" t="s">
        <v>1292</v>
      </c>
      <c r="C681" s="34"/>
      <c r="D681" s="98">
        <v>1</v>
      </c>
      <c r="E681" s="4">
        <v>18</v>
      </c>
      <c r="F681" s="4">
        <v>12</v>
      </c>
      <c r="G681" s="4">
        <v>21</v>
      </c>
      <c r="H681" s="34">
        <v>6.4630000000000001</v>
      </c>
      <c r="I681" s="4">
        <v>6.9999999999999999E-4</v>
      </c>
      <c r="J681" s="34">
        <v>-40.909300000000002</v>
      </c>
      <c r="K681" s="4">
        <v>1.9E-3</v>
      </c>
      <c r="L681" s="4">
        <v>7.1999999999999995E-2</v>
      </c>
      <c r="M681" s="4">
        <v>8.9999999999999993E-3</v>
      </c>
      <c r="N681" s="4">
        <v>-8.0999999999999996E-3</v>
      </c>
      <c r="O681" s="4">
        <v>1E-4</v>
      </c>
      <c r="P681" s="4">
        <v>101.86</v>
      </c>
      <c r="Q681" s="4">
        <v>0.2</v>
      </c>
      <c r="R681" s="34">
        <f t="shared" si="40"/>
        <v>0.19797862001943634</v>
      </c>
      <c r="S681" s="22">
        <f t="shared" si="41"/>
        <v>3.8872691933916425E-4</v>
      </c>
    </row>
    <row r="682" spans="1:19">
      <c r="A682" s="44" t="s">
        <v>998</v>
      </c>
      <c r="B682" s="45" t="s">
        <v>1293</v>
      </c>
      <c r="C682" s="45"/>
      <c r="D682" s="104">
        <v>0.25</v>
      </c>
      <c r="E682" s="4">
        <v>18</v>
      </c>
      <c r="F682" s="4">
        <v>12</v>
      </c>
      <c r="G682" s="4">
        <v>21</v>
      </c>
      <c r="H682" s="45">
        <v>6.7914000000000003</v>
      </c>
      <c r="I682" s="4">
        <v>1E-3</v>
      </c>
      <c r="J682" s="45">
        <v>-42.145200000000003</v>
      </c>
      <c r="K682" s="4">
        <v>2.5000000000000001E-3</v>
      </c>
      <c r="L682" s="4">
        <v>8.4000000000000005E-2</v>
      </c>
      <c r="M682" s="4">
        <v>2.1999999999999999E-2</v>
      </c>
      <c r="N682" s="4">
        <v>-5.0000000000000001E-3</v>
      </c>
      <c r="O682" s="4">
        <v>2.0000000000000001E-4</v>
      </c>
      <c r="P682" s="4">
        <v>124.33</v>
      </c>
      <c r="Q682" s="4">
        <v>0.26</v>
      </c>
      <c r="R682" s="45">
        <f>P682*E682/G682^3</f>
        <v>0.24165208940719146</v>
      </c>
      <c r="S682" s="22">
        <f>Q682*E682/G682^3</f>
        <v>5.0534499514091349E-4</v>
      </c>
    </row>
    <row r="683" spans="1:19">
      <c r="A683" s="23" t="s">
        <v>998</v>
      </c>
      <c r="B683" s="4" t="s">
        <v>1293</v>
      </c>
      <c r="D683" s="83">
        <v>0.5</v>
      </c>
      <c r="E683" s="4">
        <v>18</v>
      </c>
      <c r="F683" s="4">
        <v>12</v>
      </c>
      <c r="G683" s="4">
        <v>21</v>
      </c>
      <c r="H683" s="4">
        <v>6.5473999999999997</v>
      </c>
      <c r="I683" s="4">
        <v>5.9999999999999995E-4</v>
      </c>
      <c r="J683" s="4">
        <v>-41.366599999999998</v>
      </c>
      <c r="K683" s="4">
        <v>3.0000000000000001E-3</v>
      </c>
      <c r="L683" s="4">
        <v>7.9000000000000001E-2</v>
      </c>
      <c r="M683" s="4">
        <v>1.7999999999999999E-2</v>
      </c>
      <c r="N683" s="4">
        <v>-5.7999999999999996E-3</v>
      </c>
      <c r="O683" s="4">
        <v>2.0000000000000001E-4</v>
      </c>
      <c r="P683" s="4">
        <v>121.12</v>
      </c>
      <c r="Q683" s="4">
        <v>0.35</v>
      </c>
      <c r="R683" s="4">
        <f t="shared" si="40"/>
        <v>0.23541302235179784</v>
      </c>
      <c r="S683" s="22">
        <f t="shared" si="41"/>
        <v>6.8027210884353737E-4</v>
      </c>
    </row>
    <row r="684" spans="1:19">
      <c r="A684" s="28" t="s">
        <v>998</v>
      </c>
      <c r="B684" s="29" t="s">
        <v>1293</v>
      </c>
      <c r="C684" s="29"/>
      <c r="D684" s="85">
        <v>0.75</v>
      </c>
      <c r="E684" s="4">
        <v>18</v>
      </c>
      <c r="F684" s="4">
        <v>12</v>
      </c>
      <c r="G684" s="4">
        <v>21</v>
      </c>
      <c r="H684" s="29">
        <v>6.3090000000000002</v>
      </c>
      <c r="I684" s="4">
        <v>5.9999999999999995E-4</v>
      </c>
      <c r="J684" s="29">
        <v>-40.895200000000003</v>
      </c>
      <c r="K684" s="4">
        <v>4.4999999999999997E-3</v>
      </c>
      <c r="L684" s="4">
        <v>9.5000000000000001E-2</v>
      </c>
      <c r="M684" s="4">
        <v>4.4999999999999998E-2</v>
      </c>
      <c r="N684" s="4">
        <v>-7.4000000000000003E-3</v>
      </c>
      <c r="O684" s="4">
        <v>8.0000000000000004E-4</v>
      </c>
      <c r="P684" s="4">
        <v>113.9</v>
      </c>
      <c r="Q684" s="4">
        <v>0.48</v>
      </c>
      <c r="R684" s="29">
        <f t="shared" si="40"/>
        <v>0.22137998056365407</v>
      </c>
      <c r="S684" s="22">
        <f t="shared" si="41"/>
        <v>9.3294460641399422E-4</v>
      </c>
    </row>
    <row r="685" spans="1:19">
      <c r="A685" s="44" t="s">
        <v>999</v>
      </c>
      <c r="B685" s="45" t="s">
        <v>1294</v>
      </c>
      <c r="C685" s="45"/>
      <c r="D685" s="104">
        <v>0.25</v>
      </c>
      <c r="E685" s="4">
        <v>18</v>
      </c>
      <c r="F685" s="4">
        <v>12</v>
      </c>
      <c r="G685" s="4">
        <v>21</v>
      </c>
      <c r="H685" s="45">
        <v>6.8631000000000002</v>
      </c>
      <c r="I685" s="4">
        <v>6.9999999999999999E-4</v>
      </c>
      <c r="J685" s="45">
        <v>-41.914700000000003</v>
      </c>
      <c r="K685" s="4">
        <v>1.6000000000000001E-3</v>
      </c>
      <c r="L685" s="4">
        <v>2.7E-2</v>
      </c>
      <c r="M685" s="4">
        <v>1.9E-2</v>
      </c>
      <c r="N685" s="4">
        <v>-5.0000000000000001E-3</v>
      </c>
      <c r="O685" s="4">
        <v>1E-4</v>
      </c>
      <c r="P685" s="4">
        <v>123.58</v>
      </c>
      <c r="Q685" s="4">
        <v>0.21</v>
      </c>
      <c r="R685" s="45">
        <f>P685*E685/G685^3</f>
        <v>0.24019436345966957</v>
      </c>
      <c r="S685" s="22">
        <f>Q685*E685/G685^3</f>
        <v>4.0816326530612241E-4</v>
      </c>
    </row>
    <row r="686" spans="1:19">
      <c r="A686" s="23" t="s">
        <v>999</v>
      </c>
      <c r="B686" s="4" t="s">
        <v>1294</v>
      </c>
      <c r="D686" s="83">
        <v>0.5</v>
      </c>
      <c r="E686" s="4">
        <v>18</v>
      </c>
      <c r="F686" s="4">
        <v>12</v>
      </c>
      <c r="G686" s="4">
        <v>21</v>
      </c>
      <c r="H686" s="4">
        <v>6.7008999999999999</v>
      </c>
      <c r="I686" s="4">
        <v>2.9999999999999997E-4</v>
      </c>
      <c r="J686" s="4">
        <v>-40.948300000000003</v>
      </c>
      <c r="K686" s="4">
        <v>2E-3</v>
      </c>
      <c r="L686" s="4">
        <v>4.3999999999999997E-2</v>
      </c>
      <c r="M686" s="4">
        <v>0.01</v>
      </c>
      <c r="N686" s="4">
        <v>-5.7000000000000002E-3</v>
      </c>
      <c r="O686" s="4">
        <v>2.0000000000000001E-4</v>
      </c>
      <c r="P686" s="4">
        <v>119.57</v>
      </c>
      <c r="Q686" s="4">
        <v>0.23</v>
      </c>
      <c r="R686" s="4">
        <f t="shared" si="40"/>
        <v>0.23240038872691932</v>
      </c>
      <c r="S686" s="22">
        <f t="shared" si="41"/>
        <v>4.4703595724003895E-4</v>
      </c>
    </row>
    <row r="687" spans="1:19">
      <c r="A687" s="28" t="s">
        <v>999</v>
      </c>
      <c r="B687" s="29" t="s">
        <v>1294</v>
      </c>
      <c r="C687" s="29"/>
      <c r="D687" s="85">
        <v>0.75</v>
      </c>
      <c r="E687" s="4">
        <v>18</v>
      </c>
      <c r="F687" s="4">
        <v>12</v>
      </c>
      <c r="G687" s="4">
        <v>21</v>
      </c>
      <c r="H687" s="29">
        <v>6.5381</v>
      </c>
      <c r="I687" s="4">
        <v>1E-3</v>
      </c>
      <c r="J687" s="29">
        <v>-40.376100000000001</v>
      </c>
      <c r="K687" s="4">
        <v>2.3E-3</v>
      </c>
      <c r="L687" s="4">
        <v>6.6000000000000003E-2</v>
      </c>
      <c r="M687" s="4">
        <v>1.4999999999999999E-2</v>
      </c>
      <c r="N687" s="4">
        <v>-7.0000000000000001E-3</v>
      </c>
      <c r="O687" s="4">
        <v>2.0000000000000001E-4</v>
      </c>
      <c r="P687" s="4">
        <v>112.53</v>
      </c>
      <c r="Q687" s="4">
        <v>0.2</v>
      </c>
      <c r="R687" s="29">
        <f t="shared" si="40"/>
        <v>0.21871720116618076</v>
      </c>
      <c r="S687" s="22">
        <f t="shared" si="41"/>
        <v>3.8872691933916425E-4</v>
      </c>
    </row>
    <row r="688" spans="1:19">
      <c r="A688" s="33" t="s">
        <v>999</v>
      </c>
      <c r="B688" s="34" t="s">
        <v>1294</v>
      </c>
      <c r="C688" s="34"/>
      <c r="D688" s="98">
        <v>1</v>
      </c>
      <c r="E688" s="4">
        <v>18</v>
      </c>
      <c r="F688" s="4">
        <v>12</v>
      </c>
      <c r="G688" s="4">
        <v>21</v>
      </c>
      <c r="H688" s="34">
        <v>6.3857999999999997</v>
      </c>
      <c r="I688" s="4">
        <v>6.9999999999999999E-4</v>
      </c>
      <c r="J688" s="34">
        <v>-40.3078</v>
      </c>
      <c r="K688" s="4">
        <v>1.1999999999999999E-3</v>
      </c>
      <c r="L688" s="4">
        <v>0.11700000000000001</v>
      </c>
      <c r="M688" s="4">
        <v>7.4999999999999997E-2</v>
      </c>
      <c r="N688" s="4">
        <v>-9.1999999999999998E-3</v>
      </c>
      <c r="O688" s="4">
        <v>2.0000000000000001E-4</v>
      </c>
      <c r="P688" s="4">
        <v>101.13</v>
      </c>
      <c r="Q688" s="4">
        <v>0.39</v>
      </c>
      <c r="R688" s="34">
        <f t="shared" si="40"/>
        <v>0.1965597667638484</v>
      </c>
      <c r="S688" s="22">
        <f t="shared" si="41"/>
        <v>7.5801749271137034E-4</v>
      </c>
    </row>
    <row r="689" spans="1:19" ht="17" thickBot="1">
      <c r="A689" s="134" t="s">
        <v>1000</v>
      </c>
      <c r="B689" s="122" t="s">
        <v>1295</v>
      </c>
      <c r="C689" s="123" t="s">
        <v>17</v>
      </c>
      <c r="D689" s="124">
        <v>0.25</v>
      </c>
      <c r="E689" s="10">
        <v>18</v>
      </c>
      <c r="F689" s="10">
        <v>12</v>
      </c>
      <c r="G689" s="10">
        <v>21</v>
      </c>
      <c r="H689" s="123">
        <v>6.7538</v>
      </c>
      <c r="I689" s="10">
        <v>5.9999999999999995E-4</v>
      </c>
      <c r="J689" s="123">
        <v>-42.996699999999997</v>
      </c>
      <c r="K689" s="10">
        <v>5.3E-3</v>
      </c>
      <c r="L689" s="10">
        <v>7.2999999999999995E-2</v>
      </c>
      <c r="M689" s="10">
        <v>6.0000000000000001E-3</v>
      </c>
      <c r="N689" s="10">
        <v>-6.4000000000000003E-3</v>
      </c>
      <c r="O689" s="10">
        <v>2.0000000000000001E-4</v>
      </c>
      <c r="P689" s="10">
        <v>118.63</v>
      </c>
      <c r="Q689" s="10">
        <v>0.45</v>
      </c>
      <c r="R689" s="123">
        <f>P689*E689/G689^3</f>
        <v>0.23057337220602528</v>
      </c>
      <c r="S689" s="26">
        <f>Q689*E689/G689^3</f>
        <v>8.7463556851311952E-4</v>
      </c>
    </row>
    <row r="690" spans="1:19" ht="17" thickTop="1">
      <c r="A690" s="102" t="s">
        <v>1001</v>
      </c>
      <c r="B690" s="119" t="s">
        <v>1296</v>
      </c>
      <c r="C690" s="119"/>
      <c r="D690" s="77">
        <v>0.25</v>
      </c>
      <c r="E690" s="7">
        <v>18</v>
      </c>
      <c r="F690" s="7">
        <v>13</v>
      </c>
      <c r="G690" s="7">
        <v>21</v>
      </c>
      <c r="H690" s="119">
        <v>7.0407999999999999</v>
      </c>
      <c r="I690" s="7">
        <v>8.0000000000000004E-4</v>
      </c>
      <c r="J690" s="119">
        <v>-43.891800000000003</v>
      </c>
      <c r="K690" s="7">
        <v>2.0999999999999999E-3</v>
      </c>
      <c r="L690" s="7">
        <v>5.3999999999999999E-2</v>
      </c>
      <c r="M690" s="7">
        <v>1.4E-2</v>
      </c>
      <c r="N690" s="7">
        <v>-5.1000000000000004E-3</v>
      </c>
      <c r="O690" s="7">
        <v>2.0000000000000001E-4</v>
      </c>
      <c r="P690" s="7">
        <v>123.46</v>
      </c>
      <c r="Q690" s="7">
        <v>0.18</v>
      </c>
      <c r="R690" s="119">
        <f>P690*E690/G690^3</f>
        <v>0.23996112730806607</v>
      </c>
      <c r="S690" s="18">
        <f>Q690*E690/G690^3</f>
        <v>3.4985422740524776E-4</v>
      </c>
    </row>
    <row r="691" spans="1:19">
      <c r="A691" s="23" t="s">
        <v>1001</v>
      </c>
      <c r="B691" s="4" t="s">
        <v>1296</v>
      </c>
      <c r="D691" s="83">
        <v>0.5</v>
      </c>
      <c r="E691" s="4">
        <v>18</v>
      </c>
      <c r="F691" s="4">
        <v>13</v>
      </c>
      <c r="G691" s="4">
        <v>21</v>
      </c>
      <c r="H691" s="39">
        <v>7.0393999999999997</v>
      </c>
      <c r="I691" s="4">
        <v>8.0000000000000004E-4</v>
      </c>
      <c r="J691" s="4">
        <v>-45.011699999999998</v>
      </c>
      <c r="K691" s="4">
        <v>1.8E-3</v>
      </c>
      <c r="L691" s="4">
        <v>9.5000000000000001E-2</v>
      </c>
      <c r="M691" s="4">
        <v>1.2E-2</v>
      </c>
      <c r="N691" s="4">
        <v>-6.1999999999999998E-3</v>
      </c>
      <c r="O691" s="4">
        <v>1E-4</v>
      </c>
      <c r="P691" s="4">
        <v>118.11</v>
      </c>
      <c r="Q691" s="4">
        <v>0.36</v>
      </c>
      <c r="R691" s="4">
        <f t="shared" ref="R691:R694" si="42">P691*E691/G691^3</f>
        <v>0.22956268221574344</v>
      </c>
      <c r="S691" s="22">
        <f t="shared" ref="S691:S694" si="43">Q691*E691/G691^3</f>
        <v>6.9970845481049553E-4</v>
      </c>
    </row>
    <row r="692" spans="1:19">
      <c r="A692" s="28" t="s">
        <v>1001</v>
      </c>
      <c r="B692" s="29" t="s">
        <v>1296</v>
      </c>
      <c r="C692" s="29"/>
      <c r="D692" s="85">
        <v>0.75</v>
      </c>
      <c r="E692" s="4">
        <v>18</v>
      </c>
      <c r="F692" s="4">
        <v>13</v>
      </c>
      <c r="G692" s="4">
        <v>21</v>
      </c>
      <c r="H692" s="41">
        <v>7.0141</v>
      </c>
      <c r="I692" s="4">
        <v>5.0000000000000001E-4</v>
      </c>
      <c r="J692" s="29">
        <v>-46.6723</v>
      </c>
      <c r="K692" s="4">
        <v>1.1000000000000001E-3</v>
      </c>
      <c r="L692" s="4">
        <v>0.19900000000000001</v>
      </c>
      <c r="M692" s="4">
        <v>1.0999999999999999E-2</v>
      </c>
      <c r="N692" s="4">
        <v>-8.3999999999999995E-3</v>
      </c>
      <c r="O692" s="4">
        <v>0</v>
      </c>
      <c r="P692" s="4">
        <v>106.97</v>
      </c>
      <c r="Q692" s="4">
        <v>0.18</v>
      </c>
      <c r="R692" s="29">
        <f>P692*E692/G692^3</f>
        <v>0.20791059280855201</v>
      </c>
      <c r="S692" s="22">
        <f>Q692*E692/G692^3</f>
        <v>3.4985422740524776E-4</v>
      </c>
    </row>
    <row r="693" spans="1:19">
      <c r="A693" s="44" t="s">
        <v>1002</v>
      </c>
      <c r="B693" s="45" t="s">
        <v>1297</v>
      </c>
      <c r="C693" s="45"/>
      <c r="D693" s="104">
        <v>0.25</v>
      </c>
      <c r="E693" s="4">
        <v>18</v>
      </c>
      <c r="F693" s="4">
        <v>13</v>
      </c>
      <c r="G693" s="4">
        <v>21</v>
      </c>
      <c r="H693" s="45">
        <v>7.0818000000000003</v>
      </c>
      <c r="I693" s="4">
        <v>1E-3</v>
      </c>
      <c r="J693" s="45">
        <v>-43.747599999999998</v>
      </c>
      <c r="K693" s="4">
        <v>1.1999999999999999E-3</v>
      </c>
      <c r="L693" s="4">
        <v>5.2999999999999999E-2</v>
      </c>
      <c r="M693" s="4">
        <v>8.9999999999999993E-3</v>
      </c>
      <c r="N693" s="4">
        <v>-4.7999999999999996E-3</v>
      </c>
      <c r="O693" s="4">
        <v>2.0000000000000001E-4</v>
      </c>
      <c r="P693" s="4">
        <v>124.25</v>
      </c>
      <c r="Q693" s="4">
        <v>0.23</v>
      </c>
      <c r="R693" s="45">
        <f>P693*E693/G693^3</f>
        <v>0.24149659863945577</v>
      </c>
      <c r="S693" s="22">
        <f>Q693*E693/G693^3</f>
        <v>4.4703595724003895E-4</v>
      </c>
    </row>
    <row r="694" spans="1:19">
      <c r="A694" s="23" t="s">
        <v>1002</v>
      </c>
      <c r="B694" s="4" t="s">
        <v>1297</v>
      </c>
      <c r="D694" s="83">
        <v>0.5</v>
      </c>
      <c r="E694" s="4">
        <v>18</v>
      </c>
      <c r="F694" s="4">
        <v>13</v>
      </c>
      <c r="G694" s="4">
        <v>21</v>
      </c>
      <c r="H694" s="4">
        <v>7.1406999999999998</v>
      </c>
      <c r="I694" s="4">
        <v>8.0000000000000004E-4</v>
      </c>
      <c r="J694" s="4">
        <v>-44.4895</v>
      </c>
      <c r="K694" s="4">
        <v>2.7000000000000001E-3</v>
      </c>
      <c r="L694" s="4">
        <v>4.2000000000000003E-2</v>
      </c>
      <c r="M694" s="4">
        <v>7.0000000000000001E-3</v>
      </c>
      <c r="N694" s="4">
        <v>-5.1999999999999998E-3</v>
      </c>
      <c r="O694" s="4">
        <v>2.0000000000000001E-4</v>
      </c>
      <c r="P694" s="4">
        <v>121.78</v>
      </c>
      <c r="Q694" s="4">
        <v>0.28999999999999998</v>
      </c>
      <c r="R694" s="4">
        <f t="shared" si="42"/>
        <v>0.23669582118561711</v>
      </c>
      <c r="S694" s="22">
        <f t="shared" si="43"/>
        <v>5.6365403304178808E-4</v>
      </c>
    </row>
    <row r="695" spans="1:19">
      <c r="A695" s="28" t="s">
        <v>1002</v>
      </c>
      <c r="B695" s="29" t="s">
        <v>1297</v>
      </c>
      <c r="C695" s="29"/>
      <c r="D695" s="85">
        <v>0.75</v>
      </c>
      <c r="E695" s="4">
        <v>18</v>
      </c>
      <c r="F695" s="4">
        <v>13</v>
      </c>
      <c r="G695" s="4">
        <v>21</v>
      </c>
      <c r="H695" s="29">
        <v>7.1951999999999998</v>
      </c>
      <c r="I695" s="4">
        <v>8.9999999999999998E-4</v>
      </c>
      <c r="J695" s="29">
        <v>-45.450200000000002</v>
      </c>
      <c r="K695" s="4">
        <v>1.1999999999999999E-3</v>
      </c>
      <c r="L695" s="4">
        <v>7.6999999999999999E-2</v>
      </c>
      <c r="M695" s="4">
        <v>1.7000000000000001E-2</v>
      </c>
      <c r="N695" s="4">
        <v>-5.8999999999999999E-3</v>
      </c>
      <c r="O695" s="4">
        <v>2.0000000000000001E-4</v>
      </c>
      <c r="P695" s="4">
        <v>117.86</v>
      </c>
      <c r="Q695" s="4">
        <v>0.28999999999999998</v>
      </c>
      <c r="R695" s="29">
        <f>P695*E695/G695^3</f>
        <v>0.2290767735665695</v>
      </c>
      <c r="S695" s="22">
        <f>Q695*E695/G695^3</f>
        <v>5.6365403304178808E-4</v>
      </c>
    </row>
    <row r="696" spans="1:19">
      <c r="A696" s="33" t="s">
        <v>1002</v>
      </c>
      <c r="B696" s="34" t="s">
        <v>1297</v>
      </c>
      <c r="C696" s="34"/>
      <c r="D696" s="98">
        <v>1</v>
      </c>
      <c r="E696" s="4">
        <v>18</v>
      </c>
      <c r="F696" s="4">
        <v>13</v>
      </c>
      <c r="G696" s="4">
        <v>21</v>
      </c>
      <c r="H696" s="34">
        <v>7.2408999999999999</v>
      </c>
      <c r="I696" s="4">
        <v>8.9999999999999998E-4</v>
      </c>
      <c r="J696" s="34">
        <v>-46.658200000000001</v>
      </c>
      <c r="K696" s="4">
        <v>2.7000000000000001E-3</v>
      </c>
      <c r="L696" s="4">
        <v>8.5999999999999993E-2</v>
      </c>
      <c r="M696" s="4">
        <v>6.0000000000000001E-3</v>
      </c>
      <c r="N696" s="4">
        <v>-6.7000000000000002E-3</v>
      </c>
      <c r="O696" s="4">
        <v>2.9999999999999997E-4</v>
      </c>
      <c r="P696" s="4">
        <v>112.11</v>
      </c>
      <c r="Q696" s="4">
        <v>0.44</v>
      </c>
      <c r="R696" s="34">
        <f>P696*E696/G696^3</f>
        <v>0.21790087463556851</v>
      </c>
      <c r="S696" s="22">
        <f>Q696*E696/G696^3</f>
        <v>8.5519922254616136E-4</v>
      </c>
    </row>
    <row r="697" spans="1:19">
      <c r="A697" s="44" t="s">
        <v>1003</v>
      </c>
      <c r="B697" s="45" t="s">
        <v>1298</v>
      </c>
      <c r="C697" s="45"/>
      <c r="D697" s="104">
        <v>0.25</v>
      </c>
      <c r="E697" s="4">
        <v>18</v>
      </c>
      <c r="F697" s="4">
        <v>13</v>
      </c>
      <c r="G697" s="4">
        <v>21</v>
      </c>
      <c r="H697" s="45">
        <v>7.1363000000000003</v>
      </c>
      <c r="I697" s="4">
        <v>2.9999999999999997E-4</v>
      </c>
      <c r="J697" s="45">
        <v>-43.699100000000001</v>
      </c>
      <c r="K697" s="4">
        <v>1E-3</v>
      </c>
      <c r="L697" s="4">
        <v>2.5000000000000001E-2</v>
      </c>
      <c r="M697" s="4">
        <v>4.0000000000000001E-3</v>
      </c>
      <c r="N697" s="4">
        <v>-4.7999999999999996E-3</v>
      </c>
      <c r="O697" s="4">
        <v>1E-4</v>
      </c>
      <c r="P697" s="4">
        <v>123.55</v>
      </c>
      <c r="Q697" s="4">
        <v>0.14000000000000001</v>
      </c>
      <c r="R697" s="45">
        <f>P697*E697/G697^3</f>
        <v>0.24013605442176872</v>
      </c>
      <c r="S697" s="22">
        <f>Q697*E697/G697^3</f>
        <v>2.7210884353741501E-4</v>
      </c>
    </row>
    <row r="698" spans="1:19">
      <c r="A698" s="23" t="s">
        <v>1003</v>
      </c>
      <c r="B698" s="4" t="s">
        <v>1298</v>
      </c>
      <c r="D698" s="83">
        <v>0.5</v>
      </c>
      <c r="E698" s="4">
        <v>18</v>
      </c>
      <c r="F698" s="4">
        <v>13</v>
      </c>
      <c r="G698" s="4">
        <v>21</v>
      </c>
      <c r="H698" s="4">
        <v>7.2449000000000003</v>
      </c>
      <c r="I698" s="4">
        <v>1E-3</v>
      </c>
      <c r="J698" s="4">
        <v>-44.534599999999998</v>
      </c>
      <c r="K698" s="4">
        <v>2.7000000000000001E-3</v>
      </c>
      <c r="L698" s="4">
        <v>5.2999999999999999E-2</v>
      </c>
      <c r="M698" s="4">
        <v>1.0999999999999999E-2</v>
      </c>
      <c r="N698" s="4">
        <v>-5.4999999999999997E-3</v>
      </c>
      <c r="O698" s="4">
        <v>1E-4</v>
      </c>
      <c r="P698" s="4">
        <v>119.3</v>
      </c>
      <c r="Q698" s="4">
        <v>0.16</v>
      </c>
      <c r="R698" s="4">
        <f t="shared" ref="R698:R706" si="44">P698*E698/G698^3</f>
        <v>0.23187560738581148</v>
      </c>
      <c r="S698" s="22">
        <f t="shared" ref="S698:S706" si="45">Q698*E698/G698^3</f>
        <v>3.1098153547133139E-4</v>
      </c>
    </row>
    <row r="699" spans="1:19">
      <c r="A699" s="28" t="s">
        <v>1003</v>
      </c>
      <c r="B699" s="29" t="s">
        <v>1298</v>
      </c>
      <c r="C699" s="29"/>
      <c r="D699" s="85">
        <v>0.75</v>
      </c>
      <c r="E699" s="4">
        <v>18</v>
      </c>
      <c r="F699" s="4">
        <v>13</v>
      </c>
      <c r="G699" s="4">
        <v>21</v>
      </c>
      <c r="H699" s="29">
        <v>7.3571999999999997</v>
      </c>
      <c r="I699" s="4">
        <v>6.9999999999999999E-4</v>
      </c>
      <c r="J699" s="29">
        <v>-45.723100000000002</v>
      </c>
      <c r="K699" s="4">
        <v>5.9999999999999995E-4</v>
      </c>
      <c r="L699" s="4">
        <v>6.4000000000000001E-2</v>
      </c>
      <c r="M699" s="4">
        <v>7.0000000000000001E-3</v>
      </c>
      <c r="N699" s="4">
        <v>-6.3E-3</v>
      </c>
      <c r="O699" s="4">
        <v>1E-4</v>
      </c>
      <c r="P699" s="4">
        <v>112.57</v>
      </c>
      <c r="Q699" s="4">
        <v>0.28000000000000003</v>
      </c>
      <c r="R699" s="29">
        <f>P699*E699/G699^3</f>
        <v>0.21879494655004855</v>
      </c>
      <c r="S699" s="22">
        <f>Q699*E699/G699^3</f>
        <v>5.4421768707483002E-4</v>
      </c>
    </row>
    <row r="700" spans="1:19">
      <c r="A700" s="33" t="s">
        <v>1003</v>
      </c>
      <c r="B700" s="34" t="s">
        <v>1298</v>
      </c>
      <c r="C700" s="34"/>
      <c r="D700" s="98">
        <v>1</v>
      </c>
      <c r="E700" s="4">
        <v>18</v>
      </c>
      <c r="F700" s="4">
        <v>13</v>
      </c>
      <c r="G700" s="4">
        <v>21</v>
      </c>
      <c r="H700" s="38">
        <v>7.4744999999999999</v>
      </c>
      <c r="I700" s="4">
        <v>8.9999999999999998E-4</v>
      </c>
      <c r="J700" s="34">
        <v>-47.308700000000002</v>
      </c>
      <c r="K700" s="4">
        <v>6.9999999999999999E-4</v>
      </c>
      <c r="L700" s="4">
        <v>0.16300000000000001</v>
      </c>
      <c r="M700" s="4">
        <v>2.4E-2</v>
      </c>
      <c r="N700" s="4">
        <v>-8.0999999999999996E-3</v>
      </c>
      <c r="O700" s="4">
        <v>2.9999999999999997E-4</v>
      </c>
      <c r="P700" s="4">
        <v>102.93</v>
      </c>
      <c r="Q700" s="4">
        <v>0.42</v>
      </c>
      <c r="R700" s="34">
        <f>P700*E700/G700^3</f>
        <v>0.20005830903790089</v>
      </c>
      <c r="S700" s="22">
        <f>Q700*E700/G700^3</f>
        <v>8.1632653061224482E-4</v>
      </c>
    </row>
    <row r="701" spans="1:19">
      <c r="A701" s="44" t="s">
        <v>1004</v>
      </c>
      <c r="B701" s="45" t="s">
        <v>1299</v>
      </c>
      <c r="C701" s="45"/>
      <c r="D701" s="104">
        <v>0.25</v>
      </c>
      <c r="E701" s="4">
        <v>18</v>
      </c>
      <c r="F701" s="4">
        <v>13</v>
      </c>
      <c r="G701" s="4">
        <v>21</v>
      </c>
      <c r="H701" s="45">
        <v>7.1158999999999999</v>
      </c>
      <c r="I701" s="4">
        <v>1E-3</v>
      </c>
      <c r="J701" s="45">
        <v>-43.698099999999997</v>
      </c>
      <c r="K701" s="4">
        <v>2E-3</v>
      </c>
      <c r="L701" s="4">
        <v>3.6999999999999998E-2</v>
      </c>
      <c r="M701" s="4">
        <v>1.7999999999999999E-2</v>
      </c>
      <c r="N701" s="4">
        <v>-4.5999999999999999E-3</v>
      </c>
      <c r="O701" s="4">
        <v>2.0000000000000001E-4</v>
      </c>
      <c r="P701" s="4">
        <v>124.26</v>
      </c>
      <c r="Q701" s="4">
        <v>0.13</v>
      </c>
      <c r="R701" s="45">
        <f>P701*E701/G701^3</f>
        <v>0.24151603498542276</v>
      </c>
      <c r="S701" s="22">
        <f>Q701*E701/G701^3</f>
        <v>2.5267249757045674E-4</v>
      </c>
    </row>
    <row r="702" spans="1:19">
      <c r="A702" s="23" t="s">
        <v>1004</v>
      </c>
      <c r="B702" s="4" t="s">
        <v>1299</v>
      </c>
      <c r="D702" s="83">
        <v>0.5</v>
      </c>
      <c r="E702" s="4">
        <v>18</v>
      </c>
      <c r="F702" s="4">
        <v>13</v>
      </c>
      <c r="G702" s="4">
        <v>21</v>
      </c>
      <c r="H702" s="4">
        <v>7.2102000000000004</v>
      </c>
      <c r="I702" s="4">
        <v>4.0000000000000002E-4</v>
      </c>
      <c r="J702" s="4">
        <v>-44.393000000000001</v>
      </c>
      <c r="K702" s="4">
        <v>2.0999999999999999E-3</v>
      </c>
      <c r="L702" s="4">
        <v>2.9000000000000001E-2</v>
      </c>
      <c r="M702" s="4">
        <v>5.0000000000000001E-3</v>
      </c>
      <c r="N702" s="4">
        <v>-4.7999999999999996E-3</v>
      </c>
      <c r="O702" s="4">
        <v>2.0000000000000001E-4</v>
      </c>
      <c r="P702" s="4">
        <v>122.1</v>
      </c>
      <c r="Q702" s="4">
        <v>0.38</v>
      </c>
      <c r="R702" s="4">
        <f t="shared" si="44"/>
        <v>0.23731778425655975</v>
      </c>
      <c r="S702" s="22">
        <f t="shared" si="45"/>
        <v>7.3858114674441207E-4</v>
      </c>
    </row>
    <row r="703" spans="1:19">
      <c r="A703" s="28" t="s">
        <v>1004</v>
      </c>
      <c r="B703" s="29" t="s">
        <v>1299</v>
      </c>
      <c r="C703" s="29"/>
      <c r="D703" s="85">
        <v>0.75</v>
      </c>
      <c r="E703" s="4">
        <v>18</v>
      </c>
      <c r="F703" s="4">
        <v>13</v>
      </c>
      <c r="G703" s="4">
        <v>21</v>
      </c>
      <c r="H703" s="29">
        <v>7.3018000000000001</v>
      </c>
      <c r="I703" s="4">
        <v>4.0000000000000002E-4</v>
      </c>
      <c r="J703" s="29">
        <v>-45.301699999999997</v>
      </c>
      <c r="K703" s="4">
        <v>8.9999999999999998E-4</v>
      </c>
      <c r="L703" s="4">
        <v>4.9000000000000002E-2</v>
      </c>
      <c r="M703" s="4">
        <v>7.0000000000000001E-3</v>
      </c>
      <c r="N703" s="4">
        <v>-5.1999999999999998E-3</v>
      </c>
      <c r="O703" s="4">
        <v>0</v>
      </c>
      <c r="P703" s="4">
        <v>118.64</v>
      </c>
      <c r="Q703" s="4">
        <v>0.04</v>
      </c>
      <c r="R703" s="29">
        <f>P703*E703/G703^3</f>
        <v>0.23059280855199221</v>
      </c>
      <c r="S703" s="22">
        <f>Q703*E703/G703^3</f>
        <v>7.7745383867832847E-5</v>
      </c>
    </row>
    <row r="704" spans="1:19">
      <c r="A704" s="33" t="s">
        <v>1004</v>
      </c>
      <c r="B704" s="34" t="s">
        <v>1299</v>
      </c>
      <c r="C704" s="34"/>
      <c r="D704" s="98">
        <v>1</v>
      </c>
      <c r="E704" s="4">
        <v>18</v>
      </c>
      <c r="F704" s="4">
        <v>13</v>
      </c>
      <c r="G704" s="4">
        <v>21</v>
      </c>
      <c r="H704" s="34">
        <v>7.3954000000000004</v>
      </c>
      <c r="I704" s="4">
        <v>5.9999999999999995E-4</v>
      </c>
      <c r="J704" s="34">
        <v>-46.431800000000003</v>
      </c>
      <c r="K704" s="4">
        <v>1.1999999999999999E-3</v>
      </c>
      <c r="L704" s="4">
        <v>7.9000000000000001E-2</v>
      </c>
      <c r="M704" s="4">
        <v>2.1000000000000001E-2</v>
      </c>
      <c r="N704" s="4">
        <v>-5.8999999999999999E-3</v>
      </c>
      <c r="O704" s="4">
        <v>2.9999999999999997E-4</v>
      </c>
      <c r="P704" s="4">
        <v>113.78</v>
      </c>
      <c r="Q704" s="4">
        <v>0.28999999999999998</v>
      </c>
      <c r="R704" s="34">
        <f>P704*E704/G704^3</f>
        <v>0.22114674441205054</v>
      </c>
      <c r="S704" s="22">
        <f>Q704*E704/G704^3</f>
        <v>5.6365403304178808E-4</v>
      </c>
    </row>
    <row r="705" spans="1:19">
      <c r="A705" s="44" t="s">
        <v>1005</v>
      </c>
      <c r="B705" s="132" t="s">
        <v>1300</v>
      </c>
      <c r="C705" s="132"/>
      <c r="D705" s="104">
        <v>0.25</v>
      </c>
      <c r="E705" s="4">
        <v>18</v>
      </c>
      <c r="F705" s="4">
        <v>13</v>
      </c>
      <c r="G705" s="4">
        <v>21</v>
      </c>
      <c r="H705" s="45">
        <v>7.1336000000000004</v>
      </c>
      <c r="I705" s="4">
        <v>8.9999999999999998E-4</v>
      </c>
      <c r="J705" s="45">
        <v>-43.730400000000003</v>
      </c>
      <c r="K705" s="4">
        <v>2.3E-3</v>
      </c>
      <c r="L705" s="4">
        <v>5.1999999999999998E-2</v>
      </c>
      <c r="M705" s="4">
        <v>1.7000000000000001E-2</v>
      </c>
      <c r="N705" s="4">
        <v>-4.7999999999999996E-3</v>
      </c>
      <c r="O705" s="4">
        <v>1E-4</v>
      </c>
      <c r="P705" s="4">
        <v>124.18</v>
      </c>
      <c r="Q705" s="4">
        <v>0.09</v>
      </c>
      <c r="R705" s="45">
        <f>P705*E705/G705^3</f>
        <v>0.2413605442176871</v>
      </c>
      <c r="S705" s="22">
        <f>Q705*E705/G705^3</f>
        <v>1.7492711370262388E-4</v>
      </c>
    </row>
    <row r="706" spans="1:19">
      <c r="A706" s="23" t="s">
        <v>1005</v>
      </c>
      <c r="B706" s="129" t="s">
        <v>1300</v>
      </c>
      <c r="C706" s="129"/>
      <c r="D706" s="83">
        <v>0.5</v>
      </c>
      <c r="E706" s="4">
        <v>18</v>
      </c>
      <c r="F706" s="4">
        <v>13</v>
      </c>
      <c r="G706" s="4">
        <v>21</v>
      </c>
      <c r="H706" s="4">
        <v>7.2420999999999998</v>
      </c>
      <c r="I706" s="4">
        <v>2.9999999999999997E-4</v>
      </c>
      <c r="J706" s="4">
        <v>-44.433700000000002</v>
      </c>
      <c r="K706" s="4">
        <v>1.9E-3</v>
      </c>
      <c r="L706" s="4">
        <v>2.3E-2</v>
      </c>
      <c r="M706" s="4">
        <v>4.0000000000000001E-3</v>
      </c>
      <c r="N706" s="4">
        <v>-4.7000000000000002E-3</v>
      </c>
      <c r="O706" s="4">
        <v>1E-4</v>
      </c>
      <c r="P706" s="4">
        <v>122.43</v>
      </c>
      <c r="Q706" s="4">
        <v>0.19</v>
      </c>
      <c r="R706" s="4">
        <f t="shared" si="44"/>
        <v>0.23795918367346941</v>
      </c>
      <c r="S706" s="22">
        <f t="shared" si="45"/>
        <v>3.6929057337220603E-4</v>
      </c>
    </row>
    <row r="707" spans="1:19">
      <c r="A707" s="28" t="s">
        <v>1005</v>
      </c>
      <c r="B707" s="130" t="s">
        <v>1300</v>
      </c>
      <c r="C707" s="130"/>
      <c r="D707" s="85">
        <v>0.75</v>
      </c>
      <c r="E707" s="4">
        <v>18</v>
      </c>
      <c r="F707" s="4">
        <v>13</v>
      </c>
      <c r="G707" s="4">
        <v>21</v>
      </c>
      <c r="H707" s="29">
        <v>7.3533999999999997</v>
      </c>
      <c r="I707" s="4">
        <v>5.0000000000000001E-4</v>
      </c>
      <c r="J707" s="29">
        <v>-45.305399999999999</v>
      </c>
      <c r="K707" s="4">
        <v>8.9999999999999998E-4</v>
      </c>
      <c r="L707" s="4">
        <v>3.1E-2</v>
      </c>
      <c r="M707" s="4">
        <v>2.1999999999999999E-2</v>
      </c>
      <c r="N707" s="4">
        <v>-5.0000000000000001E-3</v>
      </c>
      <c r="O707" s="4">
        <v>2.0000000000000001E-4</v>
      </c>
      <c r="P707" s="4">
        <v>119.57</v>
      </c>
      <c r="Q707" s="4">
        <v>0.21</v>
      </c>
      <c r="R707" s="29">
        <f>P707*E707/G707^3</f>
        <v>0.23240038872691932</v>
      </c>
      <c r="S707" s="22">
        <f>Q707*E707/G707^3</f>
        <v>4.0816326530612241E-4</v>
      </c>
    </row>
    <row r="708" spans="1:19">
      <c r="A708" s="33" t="s">
        <v>1005</v>
      </c>
      <c r="B708" s="138" t="s">
        <v>1300</v>
      </c>
      <c r="C708" s="138"/>
      <c r="D708" s="98">
        <v>1</v>
      </c>
      <c r="E708" s="4">
        <v>18</v>
      </c>
      <c r="F708" s="4">
        <v>13</v>
      </c>
      <c r="G708" s="4">
        <v>21</v>
      </c>
      <c r="H708" s="34">
        <v>7.4692999999999996</v>
      </c>
      <c r="I708" s="4">
        <v>5.9999999999999995E-4</v>
      </c>
      <c r="J708" s="34">
        <v>-46.3461</v>
      </c>
      <c r="K708" s="4">
        <v>5.0000000000000001E-4</v>
      </c>
      <c r="L708" s="4">
        <v>5.2999999999999999E-2</v>
      </c>
      <c r="M708" s="4">
        <v>0.03</v>
      </c>
      <c r="N708" s="4">
        <v>-5.1999999999999998E-3</v>
      </c>
      <c r="O708" s="4">
        <v>1E-4</v>
      </c>
      <c r="P708" s="4">
        <v>116.12</v>
      </c>
      <c r="Q708" s="4">
        <v>0.21</v>
      </c>
      <c r="R708" s="34">
        <f>P708*E708/G708^3</f>
        <v>0.22569484936831874</v>
      </c>
      <c r="S708" s="22">
        <f>Q708*E708/G708^3</f>
        <v>4.0816326530612241E-4</v>
      </c>
    </row>
    <row r="709" spans="1:19">
      <c r="A709" s="44" t="s">
        <v>1006</v>
      </c>
      <c r="B709" s="45" t="s">
        <v>1301</v>
      </c>
      <c r="C709" s="45"/>
      <c r="D709" s="104">
        <v>0.25</v>
      </c>
      <c r="E709" s="4">
        <v>18</v>
      </c>
      <c r="F709" s="4">
        <v>13</v>
      </c>
      <c r="G709" s="4">
        <v>21</v>
      </c>
      <c r="H709" s="45">
        <v>7.0632000000000001</v>
      </c>
      <c r="I709" s="4">
        <v>8.9999999999999998E-4</v>
      </c>
      <c r="J709" s="45">
        <v>-43.922600000000003</v>
      </c>
      <c r="K709" s="4">
        <v>6.9999999999999999E-4</v>
      </c>
      <c r="L709" s="4">
        <v>5.2999999999999999E-2</v>
      </c>
      <c r="M709" s="4">
        <v>1.2999999999999999E-2</v>
      </c>
      <c r="N709" s="4">
        <v>-4.7999999999999996E-3</v>
      </c>
      <c r="O709" s="4">
        <v>2.0000000000000001E-4</v>
      </c>
      <c r="P709" s="4">
        <v>123.61</v>
      </c>
      <c r="Q709" s="4">
        <v>0.22</v>
      </c>
      <c r="R709" s="45">
        <f>P709*E709/G709^3</f>
        <v>0.24025267249757046</v>
      </c>
      <c r="S709" s="22">
        <f>Q709*E709/G709^3</f>
        <v>4.2759961127308068E-4</v>
      </c>
    </row>
    <row r="710" spans="1:19">
      <c r="A710" s="23" t="s">
        <v>1006</v>
      </c>
      <c r="B710" s="4" t="s">
        <v>1301</v>
      </c>
      <c r="D710" s="83">
        <v>0.5</v>
      </c>
      <c r="E710" s="4">
        <v>18</v>
      </c>
      <c r="F710" s="4">
        <v>13</v>
      </c>
      <c r="G710" s="4">
        <v>21</v>
      </c>
      <c r="H710" s="4">
        <v>7.0815999999999999</v>
      </c>
      <c r="I710" s="4">
        <v>1E-3</v>
      </c>
      <c r="J710" s="4">
        <v>-45.069699999999997</v>
      </c>
      <c r="K710" s="4">
        <v>2.3E-3</v>
      </c>
      <c r="L710" s="4">
        <v>9.9000000000000005E-2</v>
      </c>
      <c r="M710" s="4">
        <v>1.2E-2</v>
      </c>
      <c r="N710" s="4">
        <v>-6.3E-3</v>
      </c>
      <c r="O710" s="4">
        <v>1E-4</v>
      </c>
      <c r="P710" s="4">
        <v>117.22</v>
      </c>
      <c r="Q710" s="4">
        <v>0.11</v>
      </c>
      <c r="R710" s="4">
        <f t="shared" ref="R710" si="46">P710*E710/G710^3</f>
        <v>0.22783284742468415</v>
      </c>
      <c r="S710" s="22">
        <f t="shared" ref="S710" si="47">Q710*E710/G710^3</f>
        <v>2.1379980563654034E-4</v>
      </c>
    </row>
    <row r="711" spans="1:19">
      <c r="A711" s="28" t="s">
        <v>1006</v>
      </c>
      <c r="B711" s="29" t="s">
        <v>1301</v>
      </c>
      <c r="C711" s="29"/>
      <c r="D711" s="85">
        <v>0.75</v>
      </c>
      <c r="E711" s="4">
        <v>18</v>
      </c>
      <c r="F711" s="4">
        <v>13</v>
      </c>
      <c r="G711" s="4">
        <v>21</v>
      </c>
      <c r="H711" s="41">
        <v>7.0694999999999997</v>
      </c>
      <c r="I711" s="4">
        <v>5.9999999999999995E-4</v>
      </c>
      <c r="J711" s="29">
        <v>-46.775700000000001</v>
      </c>
      <c r="K711" s="4">
        <v>1.1999999999999999E-3</v>
      </c>
      <c r="L711" s="4">
        <v>0.17</v>
      </c>
      <c r="M711" s="4">
        <v>1.0999999999999999E-2</v>
      </c>
      <c r="N711" s="4">
        <v>-9.1000000000000004E-3</v>
      </c>
      <c r="O711" s="4">
        <v>1E-4</v>
      </c>
      <c r="P711" s="4">
        <v>103.37</v>
      </c>
      <c r="Q711" s="4">
        <v>0.22</v>
      </c>
      <c r="R711" s="29">
        <f>P711*E711/G711^3</f>
        <v>0.20091350826044704</v>
      </c>
      <c r="S711" s="22">
        <f>Q711*E711/G711^3</f>
        <v>4.2759961127308068E-4</v>
      </c>
    </row>
    <row r="712" spans="1:19">
      <c r="A712" s="44" t="s">
        <v>1007</v>
      </c>
      <c r="B712" s="45" t="s">
        <v>1302</v>
      </c>
      <c r="C712" s="45"/>
      <c r="D712" s="104">
        <v>0.25</v>
      </c>
      <c r="E712" s="4">
        <v>18</v>
      </c>
      <c r="F712" s="4">
        <v>13</v>
      </c>
      <c r="G712" s="4">
        <v>21</v>
      </c>
      <c r="H712" s="45">
        <v>7.0994000000000002</v>
      </c>
      <c r="I712" s="4">
        <v>1E-3</v>
      </c>
      <c r="J712" s="45">
        <v>-43.823999999999998</v>
      </c>
      <c r="K712" s="4">
        <v>1.4E-3</v>
      </c>
      <c r="L712" s="4">
        <v>5.3999999999999999E-2</v>
      </c>
      <c r="M712" s="4">
        <v>1.7999999999999999E-2</v>
      </c>
      <c r="N712" s="4">
        <v>-5.0000000000000001E-3</v>
      </c>
      <c r="O712" s="4">
        <v>1E-4</v>
      </c>
      <c r="P712" s="4">
        <v>124.05</v>
      </c>
      <c r="Q712" s="4">
        <v>0.12</v>
      </c>
      <c r="R712" s="45">
        <f>P712*E712/G712^3</f>
        <v>0.24110787172011663</v>
      </c>
      <c r="S712" s="22">
        <f>Q712*E712/G712^3</f>
        <v>2.3323615160349855E-4</v>
      </c>
    </row>
    <row r="713" spans="1:19">
      <c r="A713" s="23" t="s">
        <v>1007</v>
      </c>
      <c r="B713" s="4" t="s">
        <v>1302</v>
      </c>
      <c r="D713" s="83">
        <v>0.5</v>
      </c>
      <c r="E713" s="4">
        <v>18</v>
      </c>
      <c r="F713" s="4">
        <v>13</v>
      </c>
      <c r="G713" s="4">
        <v>21</v>
      </c>
      <c r="H713" s="4">
        <v>7.1749999999999998</v>
      </c>
      <c r="I713" s="4">
        <v>5.9999999999999995E-4</v>
      </c>
      <c r="J713" s="4">
        <v>-44.681899999999999</v>
      </c>
      <c r="K713" s="4">
        <v>1E-3</v>
      </c>
      <c r="L713" s="4">
        <v>4.1000000000000002E-2</v>
      </c>
      <c r="M713" s="4">
        <v>7.0000000000000001E-3</v>
      </c>
      <c r="N713" s="4">
        <v>-5.0000000000000001E-3</v>
      </c>
      <c r="O713" s="4">
        <v>1E-4</v>
      </c>
      <c r="P713" s="4">
        <v>121.73</v>
      </c>
      <c r="Q713" s="4">
        <v>0.11</v>
      </c>
      <c r="R713" s="4">
        <f t="shared" ref="R713" si="48">P713*E713/G713^3</f>
        <v>0.2365986394557823</v>
      </c>
      <c r="S713" s="22">
        <f t="shared" ref="S713" si="49">Q713*E713/G713^3</f>
        <v>2.1379980563654034E-4</v>
      </c>
    </row>
    <row r="714" spans="1:19">
      <c r="A714" s="44" t="s">
        <v>1008</v>
      </c>
      <c r="B714" s="45" t="s">
        <v>1303</v>
      </c>
      <c r="C714" s="45"/>
      <c r="D714" s="104">
        <v>0.25</v>
      </c>
      <c r="E714" s="4">
        <v>18</v>
      </c>
      <c r="F714" s="4">
        <v>13</v>
      </c>
      <c r="G714" s="4">
        <v>21</v>
      </c>
      <c r="H714" s="45">
        <v>7.0993000000000004</v>
      </c>
      <c r="I714" s="4">
        <v>5.9999999999999995E-4</v>
      </c>
      <c r="J714" s="45">
        <v>-43.610300000000002</v>
      </c>
      <c r="K714" s="4">
        <v>8.9999999999999998E-4</v>
      </c>
      <c r="L714" s="4">
        <v>5.6000000000000001E-2</v>
      </c>
      <c r="M714" s="4">
        <v>1.4999999999999999E-2</v>
      </c>
      <c r="N714" s="4">
        <v>-4.8999999999999998E-3</v>
      </c>
      <c r="O714" s="4">
        <v>2.0000000000000001E-4</v>
      </c>
      <c r="P714" s="4">
        <v>123.89</v>
      </c>
      <c r="Q714" s="4">
        <v>0.31</v>
      </c>
      <c r="R714" s="45">
        <f>P714*E714/G714^3</f>
        <v>0.24079689018464528</v>
      </c>
      <c r="S714" s="22">
        <f>Q714*E714/G714^3</f>
        <v>6.0252672497570462E-4</v>
      </c>
    </row>
    <row r="715" spans="1:19">
      <c r="A715" s="23" t="s">
        <v>1008</v>
      </c>
      <c r="B715" s="4" t="s">
        <v>1303</v>
      </c>
      <c r="D715" s="83">
        <v>0.5</v>
      </c>
      <c r="E715" s="4">
        <v>18</v>
      </c>
      <c r="F715" s="4">
        <v>13</v>
      </c>
      <c r="G715" s="4">
        <v>21</v>
      </c>
      <c r="H715" s="4">
        <v>7.1738</v>
      </c>
      <c r="I715" s="4">
        <v>4.0000000000000002E-4</v>
      </c>
      <c r="J715" s="4">
        <v>-44.244799999999998</v>
      </c>
      <c r="K715" s="4">
        <v>1.5E-3</v>
      </c>
      <c r="L715" s="4">
        <v>3.5000000000000003E-2</v>
      </c>
      <c r="M715" s="4">
        <v>8.0000000000000002E-3</v>
      </c>
      <c r="N715" s="4">
        <v>-5.0000000000000001E-3</v>
      </c>
      <c r="O715" s="4">
        <v>1E-4</v>
      </c>
      <c r="P715" s="4">
        <v>121.69</v>
      </c>
      <c r="Q715" s="4">
        <v>0.1</v>
      </c>
      <c r="R715" s="4">
        <f t="shared" ref="R715" si="50">P715*E715/G715^3</f>
        <v>0.23652089407191448</v>
      </c>
      <c r="S715" s="22">
        <f t="shared" ref="S715" si="51">Q715*E715/G715^3</f>
        <v>1.9436345966958212E-4</v>
      </c>
    </row>
    <row r="716" spans="1:19" ht="17" thickBot="1">
      <c r="A716" s="44" t="s">
        <v>1009</v>
      </c>
      <c r="B716" s="132" t="s">
        <v>1304</v>
      </c>
      <c r="C716" s="45" t="s">
        <v>17</v>
      </c>
      <c r="D716" s="104">
        <v>0.25</v>
      </c>
      <c r="E716" s="4">
        <v>18</v>
      </c>
      <c r="F716" s="4">
        <v>13</v>
      </c>
      <c r="G716" s="4">
        <v>21</v>
      </c>
      <c r="H716" s="45">
        <v>7.0053000000000001</v>
      </c>
      <c r="I716" s="4">
        <v>1E-3</v>
      </c>
      <c r="J716" s="45">
        <v>-44.563400000000001</v>
      </c>
      <c r="K716" s="4">
        <v>8.9999999999999998E-4</v>
      </c>
      <c r="L716" s="4">
        <v>9.7000000000000003E-2</v>
      </c>
      <c r="M716" s="4">
        <v>1.4E-2</v>
      </c>
      <c r="N716" s="4">
        <v>-5.8999999999999999E-3</v>
      </c>
      <c r="O716" s="4">
        <v>2.9999999999999997E-4</v>
      </c>
      <c r="P716" s="4">
        <v>119.78</v>
      </c>
      <c r="Q716" s="4">
        <v>0.45</v>
      </c>
      <c r="R716" s="45">
        <f>P716*E716/G716^3</f>
        <v>0.23280855199222547</v>
      </c>
      <c r="S716" s="22">
        <f>Q716*E716/G716^3</f>
        <v>8.7463556851311952E-4</v>
      </c>
    </row>
    <row r="717" spans="1:19" ht="17" thickTop="1">
      <c r="A717" s="102" t="s">
        <v>1010</v>
      </c>
      <c r="B717" s="119" t="s">
        <v>1305</v>
      </c>
      <c r="C717" s="119"/>
      <c r="D717" s="77">
        <v>0.25</v>
      </c>
      <c r="E717" s="7">
        <v>18</v>
      </c>
      <c r="F717" s="7">
        <v>14</v>
      </c>
      <c r="G717" s="7">
        <v>21</v>
      </c>
      <c r="H717" s="119">
        <v>7.3874000000000004</v>
      </c>
      <c r="I717" s="7">
        <v>8.9999999999999998E-4</v>
      </c>
      <c r="J717" s="119">
        <v>-45.394799999999996</v>
      </c>
      <c r="K717" s="7">
        <v>1.5E-3</v>
      </c>
      <c r="L717" s="7">
        <v>2.7E-2</v>
      </c>
      <c r="M717" s="7">
        <v>8.0000000000000002E-3</v>
      </c>
      <c r="N717" s="7">
        <v>-4.4999999999999997E-3</v>
      </c>
      <c r="O717" s="7">
        <v>1E-4</v>
      </c>
      <c r="P717" s="7">
        <v>124.08</v>
      </c>
      <c r="Q717" s="7">
        <v>0.14000000000000001</v>
      </c>
      <c r="R717" s="119">
        <f>P717*E717/G717^3</f>
        <v>0.24116618075801749</v>
      </c>
      <c r="S717" s="18">
        <f>Q717*E717/G717^3</f>
        <v>2.7210884353741501E-4</v>
      </c>
    </row>
    <row r="718" spans="1:19">
      <c r="A718" s="23" t="s">
        <v>1010</v>
      </c>
      <c r="B718" s="4" t="s">
        <v>1305</v>
      </c>
      <c r="D718" s="83">
        <v>0.5</v>
      </c>
      <c r="E718" s="4">
        <v>18</v>
      </c>
      <c r="F718" s="4">
        <v>14</v>
      </c>
      <c r="G718" s="4">
        <v>21</v>
      </c>
      <c r="H718" s="4">
        <v>7.7514000000000003</v>
      </c>
      <c r="I718" s="4">
        <v>2.9999999999999997E-4</v>
      </c>
      <c r="J718" s="4">
        <v>-47.8078</v>
      </c>
      <c r="K718" s="4">
        <v>1.6000000000000001E-3</v>
      </c>
      <c r="L718" s="4">
        <v>3.5000000000000003E-2</v>
      </c>
      <c r="M718" s="4">
        <v>8.0000000000000002E-3</v>
      </c>
      <c r="N718" s="4">
        <v>-4.4999999999999997E-3</v>
      </c>
      <c r="O718" s="4">
        <v>2.9999999999999997E-4</v>
      </c>
      <c r="P718" s="4">
        <v>121.77</v>
      </c>
      <c r="Q718" s="4">
        <v>0.43</v>
      </c>
      <c r="R718" s="4">
        <f t="shared" ref="R718:R725" si="52">P718*E718/G718^3</f>
        <v>0.23667638483965017</v>
      </c>
      <c r="S718" s="22">
        <f t="shared" ref="S718:S725" si="53">Q718*E718/G718^3</f>
        <v>8.3576287657920309E-4</v>
      </c>
    </row>
    <row r="719" spans="1:19">
      <c r="A719" s="28" t="s">
        <v>1010</v>
      </c>
      <c r="B719" s="29" t="s">
        <v>1305</v>
      </c>
      <c r="C719" s="29"/>
      <c r="D719" s="85">
        <v>0.75</v>
      </c>
      <c r="E719" s="4">
        <v>18</v>
      </c>
      <c r="F719" s="4">
        <v>14</v>
      </c>
      <c r="G719" s="4">
        <v>21</v>
      </c>
      <c r="H719" s="29">
        <v>8.1142000000000003</v>
      </c>
      <c r="I719" s="4">
        <v>5.0000000000000001E-4</v>
      </c>
      <c r="J719" s="29">
        <v>-50.427700000000002</v>
      </c>
      <c r="K719" s="4">
        <v>1.5E-3</v>
      </c>
      <c r="L719" s="4">
        <v>5.2999999999999999E-2</v>
      </c>
      <c r="M719" s="4">
        <v>8.9999999999999993E-3</v>
      </c>
      <c r="N719" s="4">
        <v>-4.7999999999999996E-3</v>
      </c>
      <c r="O719" s="4">
        <v>2.0000000000000001E-4</v>
      </c>
      <c r="P719" s="4">
        <v>118.3</v>
      </c>
      <c r="Q719" s="4">
        <v>0.18</v>
      </c>
      <c r="R719" s="29">
        <f>P719*E719/G719^3</f>
        <v>0.22993197278911565</v>
      </c>
      <c r="S719" s="22">
        <f>Q719*E719/G719^3</f>
        <v>3.4985422740524776E-4</v>
      </c>
    </row>
    <row r="720" spans="1:19">
      <c r="A720" s="33" t="s">
        <v>1010</v>
      </c>
      <c r="B720" s="34" t="s">
        <v>1305</v>
      </c>
      <c r="C720" s="34"/>
      <c r="D720" s="98">
        <v>1</v>
      </c>
      <c r="E720" s="4">
        <v>18</v>
      </c>
      <c r="F720" s="4">
        <v>14</v>
      </c>
      <c r="G720" s="4">
        <v>21</v>
      </c>
      <c r="H720" s="34">
        <v>8.4794</v>
      </c>
      <c r="I720" s="4">
        <v>8.9999999999999998E-4</v>
      </c>
      <c r="J720" s="34">
        <v>-53.242800000000003</v>
      </c>
      <c r="K720" s="4">
        <v>5.0000000000000001E-4</v>
      </c>
      <c r="L720" s="4">
        <v>7.4999999999999997E-2</v>
      </c>
      <c r="M720" s="4">
        <v>1.9E-2</v>
      </c>
      <c r="N720" s="4">
        <v>-5.0000000000000001E-3</v>
      </c>
      <c r="O720" s="4">
        <v>2.0000000000000001E-4</v>
      </c>
      <c r="P720" s="4">
        <v>114.04</v>
      </c>
      <c r="Q720" s="4">
        <v>0.2</v>
      </c>
      <c r="R720" s="34">
        <f>P720*E720/G720^3</f>
        <v>0.22165208940719147</v>
      </c>
      <c r="S720" s="22">
        <f>Q720*E720/G720^3</f>
        <v>3.8872691933916425E-4</v>
      </c>
    </row>
    <row r="721" spans="1:19">
      <c r="A721" s="44" t="s">
        <v>1011</v>
      </c>
      <c r="B721" s="132" t="s">
        <v>1306</v>
      </c>
      <c r="C721" s="132"/>
      <c r="D721" s="104">
        <v>0.25</v>
      </c>
      <c r="E721" s="4">
        <v>18</v>
      </c>
      <c r="F721" s="4">
        <v>14</v>
      </c>
      <c r="G721" s="4">
        <v>21</v>
      </c>
      <c r="H721" s="45">
        <v>7.3385999999999996</v>
      </c>
      <c r="I721" s="4">
        <v>2.9999999999999997E-4</v>
      </c>
      <c r="J721" s="45">
        <v>-45.577399999999997</v>
      </c>
      <c r="K721" s="4">
        <v>1.1000000000000001E-3</v>
      </c>
      <c r="L721" s="4">
        <v>3.7999999999999999E-2</v>
      </c>
      <c r="M721" s="4">
        <v>8.9999999999999993E-3</v>
      </c>
      <c r="N721" s="4">
        <v>-4.7999999999999996E-3</v>
      </c>
      <c r="O721" s="4">
        <v>1E-4</v>
      </c>
      <c r="P721" s="4">
        <v>123.87</v>
      </c>
      <c r="Q721" s="4">
        <v>0.18</v>
      </c>
      <c r="R721" s="45">
        <f>P721*E721/G721^3</f>
        <v>0.24075801749271136</v>
      </c>
      <c r="S721" s="22">
        <f>Q721*E721/G721^3</f>
        <v>3.4985422740524776E-4</v>
      </c>
    </row>
    <row r="722" spans="1:19">
      <c r="A722" s="23" t="s">
        <v>1011</v>
      </c>
      <c r="B722" s="129" t="s">
        <v>1306</v>
      </c>
      <c r="C722" s="129"/>
      <c r="D722" s="83">
        <v>0.5</v>
      </c>
      <c r="E722" s="4">
        <v>18</v>
      </c>
      <c r="F722" s="4">
        <v>14</v>
      </c>
      <c r="G722" s="4">
        <v>21</v>
      </c>
      <c r="H722" s="4">
        <v>7.6444000000000001</v>
      </c>
      <c r="I722" s="4">
        <v>5.9999999999999995E-4</v>
      </c>
      <c r="J722" s="4">
        <v>-48.223999999999997</v>
      </c>
      <c r="K722" s="4">
        <v>1E-3</v>
      </c>
      <c r="L722" s="4">
        <v>8.4000000000000005E-2</v>
      </c>
      <c r="M722" s="4">
        <v>6.0000000000000001E-3</v>
      </c>
      <c r="N722" s="4">
        <v>-5.1999999999999998E-3</v>
      </c>
      <c r="O722" s="4">
        <v>1E-4</v>
      </c>
      <c r="P722" s="4">
        <v>120.47</v>
      </c>
      <c r="Q722" s="4">
        <v>0.19</v>
      </c>
      <c r="R722" s="4">
        <f t="shared" si="52"/>
        <v>0.23414965986394559</v>
      </c>
      <c r="S722" s="22">
        <f t="shared" si="53"/>
        <v>3.6929057337220603E-4</v>
      </c>
    </row>
    <row r="723" spans="1:19">
      <c r="A723" s="28" t="s">
        <v>1011</v>
      </c>
      <c r="B723" s="130" t="s">
        <v>1306</v>
      </c>
      <c r="C723" s="130"/>
      <c r="D723" s="85">
        <v>0.75</v>
      </c>
      <c r="E723" s="4">
        <v>18</v>
      </c>
      <c r="F723" s="4">
        <v>14</v>
      </c>
      <c r="G723" s="4">
        <v>21</v>
      </c>
      <c r="H723" s="29">
        <v>7.9394999999999998</v>
      </c>
      <c r="I723" s="4">
        <v>8.9999999999999998E-4</v>
      </c>
      <c r="J723" s="29">
        <v>-51.147599999999997</v>
      </c>
      <c r="K723" s="4">
        <v>2.8E-3</v>
      </c>
      <c r="L723" s="4">
        <v>0.108</v>
      </c>
      <c r="M723" s="4">
        <v>4.0000000000000001E-3</v>
      </c>
      <c r="N723" s="4">
        <v>-6.0000000000000001E-3</v>
      </c>
      <c r="O723" s="4">
        <v>2.0000000000000001E-4</v>
      </c>
      <c r="P723" s="4">
        <v>114.83</v>
      </c>
      <c r="Q723" s="4">
        <v>0.4</v>
      </c>
      <c r="R723" s="29">
        <f>P723*E723/G723^3</f>
        <v>0.22318756073858115</v>
      </c>
      <c r="S723" s="22">
        <f>Q723*E723/G723^3</f>
        <v>7.774538386783285E-4</v>
      </c>
    </row>
    <row r="724" spans="1:19">
      <c r="A724" s="44" t="s">
        <v>1012</v>
      </c>
      <c r="B724" s="132" t="s">
        <v>1307</v>
      </c>
      <c r="C724" s="132"/>
      <c r="D724" s="104">
        <v>0.25</v>
      </c>
      <c r="E724" s="4">
        <v>18</v>
      </c>
      <c r="F724" s="4">
        <v>14</v>
      </c>
      <c r="G724" s="4">
        <v>21</v>
      </c>
      <c r="H724" s="45">
        <v>7.3771000000000004</v>
      </c>
      <c r="I724" s="4">
        <v>5.9999999999999995E-4</v>
      </c>
      <c r="J724" s="45">
        <v>-45.560200000000002</v>
      </c>
      <c r="K724" s="4">
        <v>2.2000000000000001E-3</v>
      </c>
      <c r="L724" s="4">
        <v>3.5000000000000003E-2</v>
      </c>
      <c r="M724" s="4">
        <v>1.0999999999999999E-2</v>
      </c>
      <c r="N724" s="4">
        <v>-4.5999999999999999E-3</v>
      </c>
      <c r="O724" s="4">
        <v>1E-4</v>
      </c>
      <c r="P724" s="4">
        <v>124.29</v>
      </c>
      <c r="Q724" s="4">
        <v>0.16</v>
      </c>
      <c r="R724" s="45">
        <f>P724*E724/G724^3</f>
        <v>0.24157434402332364</v>
      </c>
      <c r="S724" s="22">
        <f>Q724*E724/G724^3</f>
        <v>3.1098153547133139E-4</v>
      </c>
    </row>
    <row r="725" spans="1:19">
      <c r="A725" s="23" t="s">
        <v>1012</v>
      </c>
      <c r="B725" s="129" t="s">
        <v>1307</v>
      </c>
      <c r="C725" s="129"/>
      <c r="D725" s="83">
        <v>0.5</v>
      </c>
      <c r="E725" s="4">
        <v>18</v>
      </c>
      <c r="F725" s="4">
        <v>14</v>
      </c>
      <c r="G725" s="4">
        <v>21</v>
      </c>
      <c r="H725" s="4">
        <v>7.7282000000000002</v>
      </c>
      <c r="I725" s="4">
        <v>8.9999999999999998E-4</v>
      </c>
      <c r="J725" s="4">
        <v>-48.117699999999999</v>
      </c>
      <c r="K725" s="4">
        <v>1.1000000000000001E-3</v>
      </c>
      <c r="L725" s="4">
        <v>4.9000000000000002E-2</v>
      </c>
      <c r="M725" s="4">
        <v>8.0000000000000002E-3</v>
      </c>
      <c r="N725" s="4">
        <v>-4.7000000000000002E-3</v>
      </c>
      <c r="O725" s="4">
        <v>1E-4</v>
      </c>
      <c r="P725" s="4">
        <v>122.16</v>
      </c>
      <c r="Q725" s="4">
        <v>0.17</v>
      </c>
      <c r="R725" s="4">
        <f t="shared" si="52"/>
        <v>0.23743440233236152</v>
      </c>
      <c r="S725" s="22">
        <f t="shared" si="53"/>
        <v>3.304178814382896E-4</v>
      </c>
    </row>
    <row r="726" spans="1:19">
      <c r="A726" s="28" t="s">
        <v>1012</v>
      </c>
      <c r="B726" s="130" t="s">
        <v>1307</v>
      </c>
      <c r="C726" s="130"/>
      <c r="D726" s="85">
        <v>0.75</v>
      </c>
      <c r="E726" s="4">
        <v>18</v>
      </c>
      <c r="F726" s="4">
        <v>14</v>
      </c>
      <c r="G726" s="4">
        <v>21</v>
      </c>
      <c r="H726" s="29">
        <v>8.0752000000000006</v>
      </c>
      <c r="I726" s="4">
        <v>4.0000000000000002E-4</v>
      </c>
      <c r="J726" s="29">
        <v>-50.866500000000002</v>
      </c>
      <c r="K726" s="4">
        <v>1.6000000000000001E-3</v>
      </c>
      <c r="L726" s="4">
        <v>6.4000000000000001E-2</v>
      </c>
      <c r="M726" s="4">
        <v>6.0000000000000001E-3</v>
      </c>
      <c r="N726" s="4">
        <v>-5.1000000000000004E-3</v>
      </c>
      <c r="O726" s="4">
        <v>2.0000000000000001E-4</v>
      </c>
      <c r="P726" s="4">
        <v>118.73</v>
      </c>
      <c r="Q726" s="4">
        <v>0.28000000000000003</v>
      </c>
      <c r="R726" s="29">
        <f>P726*E726/G726^3</f>
        <v>0.23076773566569483</v>
      </c>
      <c r="S726" s="22">
        <f>Q726*E726/G726^3</f>
        <v>5.4421768707483002E-4</v>
      </c>
    </row>
    <row r="727" spans="1:19">
      <c r="A727" s="33" t="s">
        <v>1012</v>
      </c>
      <c r="B727" s="138" t="s">
        <v>1307</v>
      </c>
      <c r="C727" s="138"/>
      <c r="D727" s="98">
        <v>1</v>
      </c>
      <c r="E727" s="4">
        <v>18</v>
      </c>
      <c r="F727" s="4">
        <v>14</v>
      </c>
      <c r="G727" s="4">
        <v>21</v>
      </c>
      <c r="H727" s="34">
        <v>8.4161999999999999</v>
      </c>
      <c r="I727" s="4">
        <v>4.0000000000000002E-4</v>
      </c>
      <c r="J727" s="34">
        <v>-53.8033</v>
      </c>
      <c r="K727" s="4">
        <v>1E-3</v>
      </c>
      <c r="L727" s="4">
        <v>0.10100000000000001</v>
      </c>
      <c r="M727" s="4">
        <v>5.0000000000000001E-3</v>
      </c>
      <c r="N727" s="4">
        <v>-5.5999999999999999E-3</v>
      </c>
      <c r="O727" s="4">
        <v>1E-4</v>
      </c>
      <c r="P727" s="4">
        <v>114.35</v>
      </c>
      <c r="Q727" s="4">
        <v>0.23</v>
      </c>
      <c r="R727" s="34">
        <f>P727*E727/G727^3</f>
        <v>0.22225461613216713</v>
      </c>
      <c r="S727" s="22">
        <f>Q727*E727/G727^3</f>
        <v>4.4703595724003895E-4</v>
      </c>
    </row>
    <row r="728" spans="1:19">
      <c r="A728" s="44" t="s">
        <v>1013</v>
      </c>
      <c r="B728" s="132" t="s">
        <v>1308</v>
      </c>
      <c r="C728" s="132" t="s">
        <v>765</v>
      </c>
      <c r="D728" s="104">
        <v>0.25</v>
      </c>
      <c r="E728" s="4">
        <v>18</v>
      </c>
      <c r="F728" s="4">
        <v>14</v>
      </c>
      <c r="G728" s="4">
        <v>21</v>
      </c>
      <c r="H728" s="45">
        <v>7.2895000000000003</v>
      </c>
      <c r="I728" s="4">
        <v>2.0000000000000001E-4</v>
      </c>
      <c r="J728" s="45">
        <v>-46.201700000000002</v>
      </c>
      <c r="K728" s="4">
        <v>1.6000000000000001E-3</v>
      </c>
      <c r="L728" s="4">
        <v>6.9000000000000006E-2</v>
      </c>
      <c r="M728" s="4">
        <v>7.0000000000000001E-3</v>
      </c>
      <c r="N728" s="4">
        <v>-5.5999999999999999E-3</v>
      </c>
      <c r="O728" s="4">
        <v>1E-4</v>
      </c>
      <c r="P728" s="4">
        <v>120.44</v>
      </c>
      <c r="Q728" s="4">
        <v>0.15</v>
      </c>
      <c r="R728" s="45">
        <f>P728*E728/G728^3</f>
        <v>0.23409135082604471</v>
      </c>
      <c r="S728" s="22">
        <f>Q728*E728/G728^3</f>
        <v>2.9154518950437317E-4</v>
      </c>
    </row>
    <row r="729" spans="1:19">
      <c r="A729" s="44" t="s">
        <v>1014</v>
      </c>
      <c r="B729" s="132" t="s">
        <v>1309</v>
      </c>
      <c r="C729" s="132" t="s">
        <v>19</v>
      </c>
      <c r="D729" s="104">
        <v>0.25</v>
      </c>
      <c r="E729" s="4">
        <v>18</v>
      </c>
      <c r="F729" s="4">
        <v>14</v>
      </c>
      <c r="G729" s="4">
        <v>21</v>
      </c>
      <c r="H729" s="48">
        <v>7.2430000000000003</v>
      </c>
      <c r="I729" s="4">
        <v>1E-3</v>
      </c>
      <c r="J729" s="45">
        <v>-45.886499999999998</v>
      </c>
      <c r="K729" s="4">
        <v>8.0000000000000004E-4</v>
      </c>
      <c r="L729" s="4">
        <v>7.6999999999999999E-2</v>
      </c>
      <c r="M729" s="4">
        <v>0.01</v>
      </c>
      <c r="N729" s="4">
        <v>-5.0000000000000001E-3</v>
      </c>
      <c r="O729" s="4">
        <v>1E-4</v>
      </c>
      <c r="P729" s="4">
        <v>123.31</v>
      </c>
      <c r="Q729" s="4">
        <v>0.08</v>
      </c>
      <c r="R729" s="45">
        <f>P729*E729/G729^3</f>
        <v>0.23966958211856171</v>
      </c>
      <c r="S729" s="22">
        <f>Q729*E729/G729^3</f>
        <v>1.5549076773566569E-4</v>
      </c>
    </row>
    <row r="730" spans="1:19" ht="17" thickBot="1">
      <c r="A730" s="37" t="s">
        <v>1014</v>
      </c>
      <c r="B730" s="121" t="s">
        <v>1309</v>
      </c>
      <c r="C730" s="121" t="s">
        <v>19</v>
      </c>
      <c r="D730" s="75">
        <v>0.5</v>
      </c>
      <c r="E730" s="10">
        <v>18</v>
      </c>
      <c r="F730" s="10">
        <v>14</v>
      </c>
      <c r="G730" s="10">
        <v>21</v>
      </c>
      <c r="H730" s="106">
        <v>7.4215999999999998</v>
      </c>
      <c r="I730" s="10">
        <v>5.0000000000000001E-4</v>
      </c>
      <c r="J730" s="10">
        <v>-49.186100000000003</v>
      </c>
      <c r="K730" s="10">
        <v>5.0000000000000001E-4</v>
      </c>
      <c r="L730" s="10">
        <v>0.16800000000000001</v>
      </c>
      <c r="M730" s="10">
        <v>5.0000000000000001E-3</v>
      </c>
      <c r="N730" s="10">
        <v>-6.7999999999999996E-3</v>
      </c>
      <c r="O730" s="10">
        <v>1E-4</v>
      </c>
      <c r="P730" s="10">
        <v>115</v>
      </c>
      <c r="Q730" s="10">
        <v>0.26</v>
      </c>
      <c r="R730" s="10">
        <f t="shared" ref="R730" si="54">P730*E730/G730^3</f>
        <v>0.22351797862001943</v>
      </c>
      <c r="S730" s="26">
        <f t="shared" ref="S730" si="55">Q730*E730/G730^3</f>
        <v>5.0534499514091349E-4</v>
      </c>
    </row>
    <row r="731" spans="1:19" ht="17" thickTop="1">
      <c r="A731" s="102" t="s">
        <v>1015</v>
      </c>
      <c r="B731" s="126" t="s">
        <v>1310</v>
      </c>
      <c r="C731" s="126"/>
      <c r="D731" s="119">
        <v>0.25</v>
      </c>
      <c r="E731" s="7">
        <v>18</v>
      </c>
      <c r="F731" s="7">
        <v>15</v>
      </c>
      <c r="G731" s="7">
        <v>21</v>
      </c>
      <c r="H731" s="119">
        <v>7.7424999999999997</v>
      </c>
      <c r="I731" s="7">
        <v>4.0000000000000002E-4</v>
      </c>
      <c r="J731" s="119">
        <v>-47.372199999999999</v>
      </c>
      <c r="K731" s="7">
        <v>6.9999999999999999E-4</v>
      </c>
      <c r="L731" s="7">
        <v>2.3E-2</v>
      </c>
      <c r="M731" s="7">
        <v>2E-3</v>
      </c>
      <c r="N731" s="7">
        <v>-4.1000000000000003E-3</v>
      </c>
      <c r="O731" s="7">
        <v>0</v>
      </c>
      <c r="P731" s="7">
        <v>124.37</v>
      </c>
      <c r="Q731" s="7">
        <v>0.06</v>
      </c>
      <c r="R731" s="119">
        <f>P731*E731/G731^3</f>
        <v>0.24172983479105928</v>
      </c>
      <c r="S731" s="18">
        <f>Q731*E731/G731^3</f>
        <v>1.1661807580174928E-4</v>
      </c>
    </row>
    <row r="732" spans="1:19">
      <c r="A732" s="23" t="s">
        <v>1015</v>
      </c>
      <c r="B732" s="129" t="s">
        <v>1310</v>
      </c>
      <c r="C732" s="129"/>
      <c r="D732" s="4">
        <v>0.5</v>
      </c>
      <c r="E732" s="4">
        <v>18</v>
      </c>
      <c r="F732" s="4">
        <v>15</v>
      </c>
      <c r="G732" s="4">
        <v>21</v>
      </c>
      <c r="H732" s="4">
        <v>8.4618000000000002</v>
      </c>
      <c r="I732" s="4">
        <v>1E-3</v>
      </c>
      <c r="J732" s="4">
        <v>-51.679400000000001</v>
      </c>
      <c r="K732" s="4">
        <v>2.0999999999999999E-3</v>
      </c>
      <c r="L732" s="4">
        <v>2.8000000000000001E-2</v>
      </c>
      <c r="M732" s="4">
        <v>3.0000000000000001E-3</v>
      </c>
      <c r="N732" s="4">
        <v>-4.0000000000000001E-3</v>
      </c>
      <c r="O732" s="4">
        <v>1E-4</v>
      </c>
      <c r="P732" s="4">
        <v>122.73</v>
      </c>
      <c r="Q732" s="4">
        <v>0.04</v>
      </c>
      <c r="R732" s="4">
        <f t="shared" ref="R732:R736" si="56">P732*E732/G732^3</f>
        <v>0.23854227405247813</v>
      </c>
      <c r="S732" s="22">
        <f t="shared" ref="S732:S763" si="57">Q732*E732/G732^3</f>
        <v>7.7745383867832847E-5</v>
      </c>
    </row>
    <row r="733" spans="1:19">
      <c r="A733" s="28" t="s">
        <v>1015</v>
      </c>
      <c r="B733" s="130" t="s">
        <v>1310</v>
      </c>
      <c r="C733" s="130"/>
      <c r="D733" s="29">
        <v>0.75</v>
      </c>
      <c r="E733" s="4">
        <v>18</v>
      </c>
      <c r="F733" s="4">
        <v>15</v>
      </c>
      <c r="G733" s="4">
        <v>21</v>
      </c>
      <c r="H733" s="29">
        <v>9.1809999999999992</v>
      </c>
      <c r="I733" s="4">
        <v>6.9999999999999999E-4</v>
      </c>
      <c r="J733" s="29">
        <v>-56.094299999999997</v>
      </c>
      <c r="K733" s="4">
        <v>2.3999999999999998E-3</v>
      </c>
      <c r="L733" s="4">
        <v>2.1000000000000001E-2</v>
      </c>
      <c r="M733" s="4">
        <v>6.0000000000000001E-3</v>
      </c>
      <c r="N733" s="4">
        <v>-3.8999999999999998E-3</v>
      </c>
      <c r="O733" s="4">
        <v>1E-4</v>
      </c>
      <c r="P733" s="4">
        <v>120.89</v>
      </c>
      <c r="Q733" s="4">
        <v>0.09</v>
      </c>
      <c r="R733" s="29">
        <f>P733*E733/G733^3</f>
        <v>0.23496598639455782</v>
      </c>
      <c r="S733" s="22">
        <f>Q733*E733/G733^3</f>
        <v>1.7492711370262388E-4</v>
      </c>
    </row>
    <row r="734" spans="1:19">
      <c r="A734" s="33" t="s">
        <v>1015</v>
      </c>
      <c r="B734" s="138" t="s">
        <v>1310</v>
      </c>
      <c r="C734" s="138"/>
      <c r="D734" s="34">
        <v>1</v>
      </c>
      <c r="E734" s="4">
        <v>18</v>
      </c>
      <c r="F734" s="4">
        <v>15</v>
      </c>
      <c r="G734" s="4">
        <v>21</v>
      </c>
      <c r="H734" s="34">
        <v>9.8995999999999995</v>
      </c>
      <c r="I734" s="4">
        <v>5.9999999999999995E-4</v>
      </c>
      <c r="J734" s="34">
        <v>-60.599200000000003</v>
      </c>
      <c r="K734" s="4">
        <v>8.9999999999999998E-4</v>
      </c>
      <c r="L734" s="4">
        <v>2.3E-2</v>
      </c>
      <c r="M734" s="4">
        <v>7.0000000000000001E-3</v>
      </c>
      <c r="N734" s="4">
        <v>-3.8E-3</v>
      </c>
      <c r="O734" s="4">
        <v>1E-4</v>
      </c>
      <c r="P734" s="4">
        <v>118.9</v>
      </c>
      <c r="Q734" s="4">
        <v>0.13</v>
      </c>
      <c r="R734" s="34">
        <f>P734*E734/G734^3</f>
        <v>0.23109815354713317</v>
      </c>
      <c r="S734" s="22">
        <f>Q734*E734/G734^3</f>
        <v>2.5267249757045674E-4</v>
      </c>
    </row>
    <row r="735" spans="1:19">
      <c r="A735" s="44" t="s">
        <v>1016</v>
      </c>
      <c r="B735" s="132" t="s">
        <v>1311</v>
      </c>
      <c r="C735" s="132" t="s">
        <v>765</v>
      </c>
      <c r="D735" s="45">
        <v>0.25</v>
      </c>
      <c r="E735" s="4">
        <v>18</v>
      </c>
      <c r="F735" s="4">
        <v>15</v>
      </c>
      <c r="G735" s="4">
        <v>21</v>
      </c>
      <c r="H735" s="45">
        <v>7.6043000000000003</v>
      </c>
      <c r="I735" s="4">
        <v>6.9999999999999999E-4</v>
      </c>
      <c r="J735" s="45">
        <v>-47.9268</v>
      </c>
      <c r="K735" s="4">
        <v>2.3E-3</v>
      </c>
      <c r="L735" s="4">
        <v>0.08</v>
      </c>
      <c r="M735" s="4">
        <v>1.2E-2</v>
      </c>
      <c r="N735" s="4">
        <v>-5.0000000000000001E-3</v>
      </c>
      <c r="O735" s="4">
        <v>1E-4</v>
      </c>
      <c r="P735" s="4">
        <v>121.93</v>
      </c>
      <c r="Q735" s="4">
        <v>0.1</v>
      </c>
      <c r="R735" s="45">
        <f>P735*E735/G735^3</f>
        <v>0.23698736637512149</v>
      </c>
      <c r="S735" s="22">
        <f>Q735*E735/G735^3</f>
        <v>1.9436345966958212E-4</v>
      </c>
    </row>
    <row r="736" spans="1:19">
      <c r="A736" s="23" t="s">
        <v>1016</v>
      </c>
      <c r="B736" s="129" t="s">
        <v>1311</v>
      </c>
      <c r="C736" s="129" t="s">
        <v>765</v>
      </c>
      <c r="D736" s="4">
        <v>0.5</v>
      </c>
      <c r="E736" s="4">
        <v>18</v>
      </c>
      <c r="F736" s="4">
        <v>15</v>
      </c>
      <c r="G736" s="4">
        <v>21</v>
      </c>
      <c r="H736" s="4">
        <v>8.1374999999999993</v>
      </c>
      <c r="I736" s="4">
        <v>6.9999999999999999E-4</v>
      </c>
      <c r="J736" s="4">
        <v>-53.333799999999997</v>
      </c>
      <c r="K736" s="4">
        <v>1.4E-3</v>
      </c>
      <c r="L736" s="4">
        <v>0.14899999999999999</v>
      </c>
      <c r="M736" s="4">
        <v>8.9999999999999993E-3</v>
      </c>
      <c r="N736" s="4">
        <v>-6.8999999999999999E-3</v>
      </c>
      <c r="O736" s="4">
        <v>1E-4</v>
      </c>
      <c r="P736" s="4">
        <v>111.03</v>
      </c>
      <c r="Q736" s="4">
        <v>0.28000000000000003</v>
      </c>
      <c r="R736" s="4">
        <f t="shared" si="56"/>
        <v>0.21580174927113702</v>
      </c>
      <c r="S736" s="22">
        <f t="shared" si="57"/>
        <v>5.4421768707483002E-4</v>
      </c>
    </row>
    <row r="737" spans="1:19">
      <c r="A737" s="44" t="s">
        <v>1017</v>
      </c>
      <c r="B737" s="132" t="s">
        <v>1312</v>
      </c>
      <c r="C737" s="132"/>
      <c r="D737" s="45">
        <v>0.25</v>
      </c>
      <c r="E737" s="4">
        <v>18</v>
      </c>
      <c r="F737" s="4">
        <v>15</v>
      </c>
      <c r="G737" s="4">
        <v>21</v>
      </c>
      <c r="H737" s="45">
        <v>7.7016999999999998</v>
      </c>
      <c r="I737" s="4">
        <v>4.0000000000000002E-4</v>
      </c>
      <c r="J737" s="45">
        <v>-47.557099999999998</v>
      </c>
      <c r="K737" s="4">
        <v>1.1000000000000001E-3</v>
      </c>
      <c r="L737" s="4">
        <v>0.03</v>
      </c>
      <c r="M737" s="4">
        <v>2E-3</v>
      </c>
      <c r="N737" s="4">
        <v>-4.4000000000000003E-3</v>
      </c>
      <c r="O737" s="4">
        <v>0</v>
      </c>
      <c r="P737" s="4">
        <v>124.13</v>
      </c>
      <c r="Q737" s="4">
        <v>0.04</v>
      </c>
      <c r="R737" s="45">
        <f>P737*E737/G737^3</f>
        <v>0.2412633624878523</v>
      </c>
      <c r="S737" s="22">
        <f>Q737*E737/G737^3</f>
        <v>7.7745383867832847E-5</v>
      </c>
    </row>
    <row r="738" spans="1:19">
      <c r="A738" s="23" t="s">
        <v>1017</v>
      </c>
      <c r="B738" s="129" t="s">
        <v>1312</v>
      </c>
      <c r="C738" s="129"/>
      <c r="D738" s="4">
        <v>0.5</v>
      </c>
      <c r="E738" s="4">
        <v>18</v>
      </c>
      <c r="F738" s="4">
        <v>15</v>
      </c>
      <c r="G738" s="4">
        <v>21</v>
      </c>
      <c r="H738" s="4">
        <v>8.3726000000000003</v>
      </c>
      <c r="I738" s="4">
        <v>4.0000000000000002E-4</v>
      </c>
      <c r="J738" s="4">
        <v>-52.091299999999997</v>
      </c>
      <c r="K738" s="4">
        <v>2.5999999999999999E-3</v>
      </c>
      <c r="L738" s="4">
        <v>0.06</v>
      </c>
      <c r="M738" s="4">
        <v>1.4999999999999999E-2</v>
      </c>
      <c r="N738" s="4">
        <v>-4.3E-3</v>
      </c>
      <c r="O738" s="4">
        <v>1E-4</v>
      </c>
      <c r="P738" s="4">
        <v>122.12</v>
      </c>
      <c r="Q738" s="4">
        <v>0.28000000000000003</v>
      </c>
      <c r="R738" s="4">
        <f>P738*E738/G738^3</f>
        <v>0.23735665694849367</v>
      </c>
      <c r="S738" s="22">
        <f t="shared" si="57"/>
        <v>5.4421768707483002E-4</v>
      </c>
    </row>
    <row r="739" spans="1:19">
      <c r="A739" s="28" t="s">
        <v>1017</v>
      </c>
      <c r="B739" s="130" t="s">
        <v>1312</v>
      </c>
      <c r="C739" s="130"/>
      <c r="D739" s="29">
        <v>0.75</v>
      </c>
      <c r="E739" s="4">
        <v>18</v>
      </c>
      <c r="F739" s="4">
        <v>15</v>
      </c>
      <c r="G739" s="4">
        <v>21</v>
      </c>
      <c r="H739" s="29">
        <v>9.0361999999999991</v>
      </c>
      <c r="I739" s="4">
        <v>6.9999999999999999E-4</v>
      </c>
      <c r="J739" s="29">
        <v>-56.782299999999999</v>
      </c>
      <c r="K739" s="4">
        <v>1.1999999999999999E-3</v>
      </c>
      <c r="L739" s="4">
        <v>7.0999999999999994E-2</v>
      </c>
      <c r="M739" s="4">
        <v>8.0000000000000002E-3</v>
      </c>
      <c r="N739" s="4">
        <v>-4.4999999999999997E-3</v>
      </c>
      <c r="O739" s="4">
        <v>1E-4</v>
      </c>
      <c r="P739" s="4">
        <v>118.97</v>
      </c>
      <c r="Q739" s="4">
        <v>0.1</v>
      </c>
      <c r="R739" s="29">
        <f>P739*E739/G739^3</f>
        <v>0.23123420796890184</v>
      </c>
      <c r="S739" s="22">
        <f>Q739*E739/G739^3</f>
        <v>1.9436345966958212E-4</v>
      </c>
    </row>
    <row r="740" spans="1:19">
      <c r="A740" s="33" t="s">
        <v>1017</v>
      </c>
      <c r="B740" s="138" t="s">
        <v>1312</v>
      </c>
      <c r="C740" s="138"/>
      <c r="D740" s="34">
        <v>1</v>
      </c>
      <c r="E740" s="4">
        <v>18</v>
      </c>
      <c r="F740" s="4">
        <v>15</v>
      </c>
      <c r="G740" s="4">
        <v>21</v>
      </c>
      <c r="H740" s="34">
        <v>9.6933000000000007</v>
      </c>
      <c r="I740" s="4">
        <v>1E-3</v>
      </c>
      <c r="J740" s="34">
        <v>-61.606299999999997</v>
      </c>
      <c r="K740" s="4">
        <v>3.0000000000000001E-3</v>
      </c>
      <c r="L740" s="4">
        <v>9.2999999999999999E-2</v>
      </c>
      <c r="M740" s="4">
        <v>8.0000000000000002E-3</v>
      </c>
      <c r="N740" s="4">
        <v>-4.7999999999999996E-3</v>
      </c>
      <c r="O740" s="4">
        <v>1E-4</v>
      </c>
      <c r="P740" s="4">
        <v>115.09</v>
      </c>
      <c r="Q740" s="4">
        <v>0.34</v>
      </c>
      <c r="R740" s="34">
        <f>P740*E740/G740^3</f>
        <v>0.22369290573372205</v>
      </c>
      <c r="S740" s="22">
        <f>Q740*E740/G740^3</f>
        <v>6.6083576287657921E-4</v>
      </c>
    </row>
    <row r="741" spans="1:19">
      <c r="A741" s="44" t="s">
        <v>1018</v>
      </c>
      <c r="B741" s="132" t="s">
        <v>1313</v>
      </c>
      <c r="C741" s="132" t="s">
        <v>30</v>
      </c>
      <c r="D741" s="45">
        <v>0.25</v>
      </c>
      <c r="E741" s="4">
        <v>18</v>
      </c>
      <c r="F741" s="4">
        <v>15</v>
      </c>
      <c r="G741" s="4">
        <v>21</v>
      </c>
      <c r="H741" s="45">
        <v>7.7526999999999999</v>
      </c>
      <c r="I741" s="4">
        <v>8.9999999999999998E-4</v>
      </c>
      <c r="J741" s="45">
        <v>-47.359400000000001</v>
      </c>
      <c r="K741" s="4">
        <v>4.0000000000000002E-4</v>
      </c>
      <c r="L741" s="4">
        <v>2.5000000000000001E-2</v>
      </c>
      <c r="M741" s="4">
        <v>8.0000000000000002E-3</v>
      </c>
      <c r="N741" s="4">
        <v>-4.4000000000000003E-3</v>
      </c>
      <c r="O741" s="4">
        <v>1E-4</v>
      </c>
      <c r="P741" s="4">
        <v>123.33</v>
      </c>
      <c r="Q741" s="4">
        <v>0.17</v>
      </c>
      <c r="R741" s="45">
        <f>P741*E741/G741^3</f>
        <v>0.23970845481049563</v>
      </c>
      <c r="S741" s="22">
        <f>Q741*E741/G741^3</f>
        <v>3.304178814382896E-4</v>
      </c>
    </row>
    <row r="742" spans="1:19">
      <c r="A742" s="23" t="s">
        <v>1018</v>
      </c>
      <c r="B742" s="129" t="s">
        <v>1313</v>
      </c>
      <c r="C742" s="129" t="s">
        <v>30</v>
      </c>
      <c r="D742" s="4">
        <v>0.5</v>
      </c>
      <c r="E742" s="4">
        <v>18</v>
      </c>
      <c r="F742" s="4">
        <v>15</v>
      </c>
      <c r="G742" s="4">
        <v>21</v>
      </c>
      <c r="H742" s="4">
        <v>8.4799000000000007</v>
      </c>
      <c r="I742" s="4">
        <v>5.0000000000000001E-4</v>
      </c>
      <c r="J742" s="4">
        <v>-51.807899999999997</v>
      </c>
      <c r="K742" s="4">
        <v>6.9999999999999999E-4</v>
      </c>
      <c r="L742" s="4">
        <v>2.8000000000000001E-2</v>
      </c>
      <c r="M742" s="4">
        <v>5.0000000000000001E-3</v>
      </c>
      <c r="N742" s="4">
        <v>-4.3E-3</v>
      </c>
      <c r="O742" s="4">
        <v>1E-4</v>
      </c>
      <c r="P742" s="4">
        <v>120.16</v>
      </c>
      <c r="Q742" s="4">
        <v>0.06</v>
      </c>
      <c r="R742" s="4">
        <f t="shared" ref="R742:R763" si="58">P742*E742/G742^3</f>
        <v>0.23354713313896988</v>
      </c>
      <c r="S742" s="22">
        <f t="shared" si="57"/>
        <v>1.1661807580174928E-4</v>
      </c>
    </row>
    <row r="743" spans="1:19">
      <c r="A743" s="28" t="s">
        <v>1018</v>
      </c>
      <c r="B743" s="130" t="s">
        <v>1313</v>
      </c>
      <c r="C743" s="130" t="s">
        <v>30</v>
      </c>
      <c r="D743" s="29">
        <v>0.75</v>
      </c>
      <c r="E743" s="4">
        <v>18</v>
      </c>
      <c r="F743" s="4">
        <v>15</v>
      </c>
      <c r="G743" s="4">
        <v>21</v>
      </c>
      <c r="H743" s="29">
        <v>9.2106999999999992</v>
      </c>
      <c r="I743" s="4">
        <v>5.9999999999999995E-4</v>
      </c>
      <c r="J743" s="29">
        <v>-56.490099999999998</v>
      </c>
      <c r="K743" s="4">
        <v>1.2999999999999999E-3</v>
      </c>
      <c r="L743" s="4">
        <v>2.7E-2</v>
      </c>
      <c r="M743" s="4">
        <v>4.0000000000000001E-3</v>
      </c>
      <c r="N743" s="4">
        <v>-4.4000000000000003E-3</v>
      </c>
      <c r="O743" s="4">
        <v>1E-4</v>
      </c>
      <c r="P743" s="4">
        <v>116.19</v>
      </c>
      <c r="Q743" s="4">
        <v>0.1</v>
      </c>
      <c r="R743" s="29">
        <f t="shared" si="58"/>
        <v>0.22583090379008747</v>
      </c>
      <c r="S743" s="22">
        <f t="shared" si="57"/>
        <v>1.9436345966958212E-4</v>
      </c>
    </row>
    <row r="744" spans="1:19">
      <c r="A744" s="33" t="s">
        <v>1018</v>
      </c>
      <c r="B744" s="138" t="s">
        <v>1313</v>
      </c>
      <c r="C744" s="138" t="s">
        <v>30</v>
      </c>
      <c r="D744" s="34">
        <v>1</v>
      </c>
      <c r="E744" s="4">
        <v>18</v>
      </c>
      <c r="F744" s="4">
        <v>15</v>
      </c>
      <c r="G744" s="4">
        <v>21</v>
      </c>
      <c r="H744" s="34">
        <v>9.9503000000000004</v>
      </c>
      <c r="I744" s="4">
        <v>1E-3</v>
      </c>
      <c r="J744" s="34">
        <v>-61.3673</v>
      </c>
      <c r="K744" s="4">
        <v>2.0999999999999999E-3</v>
      </c>
      <c r="L744" s="4">
        <v>3.5000000000000003E-2</v>
      </c>
      <c r="M744" s="4">
        <v>3.0000000000000001E-3</v>
      </c>
      <c r="N744" s="4">
        <v>-4.4999999999999997E-3</v>
      </c>
      <c r="O744" s="4">
        <v>0</v>
      </c>
      <c r="P744" s="4">
        <v>111.78</v>
      </c>
      <c r="Q744" s="4">
        <v>0.02</v>
      </c>
      <c r="R744" s="34">
        <f t="shared" si="58"/>
        <v>0.21725947521865888</v>
      </c>
      <c r="S744" s="22">
        <f t="shared" si="57"/>
        <v>3.8872691933916424E-5</v>
      </c>
    </row>
    <row r="745" spans="1:19">
      <c r="A745" s="133" t="s">
        <v>1019</v>
      </c>
      <c r="B745" s="132" t="s">
        <v>1314</v>
      </c>
      <c r="C745" s="132" t="s">
        <v>19</v>
      </c>
      <c r="D745" s="45">
        <v>0.25</v>
      </c>
      <c r="E745" s="4">
        <v>18</v>
      </c>
      <c r="F745" s="4">
        <v>15</v>
      </c>
      <c r="G745" s="4">
        <v>21</v>
      </c>
      <c r="H745" s="45">
        <v>7.5727000000000002</v>
      </c>
      <c r="I745" s="4">
        <v>5.0000000000000001E-4</v>
      </c>
      <c r="J745" s="45">
        <v>-47.710599999999999</v>
      </c>
      <c r="K745" s="4">
        <v>1.1999999999999999E-3</v>
      </c>
      <c r="L745" s="4">
        <v>7.0000000000000007E-2</v>
      </c>
      <c r="M745" s="4">
        <v>8.0000000000000002E-3</v>
      </c>
      <c r="N745" s="4">
        <v>-4.7000000000000002E-3</v>
      </c>
      <c r="O745" s="4">
        <v>1E-4</v>
      </c>
      <c r="P745" s="4">
        <v>123.62</v>
      </c>
      <c r="Q745" s="4">
        <v>0.31</v>
      </c>
      <c r="R745" s="45">
        <f t="shared" si="58"/>
        <v>0.24027210884353739</v>
      </c>
      <c r="S745" s="22">
        <f t="shared" si="57"/>
        <v>6.0252672497570462E-4</v>
      </c>
    </row>
    <row r="746" spans="1:19">
      <c r="A746" s="89" t="s">
        <v>1019</v>
      </c>
      <c r="B746" s="129" t="s">
        <v>1314</v>
      </c>
      <c r="C746" s="129" t="s">
        <v>19</v>
      </c>
      <c r="D746" s="4">
        <v>0.5</v>
      </c>
      <c r="E746" s="4">
        <v>18</v>
      </c>
      <c r="F746" s="4">
        <v>15</v>
      </c>
      <c r="G746" s="4">
        <v>21</v>
      </c>
      <c r="H746" s="4">
        <v>8.0940999999999992</v>
      </c>
      <c r="I746" s="4">
        <v>5.0000000000000001E-4</v>
      </c>
      <c r="J746" s="4">
        <v>-52.623399999999997</v>
      </c>
      <c r="K746" s="4">
        <v>1.6000000000000001E-3</v>
      </c>
      <c r="L746" s="4">
        <v>0.122</v>
      </c>
      <c r="M746" s="4">
        <v>3.0000000000000001E-3</v>
      </c>
      <c r="N746" s="4">
        <v>-5.4000000000000003E-3</v>
      </c>
      <c r="O746" s="4">
        <v>2.0000000000000001E-4</v>
      </c>
      <c r="P746" s="4">
        <v>118.63</v>
      </c>
      <c r="Q746" s="4">
        <v>0.3</v>
      </c>
      <c r="R746" s="4">
        <f t="shared" si="58"/>
        <v>0.23057337220602528</v>
      </c>
      <c r="S746" s="22">
        <f t="shared" si="57"/>
        <v>5.8309037900874635E-4</v>
      </c>
    </row>
    <row r="747" spans="1:19" ht="17" thickBot="1">
      <c r="A747" s="101" t="s">
        <v>1019</v>
      </c>
      <c r="B747" s="120" t="s">
        <v>1314</v>
      </c>
      <c r="C747" s="120" t="s">
        <v>19</v>
      </c>
      <c r="D747" s="9">
        <v>0.75</v>
      </c>
      <c r="E747" s="10">
        <v>18</v>
      </c>
      <c r="F747" s="10">
        <v>15</v>
      </c>
      <c r="G747" s="10">
        <v>21</v>
      </c>
      <c r="H747" s="107">
        <v>8.5876999999999999</v>
      </c>
      <c r="I747" s="10">
        <v>8.9999999999999998E-4</v>
      </c>
      <c r="J747" s="9">
        <v>-57.9604</v>
      </c>
      <c r="K747" s="10">
        <v>1.9E-3</v>
      </c>
      <c r="L747" s="10">
        <v>0.21</v>
      </c>
      <c r="M747" s="10">
        <v>8.0000000000000002E-3</v>
      </c>
      <c r="N747" s="10">
        <v>-6.7999999999999996E-3</v>
      </c>
      <c r="O747" s="10">
        <v>1E-4</v>
      </c>
      <c r="P747" s="10">
        <v>108.86</v>
      </c>
      <c r="Q747" s="10">
        <v>0.33</v>
      </c>
      <c r="R747" s="9">
        <f t="shared" si="58"/>
        <v>0.2115840621963071</v>
      </c>
      <c r="S747" s="26">
        <f t="shared" si="57"/>
        <v>6.4139941690962105E-4</v>
      </c>
    </row>
    <row r="748" spans="1:19" ht="17" thickTop="1">
      <c r="A748" s="102" t="s">
        <v>1020</v>
      </c>
      <c r="B748" s="119" t="s">
        <v>1315</v>
      </c>
      <c r="C748" s="119"/>
      <c r="D748" s="119">
        <v>0.25</v>
      </c>
      <c r="E748" s="7">
        <v>18</v>
      </c>
      <c r="F748" s="7">
        <v>16</v>
      </c>
      <c r="G748" s="7">
        <v>21</v>
      </c>
      <c r="H748" s="119">
        <v>8.0734999999999992</v>
      </c>
      <c r="I748" s="7">
        <v>6.9999999999999999E-4</v>
      </c>
      <c r="J748" s="119">
        <v>-49.399299999999997</v>
      </c>
      <c r="K748" s="7">
        <v>1.1999999999999999E-3</v>
      </c>
      <c r="L748" s="7">
        <v>2.9000000000000001E-2</v>
      </c>
      <c r="M748" s="7">
        <v>6.0000000000000001E-3</v>
      </c>
      <c r="N748" s="7">
        <v>-4.1000000000000003E-3</v>
      </c>
      <c r="O748" s="7">
        <v>1E-4</v>
      </c>
      <c r="P748" s="7">
        <v>124.16</v>
      </c>
      <c r="Q748" s="7">
        <v>0.14000000000000001</v>
      </c>
      <c r="R748" s="119">
        <f t="shared" si="58"/>
        <v>0.24132167152575318</v>
      </c>
      <c r="S748" s="18">
        <f t="shared" si="57"/>
        <v>2.7210884353741501E-4</v>
      </c>
    </row>
    <row r="749" spans="1:19">
      <c r="A749" s="23" t="s">
        <v>1020</v>
      </c>
      <c r="B749" s="4" t="s">
        <v>1315</v>
      </c>
      <c r="D749" s="4">
        <v>0.5</v>
      </c>
      <c r="E749" s="4">
        <v>18</v>
      </c>
      <c r="F749" s="4">
        <v>16</v>
      </c>
      <c r="G749" s="4">
        <v>21</v>
      </c>
      <c r="H749" s="4">
        <v>9.1234000000000002</v>
      </c>
      <c r="I749" s="4">
        <v>6.9999999999999999E-4</v>
      </c>
      <c r="J749" s="4">
        <v>-55.755299999999998</v>
      </c>
      <c r="K749" s="4">
        <v>6.9999999999999999E-4</v>
      </c>
      <c r="L749" s="4">
        <v>2.3E-2</v>
      </c>
      <c r="M749" s="4">
        <v>7.0000000000000001E-3</v>
      </c>
      <c r="N749" s="4">
        <v>-3.8999999999999998E-3</v>
      </c>
      <c r="O749" s="4">
        <v>1E-4</v>
      </c>
      <c r="P749" s="4">
        <v>122.27</v>
      </c>
      <c r="Q749" s="4">
        <v>0.14000000000000001</v>
      </c>
      <c r="R749" s="4">
        <f t="shared" si="58"/>
        <v>0.23764820213799806</v>
      </c>
      <c r="S749" s="22">
        <f t="shared" si="57"/>
        <v>2.7210884353741501E-4</v>
      </c>
    </row>
    <row r="750" spans="1:19">
      <c r="A750" s="28" t="s">
        <v>1020</v>
      </c>
      <c r="B750" s="29" t="s">
        <v>1315</v>
      </c>
      <c r="C750" s="29"/>
      <c r="D750" s="29">
        <v>0.75</v>
      </c>
      <c r="E750" s="4">
        <v>18</v>
      </c>
      <c r="F750" s="4">
        <v>16</v>
      </c>
      <c r="G750" s="4">
        <v>21</v>
      </c>
      <c r="H750" s="41">
        <v>10.169600000000001</v>
      </c>
      <c r="I750" s="4">
        <v>6.9999999999999999E-4</v>
      </c>
      <c r="J750" s="29">
        <v>-62.229900000000001</v>
      </c>
      <c r="K750" s="4">
        <v>2.0999999999999999E-3</v>
      </c>
      <c r="L750" s="4">
        <v>2.5000000000000001E-2</v>
      </c>
      <c r="M750" s="4">
        <v>5.0000000000000001E-3</v>
      </c>
      <c r="N750" s="4">
        <v>-3.7000000000000002E-3</v>
      </c>
      <c r="O750" s="4">
        <v>1E-4</v>
      </c>
      <c r="P750" s="4">
        <v>120.24</v>
      </c>
      <c r="Q750" s="4">
        <v>0.15</v>
      </c>
      <c r="R750" s="29">
        <f>P750*E750/G750^3</f>
        <v>0.23370262390670551</v>
      </c>
      <c r="S750" s="22">
        <f>Q750*E750/G750^3</f>
        <v>2.9154518950437317E-4</v>
      </c>
    </row>
    <row r="751" spans="1:19">
      <c r="A751" s="33" t="s">
        <v>1020</v>
      </c>
      <c r="B751" s="34" t="s">
        <v>1315</v>
      </c>
      <c r="C751" s="34"/>
      <c r="D751" s="34">
        <v>1</v>
      </c>
      <c r="E751" s="4">
        <v>18</v>
      </c>
      <c r="F751" s="4">
        <v>16</v>
      </c>
      <c r="G751" s="4">
        <v>21</v>
      </c>
      <c r="H751" s="38">
        <v>11.217000000000001</v>
      </c>
      <c r="I751" s="39">
        <v>5.9999999999999995E-4</v>
      </c>
      <c r="J751" s="38">
        <v>-68.789199999999994</v>
      </c>
      <c r="K751" s="39">
        <v>2.8E-3</v>
      </c>
      <c r="L751" s="39">
        <v>2.5000000000000001E-2</v>
      </c>
      <c r="M751" s="39">
        <v>7.0000000000000001E-3</v>
      </c>
      <c r="N751" s="39">
        <v>-3.3999999999999998E-3</v>
      </c>
      <c r="O751" s="39">
        <v>1E-4</v>
      </c>
      <c r="P751" s="39">
        <v>118.37</v>
      </c>
      <c r="Q751" s="39">
        <v>0.11</v>
      </c>
      <c r="R751" s="34">
        <f>P751*E751/G751^3</f>
        <v>0.23006802721088435</v>
      </c>
      <c r="S751" s="22">
        <f>Q751*E751/G751^3</f>
        <v>2.1379980563654034E-4</v>
      </c>
    </row>
    <row r="752" spans="1:19">
      <c r="A752" s="44" t="s">
        <v>1021</v>
      </c>
      <c r="B752" s="132" t="s">
        <v>1316</v>
      </c>
      <c r="C752" s="132" t="s">
        <v>765</v>
      </c>
      <c r="D752" s="45">
        <v>0.25</v>
      </c>
      <c r="E752" s="4">
        <v>18</v>
      </c>
      <c r="F752" s="4">
        <v>16</v>
      </c>
      <c r="G752" s="4">
        <v>21</v>
      </c>
      <c r="H752" s="45">
        <v>7.9500999999999999</v>
      </c>
      <c r="I752" s="4">
        <v>4.0000000000000002E-4</v>
      </c>
      <c r="J752" s="45">
        <v>-49.767899999999997</v>
      </c>
      <c r="K752" s="4">
        <v>2.2000000000000001E-3</v>
      </c>
      <c r="L752" s="4">
        <v>5.8999999999999997E-2</v>
      </c>
      <c r="M752" s="4">
        <v>1.2E-2</v>
      </c>
      <c r="N752" s="4">
        <v>-4.1999999999999997E-3</v>
      </c>
      <c r="O752" s="4">
        <v>2.0000000000000001E-4</v>
      </c>
      <c r="P752" s="4">
        <v>123.93</v>
      </c>
      <c r="Q752" s="4">
        <v>0.18</v>
      </c>
      <c r="R752" s="45">
        <f>P752*E752/G752^3</f>
        <v>0.24087463556851316</v>
      </c>
      <c r="S752" s="22">
        <f>Q752*E752/G752^3</f>
        <v>3.4985422740524776E-4</v>
      </c>
    </row>
    <row r="753" spans="1:19">
      <c r="A753" s="23" t="s">
        <v>1021</v>
      </c>
      <c r="B753" s="129" t="s">
        <v>1316</v>
      </c>
      <c r="C753" s="129" t="s">
        <v>765</v>
      </c>
      <c r="D753" s="4">
        <v>0.5</v>
      </c>
      <c r="E753" s="4">
        <v>18</v>
      </c>
      <c r="F753" s="4">
        <v>16</v>
      </c>
      <c r="G753" s="4">
        <v>21</v>
      </c>
      <c r="H753" s="4">
        <v>8.8575999999999997</v>
      </c>
      <c r="I753" s="4">
        <v>8.9999999999999998E-4</v>
      </c>
      <c r="J753" s="4">
        <v>-56.662300000000002</v>
      </c>
      <c r="K753" s="4">
        <v>2.8E-3</v>
      </c>
      <c r="L753" s="4">
        <v>9.1999999999999998E-2</v>
      </c>
      <c r="M753" s="4">
        <v>1.4999999999999999E-2</v>
      </c>
      <c r="N753" s="4">
        <v>-4.8999999999999998E-3</v>
      </c>
      <c r="O753" s="4">
        <v>2.0000000000000001E-4</v>
      </c>
      <c r="P753" s="4">
        <v>118.94</v>
      </c>
      <c r="Q753" s="4">
        <v>0.35</v>
      </c>
      <c r="R753" s="4">
        <f t="shared" si="58"/>
        <v>0.23117589893100099</v>
      </c>
      <c r="S753" s="22">
        <f t="shared" si="57"/>
        <v>6.8027210884353737E-4</v>
      </c>
    </row>
    <row r="754" spans="1:19">
      <c r="A754" s="44" t="s">
        <v>1022</v>
      </c>
      <c r="B754" s="45" t="s">
        <v>1317</v>
      </c>
      <c r="C754" s="45"/>
      <c r="D754" s="45">
        <v>0.25</v>
      </c>
      <c r="E754" s="4">
        <v>18</v>
      </c>
      <c r="F754" s="4">
        <v>16</v>
      </c>
      <c r="G754" s="4">
        <v>21</v>
      </c>
      <c r="H754" s="45">
        <v>8.0198999999999998</v>
      </c>
      <c r="I754" s="4">
        <v>5.9999999999999995E-4</v>
      </c>
      <c r="J754" s="45">
        <v>-49.602200000000003</v>
      </c>
      <c r="K754" s="4">
        <v>1.4E-3</v>
      </c>
      <c r="L754" s="4">
        <v>0.03</v>
      </c>
      <c r="M754" s="4">
        <v>4.0000000000000001E-3</v>
      </c>
      <c r="N754" s="4">
        <v>-4.1999999999999997E-3</v>
      </c>
      <c r="O754" s="4">
        <v>1E-4</v>
      </c>
      <c r="P754" s="4">
        <v>124.51</v>
      </c>
      <c r="Q754" s="4">
        <v>0.14000000000000001</v>
      </c>
      <c r="R754" s="45">
        <f>P754*E754/G754^3</f>
        <v>0.24200194363459673</v>
      </c>
      <c r="S754" s="22">
        <f>Q754*E754/G754^3</f>
        <v>2.7210884353741501E-4</v>
      </c>
    </row>
    <row r="755" spans="1:19">
      <c r="A755" s="23" t="s">
        <v>1022</v>
      </c>
      <c r="B755" s="4" t="s">
        <v>1317</v>
      </c>
      <c r="D755" s="4">
        <v>0.5</v>
      </c>
      <c r="E755" s="4">
        <v>18</v>
      </c>
      <c r="F755" s="4">
        <v>16</v>
      </c>
      <c r="G755" s="4">
        <v>21</v>
      </c>
      <c r="H755" s="4">
        <v>9.0152999999999999</v>
      </c>
      <c r="I755" s="4">
        <v>6.9999999999999999E-4</v>
      </c>
      <c r="J755" s="4">
        <v>-56.099499999999999</v>
      </c>
      <c r="K755" s="4">
        <v>2.2000000000000001E-3</v>
      </c>
      <c r="L755" s="4">
        <v>4.2000000000000003E-2</v>
      </c>
      <c r="M755" s="4">
        <v>6.0000000000000001E-3</v>
      </c>
      <c r="N755" s="4">
        <v>-3.8E-3</v>
      </c>
      <c r="O755" s="4">
        <v>0</v>
      </c>
      <c r="P755" s="4">
        <v>123.85</v>
      </c>
      <c r="Q755" s="4">
        <v>0.08</v>
      </c>
      <c r="R755" s="4">
        <f t="shared" si="58"/>
        <v>0.24071914480077741</v>
      </c>
      <c r="S755" s="22">
        <f t="shared" si="57"/>
        <v>1.5549076773566569E-4</v>
      </c>
    </row>
    <row r="756" spans="1:19">
      <c r="A756" s="28" t="s">
        <v>1022</v>
      </c>
      <c r="B756" s="29" t="s">
        <v>1317</v>
      </c>
      <c r="C756" s="29"/>
      <c r="D756" s="29">
        <v>0.75</v>
      </c>
      <c r="E756" s="4">
        <v>18</v>
      </c>
      <c r="F756" s="4">
        <v>16</v>
      </c>
      <c r="G756" s="4">
        <v>21</v>
      </c>
      <c r="H756" s="41">
        <v>10.0082</v>
      </c>
      <c r="I756" s="4">
        <v>1E-3</v>
      </c>
      <c r="J756" s="29">
        <v>-62.674300000000002</v>
      </c>
      <c r="K756" s="4">
        <v>5.0000000000000001E-4</v>
      </c>
      <c r="L756" s="4">
        <v>5.1999999999999998E-2</v>
      </c>
      <c r="M756" s="4">
        <v>6.0000000000000001E-3</v>
      </c>
      <c r="N756" s="4">
        <v>-3.5999999999999999E-3</v>
      </c>
      <c r="O756" s="4">
        <v>1E-4</v>
      </c>
      <c r="P756" s="4">
        <v>122.64</v>
      </c>
      <c r="Q756" s="4">
        <v>0.21</v>
      </c>
      <c r="R756" s="29">
        <f>P756*E756/G756^3</f>
        <v>0.23836734693877551</v>
      </c>
      <c r="S756" s="22">
        <f>Q756*E756/G756^3</f>
        <v>4.0816326530612241E-4</v>
      </c>
    </row>
    <row r="757" spans="1:19">
      <c r="A757" s="33" t="s">
        <v>1022</v>
      </c>
      <c r="B757" s="34" t="s">
        <v>1317</v>
      </c>
      <c r="C757" s="34"/>
      <c r="D757" s="34">
        <v>1</v>
      </c>
      <c r="E757" s="4">
        <v>18</v>
      </c>
      <c r="F757" s="4">
        <v>16</v>
      </c>
      <c r="G757" s="4">
        <v>21</v>
      </c>
      <c r="H757" s="38">
        <v>10.998200000000001</v>
      </c>
      <c r="I757" s="4">
        <v>1E-3</v>
      </c>
      <c r="J757" s="34">
        <v>-69.308199999999999</v>
      </c>
      <c r="K757" s="4">
        <v>2E-3</v>
      </c>
      <c r="L757" s="4">
        <v>6.7000000000000004E-2</v>
      </c>
      <c r="M757" s="4">
        <v>4.0000000000000001E-3</v>
      </c>
      <c r="N757" s="4">
        <v>-3.3999999999999998E-3</v>
      </c>
      <c r="O757" s="4">
        <v>1E-4</v>
      </c>
      <c r="P757" s="4">
        <v>121.37</v>
      </c>
      <c r="Q757" s="4">
        <v>0.13</v>
      </c>
      <c r="R757" s="34">
        <f>P757*E757/G757^3</f>
        <v>0.23589893100097181</v>
      </c>
      <c r="S757" s="22">
        <f>Q757*E757/G757^3</f>
        <v>2.5267249757045674E-4</v>
      </c>
    </row>
    <row r="758" spans="1:19">
      <c r="A758" s="44" t="s">
        <v>1023</v>
      </c>
      <c r="B758" s="132" t="s">
        <v>1318</v>
      </c>
      <c r="C758" s="132" t="s">
        <v>30</v>
      </c>
      <c r="D758" s="45">
        <v>0.25</v>
      </c>
      <c r="E758" s="4">
        <v>18</v>
      </c>
      <c r="F758" s="4">
        <v>16</v>
      </c>
      <c r="G758" s="4">
        <v>21</v>
      </c>
      <c r="H758" s="45">
        <v>8.0747999999999998</v>
      </c>
      <c r="I758" s="4">
        <v>6.9999999999999999E-4</v>
      </c>
      <c r="J758" s="45">
        <v>-49.396099999999997</v>
      </c>
      <c r="K758" s="4">
        <v>2.0999999999999999E-3</v>
      </c>
      <c r="L758" s="4">
        <v>0.03</v>
      </c>
      <c r="M758" s="4">
        <v>1.2999999999999999E-2</v>
      </c>
      <c r="N758" s="4">
        <v>-4.1999999999999997E-3</v>
      </c>
      <c r="O758" s="4">
        <v>1E-4</v>
      </c>
      <c r="P758" s="4">
        <v>123.97</v>
      </c>
      <c r="Q758" s="4">
        <v>0.18</v>
      </c>
      <c r="R758" s="45">
        <f>P758*E758/G758^3</f>
        <v>0.24095238095238095</v>
      </c>
      <c r="S758" s="22">
        <f>Q758*E758/G758^3</f>
        <v>3.4985422740524776E-4</v>
      </c>
    </row>
    <row r="759" spans="1:19">
      <c r="A759" s="23" t="s">
        <v>1023</v>
      </c>
      <c r="B759" s="129" t="s">
        <v>1318</v>
      </c>
      <c r="C759" s="129" t="s">
        <v>30</v>
      </c>
      <c r="D759" s="4">
        <v>0.5</v>
      </c>
      <c r="E759" s="4">
        <v>18</v>
      </c>
      <c r="F759" s="4">
        <v>16</v>
      </c>
      <c r="G759" s="4">
        <v>21</v>
      </c>
      <c r="H759" s="4">
        <v>9.1250999999999998</v>
      </c>
      <c r="I759" s="4">
        <v>8.9999999999999998E-4</v>
      </c>
      <c r="J759" s="4">
        <v>-55.747500000000002</v>
      </c>
      <c r="K759" s="4">
        <v>1.2999999999999999E-3</v>
      </c>
      <c r="L759" s="4">
        <v>2.3E-2</v>
      </c>
      <c r="M759" s="4">
        <v>4.0000000000000001E-3</v>
      </c>
      <c r="N759" s="4">
        <v>-3.8999999999999998E-3</v>
      </c>
      <c r="O759" s="4">
        <v>0</v>
      </c>
      <c r="P759" s="4">
        <v>122.25</v>
      </c>
      <c r="Q759" s="4">
        <v>0.11</v>
      </c>
      <c r="R759" s="4">
        <f t="shared" si="58"/>
        <v>0.23760932944606414</v>
      </c>
      <c r="S759" s="22">
        <f t="shared" si="57"/>
        <v>2.1379980563654034E-4</v>
      </c>
    </row>
    <row r="760" spans="1:19">
      <c r="A760" s="28" t="s">
        <v>1023</v>
      </c>
      <c r="B760" s="130" t="s">
        <v>1318</v>
      </c>
      <c r="C760" s="130" t="s">
        <v>30</v>
      </c>
      <c r="D760" s="29">
        <v>0.75</v>
      </c>
      <c r="E760" s="4">
        <v>18</v>
      </c>
      <c r="F760" s="4">
        <v>16</v>
      </c>
      <c r="G760" s="4">
        <v>21</v>
      </c>
      <c r="H760" s="29">
        <v>10.172599999999999</v>
      </c>
      <c r="I760" s="4">
        <v>5.0000000000000001E-4</v>
      </c>
      <c r="J760" s="29">
        <v>-62.216200000000001</v>
      </c>
      <c r="K760" s="4">
        <v>8.9999999999999998E-4</v>
      </c>
      <c r="L760" s="4">
        <v>2.5999999999999999E-2</v>
      </c>
      <c r="M760" s="4">
        <v>3.0000000000000001E-3</v>
      </c>
      <c r="N760" s="4">
        <v>-3.5999999999999999E-3</v>
      </c>
      <c r="O760" s="4">
        <v>1E-4</v>
      </c>
      <c r="P760" s="4">
        <v>120.44</v>
      </c>
      <c r="Q760" s="4">
        <v>0.08</v>
      </c>
      <c r="R760" s="29">
        <f>P760*E760/G760^3</f>
        <v>0.23409135082604471</v>
      </c>
      <c r="S760" s="22">
        <f>Q760*E760/G760^3</f>
        <v>1.5549076773566569E-4</v>
      </c>
    </row>
    <row r="761" spans="1:19">
      <c r="A761" s="33" t="s">
        <v>1023</v>
      </c>
      <c r="B761" s="138" t="s">
        <v>1318</v>
      </c>
      <c r="C761" s="138" t="s">
        <v>30</v>
      </c>
      <c r="D761" s="34">
        <v>1</v>
      </c>
      <c r="E761" s="4">
        <v>18</v>
      </c>
      <c r="F761" s="4">
        <v>16</v>
      </c>
      <c r="G761" s="4">
        <v>21</v>
      </c>
      <c r="H761" s="35">
        <v>11.223699999999999</v>
      </c>
      <c r="I761" s="4">
        <v>5.0000000000000001E-4</v>
      </c>
      <c r="J761" s="34">
        <v>-68.7654</v>
      </c>
      <c r="K761" s="4">
        <v>1.5E-3</v>
      </c>
      <c r="L761" s="4">
        <v>3.7999999999999999E-2</v>
      </c>
      <c r="M761" s="4">
        <v>7.0000000000000001E-3</v>
      </c>
      <c r="N761" s="4">
        <v>-3.5000000000000001E-3</v>
      </c>
      <c r="O761" s="4">
        <v>1E-4</v>
      </c>
      <c r="P761" s="4">
        <v>118.29</v>
      </c>
      <c r="Q761" s="4">
        <v>0.12</v>
      </c>
      <c r="R761" s="34">
        <f>P761*E761/G761^3</f>
        <v>0.22991253644314871</v>
      </c>
      <c r="S761" s="22">
        <f>Q761*E761/G761^3</f>
        <v>2.3323615160349855E-4</v>
      </c>
    </row>
    <row r="762" spans="1:19">
      <c r="A762" s="44" t="s">
        <v>1024</v>
      </c>
      <c r="B762" s="132" t="s">
        <v>1319</v>
      </c>
      <c r="C762" s="132" t="s">
        <v>19</v>
      </c>
      <c r="D762" s="45">
        <v>0.25</v>
      </c>
      <c r="E762" s="4">
        <v>18</v>
      </c>
      <c r="F762" s="4">
        <v>16</v>
      </c>
      <c r="G762" s="4">
        <v>21</v>
      </c>
      <c r="H762" s="45">
        <v>7.9322999999999997</v>
      </c>
      <c r="I762" s="4">
        <v>8.0000000000000004E-4</v>
      </c>
      <c r="J762" s="45">
        <v>-49.610799999999998</v>
      </c>
      <c r="K762" s="4">
        <v>2.0999999999999999E-3</v>
      </c>
      <c r="L762" s="4">
        <v>4.8000000000000001E-2</v>
      </c>
      <c r="M762" s="4">
        <v>5.0000000000000001E-3</v>
      </c>
      <c r="N762" s="4">
        <v>-4.4000000000000003E-3</v>
      </c>
      <c r="O762" s="4">
        <v>1E-4</v>
      </c>
      <c r="P762" s="4">
        <v>124.29</v>
      </c>
      <c r="Q762" s="4">
        <v>0.1</v>
      </c>
      <c r="R762" s="45">
        <f>P762*E762/G762^3</f>
        <v>0.24157434402332364</v>
      </c>
      <c r="S762" s="22">
        <f>Q762*E762/G762^3</f>
        <v>1.9436345966958212E-4</v>
      </c>
    </row>
    <row r="763" spans="1:19">
      <c r="A763" s="23" t="s">
        <v>1024</v>
      </c>
      <c r="B763" s="129" t="s">
        <v>1319</v>
      </c>
      <c r="C763" s="129" t="s">
        <v>19</v>
      </c>
      <c r="D763" s="4">
        <v>0.5</v>
      </c>
      <c r="E763" s="4">
        <v>18</v>
      </c>
      <c r="F763" s="4">
        <v>16</v>
      </c>
      <c r="G763" s="4">
        <v>21</v>
      </c>
      <c r="H763" s="4">
        <v>8.8298000000000005</v>
      </c>
      <c r="I763" s="4">
        <v>6.9999999999999999E-4</v>
      </c>
      <c r="J763" s="4">
        <v>-56.205500000000001</v>
      </c>
      <c r="K763" s="4">
        <v>3.3E-3</v>
      </c>
      <c r="L763" s="4">
        <v>7.8E-2</v>
      </c>
      <c r="M763" s="4">
        <v>6.0000000000000001E-3</v>
      </c>
      <c r="N763" s="4">
        <v>-4.4999999999999997E-3</v>
      </c>
      <c r="O763" s="4">
        <v>1E-4</v>
      </c>
      <c r="P763" s="4">
        <v>122.08</v>
      </c>
      <c r="Q763" s="4">
        <v>0.22</v>
      </c>
      <c r="R763" s="4">
        <f t="shared" si="58"/>
        <v>0.23727891156462586</v>
      </c>
      <c r="S763" s="22">
        <f t="shared" si="57"/>
        <v>4.2759961127308068E-4</v>
      </c>
    </row>
    <row r="764" spans="1:19" ht="17" thickBot="1">
      <c r="A764" s="25" t="s">
        <v>1024</v>
      </c>
      <c r="B764" s="120" t="s">
        <v>1319</v>
      </c>
      <c r="C764" s="120" t="s">
        <v>19</v>
      </c>
      <c r="D764" s="9">
        <v>0.75</v>
      </c>
      <c r="E764" s="10">
        <v>18</v>
      </c>
      <c r="F764" s="10">
        <v>16</v>
      </c>
      <c r="G764" s="10">
        <v>21</v>
      </c>
      <c r="H764" s="9">
        <v>9.7148000000000003</v>
      </c>
      <c r="I764" s="10">
        <v>8.0000000000000004E-4</v>
      </c>
      <c r="J764" s="9">
        <v>-62.9559</v>
      </c>
      <c r="K764" s="10">
        <v>2.2000000000000001E-3</v>
      </c>
      <c r="L764" s="10">
        <v>0.114</v>
      </c>
      <c r="M764" s="10">
        <v>2E-3</v>
      </c>
      <c r="N764" s="10">
        <v>-4.4000000000000003E-3</v>
      </c>
      <c r="O764" s="10">
        <v>1E-4</v>
      </c>
      <c r="P764" s="10">
        <v>119.41</v>
      </c>
      <c r="Q764" s="10">
        <v>0.1</v>
      </c>
      <c r="R764" s="9">
        <f>P764*E764/G764^3</f>
        <v>0.23208940719144802</v>
      </c>
      <c r="S764" s="26">
        <f>Q764*E764/G764^3</f>
        <v>1.9436345966958212E-4</v>
      </c>
    </row>
    <row r="765" spans="1:19" ht="17" thickTop="1">
      <c r="A765" s="27" t="s">
        <v>1025</v>
      </c>
      <c r="B765" s="118" t="s">
        <v>1320</v>
      </c>
      <c r="C765" s="118"/>
      <c r="D765" s="5">
        <v>0.25</v>
      </c>
      <c r="E765" s="7">
        <v>18</v>
      </c>
      <c r="F765" s="7">
        <v>17</v>
      </c>
      <c r="G765" s="7">
        <v>21</v>
      </c>
      <c r="H765" s="5">
        <v>8.4123000000000001</v>
      </c>
      <c r="I765" s="7">
        <v>2.9999999999999997E-4</v>
      </c>
      <c r="J765" s="5">
        <v>-51.6511</v>
      </c>
      <c r="K765" s="7">
        <v>8.9999999999999998E-4</v>
      </c>
      <c r="L765" s="7">
        <v>2.8000000000000001E-2</v>
      </c>
      <c r="M765" s="7">
        <v>6.0000000000000001E-3</v>
      </c>
      <c r="N765" s="7">
        <v>-3.8999999999999998E-3</v>
      </c>
      <c r="O765" s="7">
        <v>1E-4</v>
      </c>
      <c r="P765" s="7">
        <v>124.77</v>
      </c>
      <c r="Q765" s="7">
        <v>0.24</v>
      </c>
      <c r="R765" s="119">
        <f>P765*E765/G765^3</f>
        <v>0.24250728862973761</v>
      </c>
      <c r="S765" s="18">
        <f>Q765*E765/G765^3</f>
        <v>4.6647230320699711E-4</v>
      </c>
    </row>
    <row r="766" spans="1:19">
      <c r="A766" s="23" t="s">
        <v>1025</v>
      </c>
      <c r="B766" s="129" t="s">
        <v>1320</v>
      </c>
      <c r="C766" s="129"/>
      <c r="D766" s="4">
        <v>0.5</v>
      </c>
      <c r="E766" s="4">
        <v>18</v>
      </c>
      <c r="F766" s="4">
        <v>17</v>
      </c>
      <c r="G766" s="4">
        <v>21</v>
      </c>
      <c r="H766" s="4">
        <v>9.8030000000000008</v>
      </c>
      <c r="I766" s="4">
        <v>5.0000000000000001E-4</v>
      </c>
      <c r="J766" s="4">
        <v>-60.152500000000003</v>
      </c>
      <c r="K766" s="4">
        <v>2E-3</v>
      </c>
      <c r="L766" s="4">
        <v>2.3E-2</v>
      </c>
      <c r="M766" s="4">
        <v>3.0000000000000001E-3</v>
      </c>
      <c r="N766" s="4">
        <v>-3.3999999999999998E-3</v>
      </c>
      <c r="O766" s="4">
        <v>1E-4</v>
      </c>
      <c r="P766" s="4">
        <v>124.13</v>
      </c>
      <c r="Q766" s="4">
        <v>0.21</v>
      </c>
      <c r="R766" s="4">
        <f t="shared" ref="R766:R778" si="59">P766*E766/G766^3</f>
        <v>0.2412633624878523</v>
      </c>
      <c r="S766" s="22">
        <f t="shared" ref="S766:S778" si="60">Q766*E766/G766^3</f>
        <v>4.0816326530612241E-4</v>
      </c>
    </row>
    <row r="767" spans="1:19">
      <c r="A767" s="28" t="s">
        <v>1025</v>
      </c>
      <c r="B767" s="130" t="s">
        <v>1320</v>
      </c>
      <c r="C767" s="130"/>
      <c r="D767" s="29">
        <v>0.75</v>
      </c>
      <c r="E767" s="4">
        <v>18</v>
      </c>
      <c r="F767" s="4">
        <v>17</v>
      </c>
      <c r="G767" s="4">
        <v>21</v>
      </c>
      <c r="H767" s="29">
        <v>11.1906</v>
      </c>
      <c r="I767" s="4">
        <v>1E-3</v>
      </c>
      <c r="J767" s="29">
        <v>-68.692599999999999</v>
      </c>
      <c r="K767" s="4">
        <v>8.9999999999999998E-4</v>
      </c>
      <c r="L767" s="4">
        <v>2.3E-2</v>
      </c>
      <c r="M767" s="4">
        <v>3.0000000000000001E-3</v>
      </c>
      <c r="N767" s="4">
        <v>-3.0999999999999999E-3</v>
      </c>
      <c r="O767" s="4">
        <v>0</v>
      </c>
      <c r="P767" s="4">
        <v>123.49</v>
      </c>
      <c r="Q767" s="4">
        <v>0.16</v>
      </c>
      <c r="R767" s="29">
        <f>P767*E767/G767^3</f>
        <v>0.24001943634596692</v>
      </c>
      <c r="S767" s="22">
        <f>Q767*E767/G767^3</f>
        <v>3.1098153547133139E-4</v>
      </c>
    </row>
    <row r="768" spans="1:19">
      <c r="A768" s="33" t="s">
        <v>1025</v>
      </c>
      <c r="B768" s="138" t="s">
        <v>1320</v>
      </c>
      <c r="C768" s="138"/>
      <c r="D768" s="34">
        <v>1</v>
      </c>
      <c r="E768" s="4">
        <v>18</v>
      </c>
      <c r="F768" s="4">
        <v>17</v>
      </c>
      <c r="G768" s="4">
        <v>21</v>
      </c>
      <c r="H768" s="34">
        <v>12.5825</v>
      </c>
      <c r="I768" s="4">
        <v>6.9999999999999999E-4</v>
      </c>
      <c r="J768" s="34">
        <v>-77.248800000000003</v>
      </c>
      <c r="K768" s="4">
        <v>1.4E-3</v>
      </c>
      <c r="L768" s="4">
        <v>0.06</v>
      </c>
      <c r="M768" s="4">
        <v>5.0000000000000001E-3</v>
      </c>
      <c r="N768" s="4">
        <v>-2.7000000000000001E-3</v>
      </c>
      <c r="O768" s="4">
        <v>0</v>
      </c>
      <c r="P768" s="4">
        <v>122.99</v>
      </c>
      <c r="Q768" s="4">
        <v>0.05</v>
      </c>
      <c r="R768" s="34">
        <f>P768*E768/G768^3</f>
        <v>0.23904761904761901</v>
      </c>
      <c r="S768" s="22">
        <f>Q768*E768/G768^3</f>
        <v>9.7181729834791062E-5</v>
      </c>
    </row>
    <row r="769" spans="1:19">
      <c r="A769" s="19" t="s">
        <v>1026</v>
      </c>
      <c r="B769" s="131" t="s">
        <v>1321</v>
      </c>
      <c r="C769" s="131" t="s">
        <v>17</v>
      </c>
      <c r="D769" s="20">
        <v>0.25</v>
      </c>
      <c r="E769" s="4">
        <v>18</v>
      </c>
      <c r="F769" s="4">
        <v>17</v>
      </c>
      <c r="G769" s="4">
        <v>21</v>
      </c>
      <c r="H769" s="20">
        <v>8.3407999999999998</v>
      </c>
      <c r="I769" s="4">
        <v>8.0000000000000004E-4</v>
      </c>
      <c r="J769" s="20">
        <v>-51.756999999999998</v>
      </c>
      <c r="K769" s="4">
        <v>2.2000000000000001E-3</v>
      </c>
      <c r="L769" s="4">
        <v>6.4000000000000001E-2</v>
      </c>
      <c r="M769" s="4">
        <v>4.0000000000000001E-3</v>
      </c>
      <c r="N769" s="4">
        <v>-4.1000000000000003E-3</v>
      </c>
      <c r="O769" s="4">
        <v>1E-4</v>
      </c>
      <c r="P769" s="4">
        <v>124.49</v>
      </c>
      <c r="Q769" s="4">
        <v>0.13</v>
      </c>
      <c r="R769" s="45">
        <f>P769*E769/G769^3</f>
        <v>0.24196307094266276</v>
      </c>
      <c r="S769" s="22">
        <f>Q769*E769/G769^3</f>
        <v>2.5267249757045674E-4</v>
      </c>
    </row>
    <row r="770" spans="1:19">
      <c r="A770" s="23" t="s">
        <v>1026</v>
      </c>
      <c r="B770" s="129" t="s">
        <v>1321</v>
      </c>
      <c r="C770" s="129" t="s">
        <v>17</v>
      </c>
      <c r="D770" s="4">
        <v>0.5</v>
      </c>
      <c r="E770" s="4">
        <v>18</v>
      </c>
      <c r="F770" s="4">
        <v>17</v>
      </c>
      <c r="G770" s="4">
        <v>21</v>
      </c>
      <c r="H770" s="4">
        <v>9.6492000000000004</v>
      </c>
      <c r="I770" s="4">
        <v>1E-3</v>
      </c>
      <c r="J770" s="4">
        <v>-60.415100000000002</v>
      </c>
      <c r="K770" s="4">
        <v>1.9E-3</v>
      </c>
      <c r="L770" s="4">
        <v>4.5999999999999999E-2</v>
      </c>
      <c r="M770" s="4">
        <v>8.0000000000000002E-3</v>
      </c>
      <c r="N770" s="4">
        <v>-3.7000000000000002E-3</v>
      </c>
      <c r="O770" s="4">
        <v>1E-4</v>
      </c>
      <c r="P770" s="4">
        <v>123.49</v>
      </c>
      <c r="Q770" s="4">
        <v>0.17</v>
      </c>
      <c r="R770" s="4">
        <f t="shared" si="59"/>
        <v>0.24001943634596692</v>
      </c>
      <c r="S770" s="22">
        <f t="shared" si="60"/>
        <v>3.304178814382896E-4</v>
      </c>
    </row>
    <row r="771" spans="1:19">
      <c r="A771" s="28" t="s">
        <v>1026</v>
      </c>
      <c r="B771" s="130" t="s">
        <v>1321</v>
      </c>
      <c r="C771" s="130" t="s">
        <v>17</v>
      </c>
      <c r="D771" s="29">
        <v>0.75</v>
      </c>
      <c r="E771" s="4">
        <v>18</v>
      </c>
      <c r="F771" s="4">
        <v>17</v>
      </c>
      <c r="G771" s="4">
        <v>21</v>
      </c>
      <c r="H771" s="29">
        <v>10.9573</v>
      </c>
      <c r="I771" s="4">
        <v>5.0000000000000001E-4</v>
      </c>
      <c r="J771" s="29">
        <v>-69.134699999999995</v>
      </c>
      <c r="K771" s="4">
        <v>1.4E-3</v>
      </c>
      <c r="L771" s="4">
        <v>7.6999999999999999E-2</v>
      </c>
      <c r="M771" s="4">
        <v>8.0000000000000002E-3</v>
      </c>
      <c r="N771" s="4">
        <v>-3.5000000000000001E-3</v>
      </c>
      <c r="O771" s="4">
        <v>1E-4</v>
      </c>
      <c r="P771" s="4">
        <v>121.92</v>
      </c>
      <c r="Q771" s="4">
        <v>0.17</v>
      </c>
      <c r="R771" s="29">
        <f>P771*E771/G771^3</f>
        <v>0.23696793002915451</v>
      </c>
      <c r="S771" s="22">
        <f>Q771*E771/G771^3</f>
        <v>3.304178814382896E-4</v>
      </c>
    </row>
    <row r="772" spans="1:19">
      <c r="A772" s="33" t="s">
        <v>1026</v>
      </c>
      <c r="B772" s="138" t="s">
        <v>1321</v>
      </c>
      <c r="C772" s="138" t="s">
        <v>17</v>
      </c>
      <c r="D772" s="34">
        <v>1</v>
      </c>
      <c r="E772" s="4">
        <v>18</v>
      </c>
      <c r="F772" s="4">
        <v>17</v>
      </c>
      <c r="G772" s="4">
        <v>21</v>
      </c>
      <c r="H772" s="34">
        <v>12.2652</v>
      </c>
      <c r="I772" s="4">
        <v>8.9999999999999998E-4</v>
      </c>
      <c r="J772" s="34">
        <v>-77.894999999999996</v>
      </c>
      <c r="K772" s="4">
        <v>2.3999999999999998E-3</v>
      </c>
      <c r="L772" s="4">
        <v>0.114</v>
      </c>
      <c r="M772" s="4">
        <v>8.9999999999999993E-3</v>
      </c>
      <c r="N772" s="4">
        <v>-3.3999999999999998E-3</v>
      </c>
      <c r="O772" s="4">
        <v>1E-4</v>
      </c>
      <c r="P772" s="4">
        <v>120.41</v>
      </c>
      <c r="Q772" s="4">
        <v>0.16</v>
      </c>
      <c r="R772" s="34">
        <f>P772*E772/G772^3</f>
        <v>0.23403304178814385</v>
      </c>
      <c r="S772" s="22">
        <f>Q772*E772/G772^3</f>
        <v>3.1098153547133139E-4</v>
      </c>
    </row>
    <row r="773" spans="1:19">
      <c r="A773" s="19" t="s">
        <v>1027</v>
      </c>
      <c r="B773" s="131" t="s">
        <v>1322</v>
      </c>
      <c r="C773" s="131"/>
      <c r="D773" s="20">
        <v>0.25</v>
      </c>
      <c r="E773" s="4">
        <v>18</v>
      </c>
      <c r="F773" s="4">
        <v>17</v>
      </c>
      <c r="G773" s="4">
        <v>21</v>
      </c>
      <c r="H773" s="20">
        <v>8.3842999999999996</v>
      </c>
      <c r="I773" s="4">
        <v>6.9999999999999999E-4</v>
      </c>
      <c r="J773" s="20">
        <v>-51.766500000000001</v>
      </c>
      <c r="K773" s="4">
        <v>2.2000000000000001E-3</v>
      </c>
      <c r="L773" s="4">
        <v>3.5000000000000003E-2</v>
      </c>
      <c r="M773" s="4">
        <v>4.0000000000000001E-3</v>
      </c>
      <c r="N773" s="4">
        <v>-4.0000000000000001E-3</v>
      </c>
      <c r="O773" s="4">
        <v>0</v>
      </c>
      <c r="P773" s="4">
        <v>124.66</v>
      </c>
      <c r="Q773" s="4">
        <v>0.05</v>
      </c>
      <c r="R773" s="45">
        <f>P773*E773/G773^3</f>
        <v>0.24229348882410109</v>
      </c>
      <c r="S773" s="22">
        <f>Q773*E773/G773^3</f>
        <v>9.7181729834791062E-5</v>
      </c>
    </row>
    <row r="774" spans="1:19">
      <c r="A774" s="23" t="s">
        <v>1027</v>
      </c>
      <c r="B774" s="129" t="s">
        <v>1322</v>
      </c>
      <c r="C774" s="129"/>
      <c r="D774" s="4">
        <v>0.5</v>
      </c>
      <c r="E774" s="4">
        <v>18</v>
      </c>
      <c r="F774" s="4">
        <v>17</v>
      </c>
      <c r="G774" s="4">
        <v>21</v>
      </c>
      <c r="H774" s="4">
        <v>9.7447999999999997</v>
      </c>
      <c r="I774" s="4">
        <v>8.9999999999999998E-4</v>
      </c>
      <c r="J774" s="4">
        <v>-60.395400000000002</v>
      </c>
      <c r="K774" s="4">
        <v>2.8E-3</v>
      </c>
      <c r="L774" s="4">
        <v>0.04</v>
      </c>
      <c r="M774" s="4">
        <v>2.7E-2</v>
      </c>
      <c r="N774" s="4">
        <v>-3.5000000000000001E-3</v>
      </c>
      <c r="O774" s="4">
        <v>2.0000000000000001E-4</v>
      </c>
      <c r="P774" s="4">
        <v>123.99</v>
      </c>
      <c r="Q774" s="4">
        <v>0.44</v>
      </c>
      <c r="R774" s="4">
        <f t="shared" si="59"/>
        <v>0.24099125364431484</v>
      </c>
      <c r="S774" s="22">
        <f t="shared" si="60"/>
        <v>8.5519922254616136E-4</v>
      </c>
    </row>
    <row r="775" spans="1:19">
      <c r="A775" s="28" t="s">
        <v>1027</v>
      </c>
      <c r="B775" s="130" t="s">
        <v>1322</v>
      </c>
      <c r="C775" s="130"/>
      <c r="D775" s="29">
        <v>0.75</v>
      </c>
      <c r="E775" s="4">
        <v>18</v>
      </c>
      <c r="F775" s="4">
        <v>17</v>
      </c>
      <c r="G775" s="4">
        <v>21</v>
      </c>
      <c r="H775" s="29">
        <v>11.101599999999999</v>
      </c>
      <c r="I775" s="4">
        <v>8.0000000000000004E-4</v>
      </c>
      <c r="J775" s="29">
        <v>-69.069699999999997</v>
      </c>
      <c r="K775" s="4">
        <v>2.3999999999999998E-3</v>
      </c>
      <c r="L775" s="4">
        <v>5.5E-2</v>
      </c>
      <c r="M775" s="4">
        <v>0.01</v>
      </c>
      <c r="N775" s="4">
        <v>-3.2000000000000002E-3</v>
      </c>
      <c r="O775" s="4">
        <v>1E-4</v>
      </c>
      <c r="P775" s="4">
        <v>123.11</v>
      </c>
      <c r="Q775" s="4">
        <v>0.28999999999999998</v>
      </c>
      <c r="R775" s="29">
        <f>P775*E775/G775^3</f>
        <v>0.23928085519922254</v>
      </c>
      <c r="S775" s="22">
        <f>Q775*E775/G775^3</f>
        <v>5.6365403304178808E-4</v>
      </c>
    </row>
    <row r="776" spans="1:19">
      <c r="A776" s="33" t="s">
        <v>1027</v>
      </c>
      <c r="B776" s="138" t="s">
        <v>1322</v>
      </c>
      <c r="C776" s="138"/>
      <c r="D776" s="34">
        <v>1</v>
      </c>
      <c r="E776" s="4">
        <v>18</v>
      </c>
      <c r="F776" s="4">
        <v>17</v>
      </c>
      <c r="G776" s="4">
        <v>21</v>
      </c>
      <c r="H776" s="34">
        <v>12.4589</v>
      </c>
      <c r="I776" s="4">
        <v>8.9999999999999998E-4</v>
      </c>
      <c r="J776" s="34">
        <v>-77.773200000000003</v>
      </c>
      <c r="K776" s="4">
        <v>3.3E-3</v>
      </c>
      <c r="L776" s="4">
        <v>5.6000000000000001E-2</v>
      </c>
      <c r="M776" s="4">
        <v>2.3E-2</v>
      </c>
      <c r="N776" s="4">
        <v>-2.8999999999999998E-3</v>
      </c>
      <c r="O776" s="4">
        <v>0</v>
      </c>
      <c r="P776" s="4">
        <v>122.45</v>
      </c>
      <c r="Q776" s="4">
        <v>0.21</v>
      </c>
      <c r="R776" s="34">
        <f>P776*E776/G776^3</f>
        <v>0.2379980563654033</v>
      </c>
      <c r="S776" s="22">
        <f>Q776*E776/G776^3</f>
        <v>4.0816326530612241E-4</v>
      </c>
    </row>
    <row r="777" spans="1:19">
      <c r="A777" s="19" t="s">
        <v>1028</v>
      </c>
      <c r="B777" s="131" t="s">
        <v>1323</v>
      </c>
      <c r="C777" s="131" t="s">
        <v>30</v>
      </c>
      <c r="D777" s="20">
        <v>0.25</v>
      </c>
      <c r="E777" s="4">
        <v>18</v>
      </c>
      <c r="F777" s="4">
        <v>17</v>
      </c>
      <c r="G777" s="4">
        <v>21</v>
      </c>
      <c r="H777" s="20">
        <v>8.4161000000000001</v>
      </c>
      <c r="I777" s="4">
        <v>2.9999999999999997E-4</v>
      </c>
      <c r="J777" s="20">
        <v>-51.638800000000003</v>
      </c>
      <c r="K777" s="4">
        <v>1.6999999999999999E-3</v>
      </c>
      <c r="L777" s="4">
        <v>2.7E-2</v>
      </c>
      <c r="M777" s="4">
        <v>1.0999999999999999E-2</v>
      </c>
      <c r="N777" s="4">
        <v>-4.0000000000000001E-3</v>
      </c>
      <c r="O777" s="4">
        <v>0</v>
      </c>
      <c r="P777" s="4">
        <v>124.56</v>
      </c>
      <c r="Q777" s="4">
        <v>0.05</v>
      </c>
      <c r="R777" s="45">
        <f>P777*E777/G777^3</f>
        <v>0.24209912536443148</v>
      </c>
      <c r="S777" s="22">
        <f>Q777*E777/G777^3</f>
        <v>9.7181729834791062E-5</v>
      </c>
    </row>
    <row r="778" spans="1:19">
      <c r="A778" s="23" t="s">
        <v>1028</v>
      </c>
      <c r="B778" s="129" t="s">
        <v>1323</v>
      </c>
      <c r="C778" s="129" t="s">
        <v>30</v>
      </c>
      <c r="D778" s="4">
        <v>0.5</v>
      </c>
      <c r="E778" s="4">
        <v>18</v>
      </c>
      <c r="F778" s="4">
        <v>17</v>
      </c>
      <c r="G778" s="4">
        <v>21</v>
      </c>
      <c r="H778" s="39">
        <v>9.81</v>
      </c>
      <c r="I778" s="4">
        <v>4.0000000000000002E-4</v>
      </c>
      <c r="J778" s="4">
        <v>-60.1267</v>
      </c>
      <c r="K778" s="4">
        <v>1.5E-3</v>
      </c>
      <c r="L778" s="4">
        <v>2.1000000000000001E-2</v>
      </c>
      <c r="M778" s="4">
        <v>2E-3</v>
      </c>
      <c r="N778" s="4">
        <v>-3.3999999999999998E-3</v>
      </c>
      <c r="O778" s="4">
        <v>1E-4</v>
      </c>
      <c r="P778" s="4">
        <v>124.05</v>
      </c>
      <c r="Q778" s="4">
        <v>0.13</v>
      </c>
      <c r="R778" s="4">
        <f t="shared" si="59"/>
        <v>0.24110787172011663</v>
      </c>
      <c r="S778" s="22">
        <f t="shared" si="60"/>
        <v>2.5267249757045674E-4</v>
      </c>
    </row>
    <row r="779" spans="1:19">
      <c r="A779" s="28" t="s">
        <v>1028</v>
      </c>
      <c r="B779" s="130" t="s">
        <v>1323</v>
      </c>
      <c r="C779" s="130" t="s">
        <v>30</v>
      </c>
      <c r="D779" s="29">
        <v>0.75</v>
      </c>
      <c r="E779" s="4">
        <v>18</v>
      </c>
      <c r="F779" s="4">
        <v>17</v>
      </c>
      <c r="G779" s="4">
        <v>21</v>
      </c>
      <c r="H779" s="29">
        <v>11.201599999999999</v>
      </c>
      <c r="I779" s="4">
        <v>2.9999999999999997E-4</v>
      </c>
      <c r="J779" s="29">
        <v>-68.653000000000006</v>
      </c>
      <c r="K779" s="4">
        <v>1.1999999999999999E-3</v>
      </c>
      <c r="L779" s="4">
        <v>2.8000000000000001E-2</v>
      </c>
      <c r="M779" s="4">
        <v>0.02</v>
      </c>
      <c r="N779" s="4">
        <v>-3.0000000000000001E-3</v>
      </c>
      <c r="O779" s="4">
        <v>1E-4</v>
      </c>
      <c r="P779" s="4">
        <v>123.45</v>
      </c>
      <c r="Q779" s="4">
        <v>0.08</v>
      </c>
      <c r="R779" s="29">
        <f>P779*E779/G779^3</f>
        <v>0.23994169096209911</v>
      </c>
      <c r="S779" s="22">
        <f>Q779*E779/G779^3</f>
        <v>1.5549076773566569E-4</v>
      </c>
    </row>
    <row r="780" spans="1:19" ht="17" thickBot="1">
      <c r="A780" s="50" t="s">
        <v>1028</v>
      </c>
      <c r="B780" s="127" t="s">
        <v>1323</v>
      </c>
      <c r="C780" s="127" t="s">
        <v>30</v>
      </c>
      <c r="D780" s="14">
        <v>1</v>
      </c>
      <c r="E780" s="10">
        <v>18</v>
      </c>
      <c r="F780" s="10">
        <v>17</v>
      </c>
      <c r="G780" s="10">
        <v>21</v>
      </c>
      <c r="H780" s="14">
        <v>12.592599999999999</v>
      </c>
      <c r="I780" s="10">
        <v>4.0000000000000002E-4</v>
      </c>
      <c r="J780" s="14">
        <v>-77.201999999999998</v>
      </c>
      <c r="K780" s="10">
        <v>1.2999999999999999E-3</v>
      </c>
      <c r="L780" s="10">
        <v>3.4000000000000002E-2</v>
      </c>
      <c r="M780" s="10">
        <v>1.2E-2</v>
      </c>
      <c r="N780" s="10">
        <v>-2.8E-3</v>
      </c>
      <c r="O780" s="10">
        <v>1E-4</v>
      </c>
      <c r="P780" s="10">
        <v>122.88</v>
      </c>
      <c r="Q780" s="10">
        <v>0.19</v>
      </c>
      <c r="R780" s="14">
        <f>P780*E780/G780^3</f>
        <v>0.23883381924198252</v>
      </c>
      <c r="S780" s="26">
        <f>Q780*E780/G780^3</f>
        <v>3.6929057337220603E-4</v>
      </c>
    </row>
    <row r="781" spans="1:19" ht="17" thickTop="1">
      <c r="A781" s="51" t="s">
        <v>1029</v>
      </c>
      <c r="B781" s="6" t="s">
        <v>1709</v>
      </c>
      <c r="C781" s="6" t="s">
        <v>13</v>
      </c>
      <c r="D781" s="6">
        <v>0</v>
      </c>
      <c r="E781" s="7">
        <v>18</v>
      </c>
      <c r="F781" s="7">
        <v>18</v>
      </c>
      <c r="G781" s="7">
        <v>21</v>
      </c>
      <c r="H781" s="6">
        <v>7.0198999999999998</v>
      </c>
      <c r="I781" s="7">
        <v>1E-4</v>
      </c>
      <c r="J781" s="6">
        <v>-43.207999999999998</v>
      </c>
      <c r="K781" s="7">
        <v>8.0000000000000004E-4</v>
      </c>
      <c r="L781" s="7">
        <v>2.8000000000000001E-2</v>
      </c>
      <c r="M781" s="7">
        <v>4.0000000000000001E-3</v>
      </c>
      <c r="N781" s="7">
        <v>-4.5999999999999999E-3</v>
      </c>
      <c r="O781" s="7">
        <v>1E-4</v>
      </c>
      <c r="P781" s="7">
        <v>125.06</v>
      </c>
      <c r="Q781" s="7">
        <v>0.08</v>
      </c>
      <c r="R781" s="6">
        <f>P781*E781/G781^3</f>
        <v>0.2430709426627794</v>
      </c>
      <c r="S781" s="18">
        <f>Q781*E781/G781^3</f>
        <v>1.5549076773566569E-4</v>
      </c>
    </row>
    <row r="782" spans="1:19">
      <c r="A782" s="44" t="s">
        <v>1029</v>
      </c>
      <c r="B782" s="45" t="s">
        <v>1709</v>
      </c>
      <c r="C782" s="45" t="s">
        <v>13</v>
      </c>
      <c r="D782" s="45">
        <v>0.25</v>
      </c>
      <c r="E782" s="4">
        <v>18</v>
      </c>
      <c r="F782" s="4">
        <v>18</v>
      </c>
      <c r="G782" s="4">
        <v>21</v>
      </c>
      <c r="H782" s="45">
        <v>8.7746999999999993</v>
      </c>
      <c r="I782" s="4">
        <v>2.9999999999999997E-4</v>
      </c>
      <c r="J782" s="45">
        <v>-54.010599999999997</v>
      </c>
      <c r="K782" s="4">
        <v>1.1999999999999999E-3</v>
      </c>
      <c r="L782" s="4">
        <v>2.5999999999999999E-2</v>
      </c>
      <c r="M782" s="4">
        <v>4.0000000000000001E-3</v>
      </c>
      <c r="N782" s="4">
        <v>-3.7000000000000002E-3</v>
      </c>
      <c r="O782" s="4">
        <v>0</v>
      </c>
      <c r="P782" s="4">
        <v>125.08</v>
      </c>
      <c r="Q782" s="4">
        <v>0.13</v>
      </c>
      <c r="R782" s="45">
        <f>P782*E782/G782^3</f>
        <v>0.24310981535471332</v>
      </c>
      <c r="S782" s="22">
        <f>Q782*E782/G782^3</f>
        <v>2.5267249757045674E-4</v>
      </c>
    </row>
    <row r="783" spans="1:19">
      <c r="A783" s="23" t="s">
        <v>1029</v>
      </c>
      <c r="B783" s="4" t="s">
        <v>1709</v>
      </c>
      <c r="C783" s="4" t="s">
        <v>13</v>
      </c>
      <c r="D783" s="4">
        <v>0.5</v>
      </c>
      <c r="E783" s="4">
        <v>18</v>
      </c>
      <c r="F783" s="4">
        <v>18</v>
      </c>
      <c r="G783" s="4">
        <v>21</v>
      </c>
      <c r="H783" s="4">
        <v>10.5306</v>
      </c>
      <c r="I783" s="4">
        <v>5.9999999999999995E-4</v>
      </c>
      <c r="J783" s="4">
        <v>-64.812200000000004</v>
      </c>
      <c r="K783" s="4">
        <v>2.3E-3</v>
      </c>
      <c r="L783" s="4">
        <v>2.5000000000000001E-2</v>
      </c>
      <c r="M783" s="4">
        <v>1E-3</v>
      </c>
      <c r="N783" s="4">
        <v>-3.0999999999999999E-3</v>
      </c>
      <c r="O783" s="4">
        <v>1E-4</v>
      </c>
      <c r="P783" s="4">
        <v>124.97</v>
      </c>
      <c r="Q783" s="4">
        <v>0.25</v>
      </c>
      <c r="R783" s="4">
        <f t="shared" ref="R783" si="61">P783*E783/G783^3</f>
        <v>0.24289601554907678</v>
      </c>
      <c r="S783" s="22">
        <f t="shared" ref="S783" si="62">Q783*E783/G783^3</f>
        <v>4.8590864917395527E-4</v>
      </c>
    </row>
    <row r="784" spans="1:19">
      <c r="A784" s="28" t="s">
        <v>1029</v>
      </c>
      <c r="B784" s="29" t="s">
        <v>1709</v>
      </c>
      <c r="C784" s="29" t="s">
        <v>13</v>
      </c>
      <c r="D784" s="29">
        <v>0.75</v>
      </c>
      <c r="E784" s="4">
        <v>18</v>
      </c>
      <c r="F784" s="4">
        <v>18</v>
      </c>
      <c r="G784" s="4">
        <v>21</v>
      </c>
      <c r="H784" s="41">
        <v>12.285299999999999</v>
      </c>
      <c r="I784" s="4">
        <v>2.9999999999999997E-4</v>
      </c>
      <c r="J784" s="29">
        <v>-75.614400000000003</v>
      </c>
      <c r="K784" s="4">
        <v>2E-3</v>
      </c>
      <c r="L784" s="4">
        <v>2.7E-2</v>
      </c>
      <c r="M784" s="4">
        <v>8.9999999999999993E-3</v>
      </c>
      <c r="N784" s="4">
        <v>-2.5999999999999999E-3</v>
      </c>
      <c r="O784" s="4">
        <v>0</v>
      </c>
      <c r="P784" s="4">
        <v>125.01</v>
      </c>
      <c r="Q784" s="4">
        <v>0.05</v>
      </c>
      <c r="R784" s="29">
        <f>P784*E784/G784^3</f>
        <v>0.24297376093294465</v>
      </c>
      <c r="S784" s="22">
        <f>Q784*E784/G784^3</f>
        <v>9.7181729834791062E-5</v>
      </c>
    </row>
    <row r="785" spans="1:19" ht="17" thickBot="1">
      <c r="A785" s="50" t="s">
        <v>1029</v>
      </c>
      <c r="B785" s="14" t="s">
        <v>1709</v>
      </c>
      <c r="C785" s="14" t="s">
        <v>13</v>
      </c>
      <c r="D785" s="14">
        <v>1</v>
      </c>
      <c r="E785" s="10">
        <v>18</v>
      </c>
      <c r="F785" s="10">
        <v>18</v>
      </c>
      <c r="G785" s="10">
        <v>21</v>
      </c>
      <c r="H785" s="14">
        <v>14.0403</v>
      </c>
      <c r="I785" s="10">
        <v>6.9999999999999999E-4</v>
      </c>
      <c r="J785" s="14">
        <v>-86.414900000000003</v>
      </c>
      <c r="K785" s="10">
        <v>2.3999999999999998E-3</v>
      </c>
      <c r="L785" s="10">
        <v>6.7000000000000004E-2</v>
      </c>
      <c r="M785" s="10">
        <v>6.0000000000000001E-3</v>
      </c>
      <c r="N785" s="10">
        <v>-2.0999999999999999E-3</v>
      </c>
      <c r="O785" s="10">
        <v>0</v>
      </c>
      <c r="P785" s="10">
        <v>125.29</v>
      </c>
      <c r="Q785" s="10">
        <v>0.08</v>
      </c>
      <c r="R785" s="14">
        <f t="shared" ref="R785" si="63">P785*E785/G785^3</f>
        <v>0.24351797862001948</v>
      </c>
      <c r="S785" s="26">
        <f t="shared" ref="S785" si="64">Q785*E785/G785^3</f>
        <v>1.5549076773566569E-4</v>
      </c>
    </row>
    <row r="786" spans="1:19" ht="17" thickTop="1">
      <c r="A786" s="109" t="s">
        <v>731</v>
      </c>
      <c r="B786" s="113" t="s">
        <v>1030</v>
      </c>
      <c r="C786" s="113"/>
      <c r="D786" s="113">
        <v>0</v>
      </c>
      <c r="E786" s="4">
        <v>18</v>
      </c>
      <c r="F786" s="4">
        <v>1</v>
      </c>
      <c r="G786" s="4">
        <v>21</v>
      </c>
      <c r="H786" s="113">
        <v>7.0198999999999998</v>
      </c>
      <c r="I786" s="4">
        <v>1E-4</v>
      </c>
      <c r="J786" s="113">
        <v>-43.207999999999998</v>
      </c>
      <c r="K786" s="4">
        <v>8.0000000000000004E-4</v>
      </c>
      <c r="L786" s="4">
        <v>2.8000000000000001E-2</v>
      </c>
      <c r="M786" s="4">
        <v>4.0000000000000001E-3</v>
      </c>
      <c r="N786" s="4">
        <v>-4.5999999999999999E-3</v>
      </c>
      <c r="O786" s="4">
        <v>1E-4</v>
      </c>
      <c r="P786" s="4">
        <v>125.06</v>
      </c>
      <c r="Q786" s="4">
        <v>0.08</v>
      </c>
      <c r="R786" s="6">
        <f>P786*E786/G786^3</f>
        <v>0.2430709426627794</v>
      </c>
      <c r="S786" s="18">
        <f>Q786*E786/G786^3</f>
        <v>1.5549076773566569E-4</v>
      </c>
    </row>
    <row r="787" spans="1:19">
      <c r="A787" s="109" t="s">
        <v>732</v>
      </c>
      <c r="B787" s="113" t="s">
        <v>1031</v>
      </c>
      <c r="C787" s="113"/>
      <c r="D787" s="113">
        <v>0</v>
      </c>
      <c r="E787" s="4">
        <v>18</v>
      </c>
      <c r="F787" s="4">
        <v>1</v>
      </c>
      <c r="G787" s="4">
        <v>21</v>
      </c>
      <c r="H787" s="113">
        <v>7.0198999999999998</v>
      </c>
      <c r="I787" s="4">
        <v>1E-4</v>
      </c>
      <c r="J787" s="113">
        <v>-43.207999999999998</v>
      </c>
      <c r="K787" s="4">
        <v>8.0000000000000004E-4</v>
      </c>
      <c r="L787" s="4">
        <v>2.8000000000000001E-2</v>
      </c>
      <c r="M787" s="4">
        <v>4.0000000000000001E-3</v>
      </c>
      <c r="N787" s="4">
        <v>-4.5999999999999999E-3</v>
      </c>
      <c r="O787" s="4">
        <v>1E-4</v>
      </c>
      <c r="P787" s="4">
        <v>125.06</v>
      </c>
      <c r="Q787" s="4">
        <v>0.08</v>
      </c>
      <c r="R787" s="113">
        <f t="shared" ref="R787:R850" si="65">P787*E787/G787^3</f>
        <v>0.2430709426627794</v>
      </c>
      <c r="S787" s="22">
        <f t="shared" ref="S787:S850" si="66">Q787*E787/G787^3</f>
        <v>1.5549076773566569E-4</v>
      </c>
    </row>
    <row r="788" spans="1:19">
      <c r="A788" s="109" t="s">
        <v>733</v>
      </c>
      <c r="B788" s="113" t="s">
        <v>1032</v>
      </c>
      <c r="C788" s="113"/>
      <c r="D788" s="113">
        <v>0</v>
      </c>
      <c r="E788" s="4">
        <v>18</v>
      </c>
      <c r="F788" s="4">
        <v>1</v>
      </c>
      <c r="G788" s="4">
        <v>21</v>
      </c>
      <c r="H788" s="113">
        <v>7.0198999999999998</v>
      </c>
      <c r="I788" s="4">
        <v>1E-4</v>
      </c>
      <c r="J788" s="113">
        <v>-43.207999999999998</v>
      </c>
      <c r="K788" s="4">
        <v>8.0000000000000004E-4</v>
      </c>
      <c r="L788" s="4">
        <v>2.8000000000000001E-2</v>
      </c>
      <c r="M788" s="4">
        <v>4.0000000000000001E-3</v>
      </c>
      <c r="N788" s="4">
        <v>-4.5999999999999999E-3</v>
      </c>
      <c r="O788" s="4">
        <v>1E-4</v>
      </c>
      <c r="P788" s="4">
        <v>125.06</v>
      </c>
      <c r="Q788" s="4">
        <v>0.08</v>
      </c>
      <c r="R788" s="113">
        <f t="shared" si="65"/>
        <v>0.2430709426627794</v>
      </c>
      <c r="S788" s="22">
        <f t="shared" si="66"/>
        <v>1.5549076773566569E-4</v>
      </c>
    </row>
    <row r="789" spans="1:19">
      <c r="A789" s="109" t="s">
        <v>734</v>
      </c>
      <c r="B789" s="113" t="s">
        <v>1033</v>
      </c>
      <c r="C789" s="113"/>
      <c r="D789" s="113">
        <v>0</v>
      </c>
      <c r="E789" s="4">
        <v>18</v>
      </c>
      <c r="F789" s="4">
        <v>1</v>
      </c>
      <c r="G789" s="4">
        <v>21</v>
      </c>
      <c r="H789" s="113">
        <v>7.0198999999999998</v>
      </c>
      <c r="I789" s="4">
        <v>1E-4</v>
      </c>
      <c r="J789" s="113">
        <v>-43.207999999999998</v>
      </c>
      <c r="K789" s="4">
        <v>8.0000000000000004E-4</v>
      </c>
      <c r="L789" s="4">
        <v>2.8000000000000001E-2</v>
      </c>
      <c r="M789" s="4">
        <v>4.0000000000000001E-3</v>
      </c>
      <c r="N789" s="4">
        <v>-4.5999999999999999E-3</v>
      </c>
      <c r="O789" s="4">
        <v>1E-4</v>
      </c>
      <c r="P789" s="4">
        <v>125.06</v>
      </c>
      <c r="Q789" s="4">
        <v>0.08</v>
      </c>
      <c r="R789" s="113">
        <f t="shared" si="65"/>
        <v>0.2430709426627794</v>
      </c>
      <c r="S789" s="22">
        <f t="shared" si="66"/>
        <v>1.5549076773566569E-4</v>
      </c>
    </row>
    <row r="790" spans="1:19">
      <c r="A790" s="109" t="s">
        <v>735</v>
      </c>
      <c r="B790" s="113" t="s">
        <v>1034</v>
      </c>
      <c r="C790" s="113"/>
      <c r="D790" s="113">
        <v>0</v>
      </c>
      <c r="E790" s="4">
        <v>18</v>
      </c>
      <c r="F790" s="4">
        <v>1</v>
      </c>
      <c r="G790" s="4">
        <v>21</v>
      </c>
      <c r="H790" s="113">
        <v>7.0198999999999998</v>
      </c>
      <c r="I790" s="4">
        <v>1E-4</v>
      </c>
      <c r="J790" s="113">
        <v>-43.207999999999998</v>
      </c>
      <c r="K790" s="4">
        <v>8.0000000000000004E-4</v>
      </c>
      <c r="L790" s="4">
        <v>2.8000000000000001E-2</v>
      </c>
      <c r="M790" s="4">
        <v>4.0000000000000001E-3</v>
      </c>
      <c r="N790" s="4">
        <v>-4.5999999999999999E-3</v>
      </c>
      <c r="O790" s="4">
        <v>1E-4</v>
      </c>
      <c r="P790" s="4">
        <v>125.06</v>
      </c>
      <c r="Q790" s="4">
        <v>0.08</v>
      </c>
      <c r="R790" s="113">
        <f t="shared" si="65"/>
        <v>0.2430709426627794</v>
      </c>
      <c r="S790" s="22">
        <f t="shared" si="66"/>
        <v>1.5549076773566569E-4</v>
      </c>
    </row>
    <row r="791" spans="1:19">
      <c r="A791" s="109" t="s">
        <v>736</v>
      </c>
      <c r="B791" s="113" t="s">
        <v>1035</v>
      </c>
      <c r="C791" s="113"/>
      <c r="D791" s="113">
        <v>0</v>
      </c>
      <c r="E791" s="4">
        <v>18</v>
      </c>
      <c r="F791" s="4">
        <v>1</v>
      </c>
      <c r="G791" s="4">
        <v>21</v>
      </c>
      <c r="H791" s="113">
        <v>7.0198999999999998</v>
      </c>
      <c r="I791" s="4">
        <v>1E-4</v>
      </c>
      <c r="J791" s="113">
        <v>-43.207999999999998</v>
      </c>
      <c r="K791" s="4">
        <v>8.0000000000000004E-4</v>
      </c>
      <c r="L791" s="4">
        <v>2.8000000000000001E-2</v>
      </c>
      <c r="M791" s="4">
        <v>4.0000000000000001E-3</v>
      </c>
      <c r="N791" s="4">
        <v>-4.5999999999999999E-3</v>
      </c>
      <c r="O791" s="4">
        <v>1E-4</v>
      </c>
      <c r="P791" s="4">
        <v>125.06</v>
      </c>
      <c r="Q791" s="4">
        <v>0.08</v>
      </c>
      <c r="R791" s="113">
        <f t="shared" si="65"/>
        <v>0.2430709426627794</v>
      </c>
      <c r="S791" s="22">
        <f t="shared" si="66"/>
        <v>1.5549076773566569E-4</v>
      </c>
    </row>
    <row r="792" spans="1:19">
      <c r="A792" s="109" t="s">
        <v>737</v>
      </c>
      <c r="B792" s="113" t="s">
        <v>1036</v>
      </c>
      <c r="C792" s="113"/>
      <c r="D792" s="113">
        <v>0</v>
      </c>
      <c r="E792" s="4">
        <v>18</v>
      </c>
      <c r="F792" s="4">
        <v>1</v>
      </c>
      <c r="G792" s="4">
        <v>21</v>
      </c>
      <c r="H792" s="113">
        <v>7.0198999999999998</v>
      </c>
      <c r="I792" s="4">
        <v>1E-4</v>
      </c>
      <c r="J792" s="113">
        <v>-43.207999999999998</v>
      </c>
      <c r="K792" s="4">
        <v>8.0000000000000004E-4</v>
      </c>
      <c r="L792" s="4">
        <v>2.8000000000000001E-2</v>
      </c>
      <c r="M792" s="4">
        <v>4.0000000000000001E-3</v>
      </c>
      <c r="N792" s="4">
        <v>-4.5999999999999999E-3</v>
      </c>
      <c r="O792" s="4">
        <v>1E-4</v>
      </c>
      <c r="P792" s="4">
        <v>125.06</v>
      </c>
      <c r="Q792" s="4">
        <v>0.08</v>
      </c>
      <c r="R792" s="113">
        <f t="shared" si="65"/>
        <v>0.2430709426627794</v>
      </c>
      <c r="S792" s="22">
        <f t="shared" si="66"/>
        <v>1.5549076773566569E-4</v>
      </c>
    </row>
    <row r="793" spans="1:19">
      <c r="A793" s="109" t="s">
        <v>738</v>
      </c>
      <c r="B793" s="113" t="s">
        <v>1037</v>
      </c>
      <c r="C793" s="113"/>
      <c r="D793" s="113">
        <v>0</v>
      </c>
      <c r="E793" s="4">
        <v>18</v>
      </c>
      <c r="F793" s="4">
        <v>1</v>
      </c>
      <c r="G793" s="4">
        <v>21</v>
      </c>
      <c r="H793" s="113">
        <v>7.0198999999999998</v>
      </c>
      <c r="I793" s="4">
        <v>1E-4</v>
      </c>
      <c r="J793" s="113">
        <v>-43.207999999999998</v>
      </c>
      <c r="K793" s="4">
        <v>8.0000000000000004E-4</v>
      </c>
      <c r="L793" s="4">
        <v>2.8000000000000001E-2</v>
      </c>
      <c r="M793" s="4">
        <v>4.0000000000000001E-3</v>
      </c>
      <c r="N793" s="4">
        <v>-4.5999999999999999E-3</v>
      </c>
      <c r="O793" s="4">
        <v>1E-4</v>
      </c>
      <c r="P793" s="4">
        <v>125.06</v>
      </c>
      <c r="Q793" s="4">
        <v>0.08</v>
      </c>
      <c r="R793" s="113">
        <f t="shared" si="65"/>
        <v>0.2430709426627794</v>
      </c>
      <c r="S793" s="22">
        <f t="shared" si="66"/>
        <v>1.5549076773566569E-4</v>
      </c>
    </row>
    <row r="794" spans="1:19">
      <c r="A794" s="109" t="s">
        <v>739</v>
      </c>
      <c r="B794" s="113" t="s">
        <v>1038</v>
      </c>
      <c r="C794" s="113"/>
      <c r="D794" s="113">
        <v>0</v>
      </c>
      <c r="E794" s="4">
        <v>18</v>
      </c>
      <c r="F794" s="4">
        <v>1</v>
      </c>
      <c r="G794" s="4">
        <v>21</v>
      </c>
      <c r="H794" s="113">
        <v>7.0198999999999998</v>
      </c>
      <c r="I794" s="4">
        <v>1E-4</v>
      </c>
      <c r="J794" s="113">
        <v>-43.207999999999998</v>
      </c>
      <c r="K794" s="4">
        <v>8.0000000000000004E-4</v>
      </c>
      <c r="L794" s="4">
        <v>2.8000000000000001E-2</v>
      </c>
      <c r="M794" s="4">
        <v>4.0000000000000001E-3</v>
      </c>
      <c r="N794" s="4">
        <v>-4.5999999999999999E-3</v>
      </c>
      <c r="O794" s="4">
        <v>1E-4</v>
      </c>
      <c r="P794" s="4">
        <v>125.06</v>
      </c>
      <c r="Q794" s="4">
        <v>0.08</v>
      </c>
      <c r="R794" s="113">
        <f t="shared" si="65"/>
        <v>0.2430709426627794</v>
      </c>
      <c r="S794" s="22">
        <f t="shared" si="66"/>
        <v>1.5549076773566569E-4</v>
      </c>
    </row>
    <row r="795" spans="1:19">
      <c r="A795" s="109" t="s">
        <v>740</v>
      </c>
      <c r="B795" s="113" t="s">
        <v>1039</v>
      </c>
      <c r="C795" s="113"/>
      <c r="D795" s="113">
        <v>0</v>
      </c>
      <c r="E795" s="4">
        <v>18</v>
      </c>
      <c r="F795" s="4">
        <v>2</v>
      </c>
      <c r="G795" s="4">
        <v>21</v>
      </c>
      <c r="H795" s="113">
        <v>7.0198999999999998</v>
      </c>
      <c r="I795" s="4">
        <v>1E-4</v>
      </c>
      <c r="J795" s="113">
        <v>-43.207999999999998</v>
      </c>
      <c r="K795" s="4">
        <v>8.0000000000000004E-4</v>
      </c>
      <c r="L795" s="4">
        <v>2.8000000000000001E-2</v>
      </c>
      <c r="M795" s="4">
        <v>4.0000000000000001E-3</v>
      </c>
      <c r="N795" s="4">
        <v>-4.5999999999999999E-3</v>
      </c>
      <c r="O795" s="4">
        <v>1E-4</v>
      </c>
      <c r="P795" s="4">
        <v>125.06</v>
      </c>
      <c r="Q795" s="4">
        <v>0.08</v>
      </c>
      <c r="R795" s="113">
        <f t="shared" si="65"/>
        <v>0.2430709426627794</v>
      </c>
      <c r="S795" s="22">
        <f t="shared" si="66"/>
        <v>1.5549076773566569E-4</v>
      </c>
    </row>
    <row r="796" spans="1:19">
      <c r="A796" s="109" t="s">
        <v>741</v>
      </c>
      <c r="B796" s="113" t="s">
        <v>1040</v>
      </c>
      <c r="C796" s="113"/>
      <c r="D796" s="113">
        <v>0</v>
      </c>
      <c r="E796" s="4">
        <v>18</v>
      </c>
      <c r="F796" s="4">
        <v>2</v>
      </c>
      <c r="G796" s="4">
        <v>21</v>
      </c>
      <c r="H796" s="113">
        <v>7.0198999999999998</v>
      </c>
      <c r="I796" s="4">
        <v>1E-4</v>
      </c>
      <c r="J796" s="113">
        <v>-43.207999999999998</v>
      </c>
      <c r="K796" s="4">
        <v>8.0000000000000004E-4</v>
      </c>
      <c r="L796" s="4">
        <v>2.8000000000000001E-2</v>
      </c>
      <c r="M796" s="4">
        <v>4.0000000000000001E-3</v>
      </c>
      <c r="N796" s="4">
        <v>-4.5999999999999999E-3</v>
      </c>
      <c r="O796" s="4">
        <v>1E-4</v>
      </c>
      <c r="P796" s="4">
        <v>125.06</v>
      </c>
      <c r="Q796" s="4">
        <v>0.08</v>
      </c>
      <c r="R796" s="113">
        <f t="shared" si="65"/>
        <v>0.2430709426627794</v>
      </c>
      <c r="S796" s="22">
        <f t="shared" si="66"/>
        <v>1.5549076773566569E-4</v>
      </c>
    </row>
    <row r="797" spans="1:19">
      <c r="A797" s="109" t="s">
        <v>742</v>
      </c>
      <c r="B797" s="113" t="s">
        <v>1041</v>
      </c>
      <c r="C797" s="113"/>
      <c r="D797" s="113">
        <v>0</v>
      </c>
      <c r="E797" s="4">
        <v>18</v>
      </c>
      <c r="F797" s="4">
        <v>2</v>
      </c>
      <c r="G797" s="4">
        <v>21</v>
      </c>
      <c r="H797" s="113">
        <v>7.0198999999999998</v>
      </c>
      <c r="I797" s="4">
        <v>1E-4</v>
      </c>
      <c r="J797" s="113">
        <v>-43.207999999999998</v>
      </c>
      <c r="K797" s="4">
        <v>8.0000000000000004E-4</v>
      </c>
      <c r="L797" s="4">
        <v>2.8000000000000001E-2</v>
      </c>
      <c r="M797" s="4">
        <v>4.0000000000000001E-3</v>
      </c>
      <c r="N797" s="4">
        <v>-4.5999999999999999E-3</v>
      </c>
      <c r="O797" s="4">
        <v>1E-4</v>
      </c>
      <c r="P797" s="4">
        <v>125.06</v>
      </c>
      <c r="Q797" s="4">
        <v>0.08</v>
      </c>
      <c r="R797" s="113">
        <f t="shared" si="65"/>
        <v>0.2430709426627794</v>
      </c>
      <c r="S797" s="22">
        <f t="shared" si="66"/>
        <v>1.5549076773566569E-4</v>
      </c>
    </row>
    <row r="798" spans="1:19">
      <c r="A798" s="109" t="s">
        <v>743</v>
      </c>
      <c r="B798" s="113" t="s">
        <v>1042</v>
      </c>
      <c r="C798" s="113"/>
      <c r="D798" s="113">
        <v>0</v>
      </c>
      <c r="E798" s="4">
        <v>18</v>
      </c>
      <c r="F798" s="4">
        <v>2</v>
      </c>
      <c r="G798" s="4">
        <v>21</v>
      </c>
      <c r="H798" s="113">
        <v>7.0198999999999998</v>
      </c>
      <c r="I798" s="4">
        <v>1E-4</v>
      </c>
      <c r="J798" s="113">
        <v>-43.207999999999998</v>
      </c>
      <c r="K798" s="4">
        <v>8.0000000000000004E-4</v>
      </c>
      <c r="L798" s="4">
        <v>2.8000000000000001E-2</v>
      </c>
      <c r="M798" s="4">
        <v>4.0000000000000001E-3</v>
      </c>
      <c r="N798" s="4">
        <v>-4.5999999999999999E-3</v>
      </c>
      <c r="O798" s="4">
        <v>1E-4</v>
      </c>
      <c r="P798" s="4">
        <v>125.06</v>
      </c>
      <c r="Q798" s="4">
        <v>0.08</v>
      </c>
      <c r="R798" s="113">
        <f t="shared" si="65"/>
        <v>0.2430709426627794</v>
      </c>
      <c r="S798" s="22">
        <f t="shared" si="66"/>
        <v>1.5549076773566569E-4</v>
      </c>
    </row>
    <row r="799" spans="1:19">
      <c r="A799" s="109" t="s">
        <v>744</v>
      </c>
      <c r="B799" s="113" t="s">
        <v>1043</v>
      </c>
      <c r="C799" s="113"/>
      <c r="D799" s="113">
        <v>0</v>
      </c>
      <c r="E799" s="4">
        <v>18</v>
      </c>
      <c r="F799" s="4">
        <v>2</v>
      </c>
      <c r="G799" s="4">
        <v>21</v>
      </c>
      <c r="H799" s="113">
        <v>7.0198999999999998</v>
      </c>
      <c r="I799" s="4">
        <v>1E-4</v>
      </c>
      <c r="J799" s="113">
        <v>-43.207999999999998</v>
      </c>
      <c r="K799" s="4">
        <v>8.0000000000000004E-4</v>
      </c>
      <c r="L799" s="4">
        <v>2.8000000000000001E-2</v>
      </c>
      <c r="M799" s="4">
        <v>4.0000000000000001E-3</v>
      </c>
      <c r="N799" s="4">
        <v>-4.5999999999999999E-3</v>
      </c>
      <c r="O799" s="4">
        <v>1E-4</v>
      </c>
      <c r="P799" s="4">
        <v>125.06</v>
      </c>
      <c r="Q799" s="4">
        <v>0.08</v>
      </c>
      <c r="R799" s="113">
        <f t="shared" si="65"/>
        <v>0.2430709426627794</v>
      </c>
      <c r="S799" s="22">
        <f t="shared" si="66"/>
        <v>1.5549076773566569E-4</v>
      </c>
    </row>
    <row r="800" spans="1:19">
      <c r="A800" s="109" t="s">
        <v>745</v>
      </c>
      <c r="B800" s="113" t="s">
        <v>1044</v>
      </c>
      <c r="C800" s="113"/>
      <c r="D800" s="113">
        <v>0</v>
      </c>
      <c r="E800" s="4">
        <v>18</v>
      </c>
      <c r="F800" s="4">
        <v>3</v>
      </c>
      <c r="G800" s="4">
        <v>21</v>
      </c>
      <c r="H800" s="113">
        <v>7.0198999999999998</v>
      </c>
      <c r="I800" s="4">
        <v>1E-4</v>
      </c>
      <c r="J800" s="113">
        <v>-43.207999999999998</v>
      </c>
      <c r="K800" s="4">
        <v>8.0000000000000004E-4</v>
      </c>
      <c r="L800" s="4">
        <v>2.8000000000000001E-2</v>
      </c>
      <c r="M800" s="4">
        <v>4.0000000000000001E-3</v>
      </c>
      <c r="N800" s="4">
        <v>-4.5999999999999999E-3</v>
      </c>
      <c r="O800" s="4">
        <v>1E-4</v>
      </c>
      <c r="P800" s="4">
        <v>125.06</v>
      </c>
      <c r="Q800" s="4">
        <v>0.08</v>
      </c>
      <c r="R800" s="113">
        <f t="shared" si="65"/>
        <v>0.2430709426627794</v>
      </c>
      <c r="S800" s="22">
        <f t="shared" si="66"/>
        <v>1.5549076773566569E-4</v>
      </c>
    </row>
    <row r="801" spans="1:19">
      <c r="A801" s="109" t="s">
        <v>746</v>
      </c>
      <c r="B801" s="113" t="s">
        <v>1045</v>
      </c>
      <c r="C801" s="113"/>
      <c r="D801" s="113">
        <v>0</v>
      </c>
      <c r="E801" s="4">
        <v>18</v>
      </c>
      <c r="F801" s="4">
        <v>3</v>
      </c>
      <c r="G801" s="4">
        <v>21</v>
      </c>
      <c r="H801" s="113">
        <v>7.0198999999999998</v>
      </c>
      <c r="I801" s="4">
        <v>1E-4</v>
      </c>
      <c r="J801" s="113">
        <v>-43.207999999999998</v>
      </c>
      <c r="K801" s="4">
        <v>8.0000000000000004E-4</v>
      </c>
      <c r="L801" s="4">
        <v>2.8000000000000001E-2</v>
      </c>
      <c r="M801" s="4">
        <v>4.0000000000000001E-3</v>
      </c>
      <c r="N801" s="4">
        <v>-4.5999999999999999E-3</v>
      </c>
      <c r="O801" s="4">
        <v>1E-4</v>
      </c>
      <c r="P801" s="4">
        <v>125.06</v>
      </c>
      <c r="Q801" s="4">
        <v>0.08</v>
      </c>
      <c r="R801" s="113">
        <f t="shared" si="65"/>
        <v>0.2430709426627794</v>
      </c>
      <c r="S801" s="22">
        <f t="shared" si="66"/>
        <v>1.5549076773566569E-4</v>
      </c>
    </row>
    <row r="802" spans="1:19">
      <c r="A802" s="109" t="s">
        <v>747</v>
      </c>
      <c r="B802" s="113" t="s">
        <v>1046</v>
      </c>
      <c r="C802" s="113"/>
      <c r="D802" s="113">
        <v>0</v>
      </c>
      <c r="E802" s="4">
        <v>18</v>
      </c>
      <c r="F802" s="4">
        <v>3</v>
      </c>
      <c r="G802" s="4">
        <v>21</v>
      </c>
      <c r="H802" s="113">
        <v>7.0198999999999998</v>
      </c>
      <c r="I802" s="4">
        <v>1E-4</v>
      </c>
      <c r="J802" s="113">
        <v>-43.207999999999998</v>
      </c>
      <c r="K802" s="4">
        <v>8.0000000000000004E-4</v>
      </c>
      <c r="L802" s="4">
        <v>2.8000000000000001E-2</v>
      </c>
      <c r="M802" s="4">
        <v>4.0000000000000001E-3</v>
      </c>
      <c r="N802" s="4">
        <v>-4.5999999999999999E-3</v>
      </c>
      <c r="O802" s="4">
        <v>1E-4</v>
      </c>
      <c r="P802" s="4">
        <v>125.06</v>
      </c>
      <c r="Q802" s="4">
        <v>0.08</v>
      </c>
      <c r="R802" s="113">
        <f t="shared" si="65"/>
        <v>0.2430709426627794</v>
      </c>
      <c r="S802" s="22">
        <f t="shared" si="66"/>
        <v>1.5549076773566569E-4</v>
      </c>
    </row>
    <row r="803" spans="1:19">
      <c r="A803" s="109" t="s">
        <v>748</v>
      </c>
      <c r="B803" s="113" t="s">
        <v>1047</v>
      </c>
      <c r="C803" s="113"/>
      <c r="D803" s="113">
        <v>0</v>
      </c>
      <c r="E803" s="4">
        <v>18</v>
      </c>
      <c r="F803" s="4">
        <v>3</v>
      </c>
      <c r="G803" s="4">
        <v>21</v>
      </c>
      <c r="H803" s="113">
        <v>7.0198999999999998</v>
      </c>
      <c r="I803" s="4">
        <v>1E-4</v>
      </c>
      <c r="J803" s="113">
        <v>-43.207999999999998</v>
      </c>
      <c r="K803" s="4">
        <v>8.0000000000000004E-4</v>
      </c>
      <c r="L803" s="4">
        <v>2.8000000000000001E-2</v>
      </c>
      <c r="M803" s="4">
        <v>4.0000000000000001E-3</v>
      </c>
      <c r="N803" s="4">
        <v>-4.5999999999999999E-3</v>
      </c>
      <c r="O803" s="4">
        <v>1E-4</v>
      </c>
      <c r="P803" s="4">
        <v>125.06</v>
      </c>
      <c r="Q803" s="4">
        <v>0.08</v>
      </c>
      <c r="R803" s="113">
        <f t="shared" si="65"/>
        <v>0.2430709426627794</v>
      </c>
      <c r="S803" s="22">
        <f t="shared" si="66"/>
        <v>1.5549076773566569E-4</v>
      </c>
    </row>
    <row r="804" spans="1:19">
      <c r="A804" s="109" t="s">
        <v>749</v>
      </c>
      <c r="B804" s="113" t="s">
        <v>1048</v>
      </c>
      <c r="C804" s="113"/>
      <c r="D804" s="113">
        <v>0</v>
      </c>
      <c r="E804" s="4">
        <v>18</v>
      </c>
      <c r="F804" s="4">
        <v>3</v>
      </c>
      <c r="G804" s="4">
        <v>21</v>
      </c>
      <c r="H804" s="113">
        <v>7.0198999999999998</v>
      </c>
      <c r="I804" s="4">
        <v>1E-4</v>
      </c>
      <c r="J804" s="113">
        <v>-43.207999999999998</v>
      </c>
      <c r="K804" s="4">
        <v>8.0000000000000004E-4</v>
      </c>
      <c r="L804" s="4">
        <v>2.8000000000000001E-2</v>
      </c>
      <c r="M804" s="4">
        <v>4.0000000000000001E-3</v>
      </c>
      <c r="N804" s="4">
        <v>-4.5999999999999999E-3</v>
      </c>
      <c r="O804" s="4">
        <v>1E-4</v>
      </c>
      <c r="P804" s="4">
        <v>125.06</v>
      </c>
      <c r="Q804" s="4">
        <v>0.08</v>
      </c>
      <c r="R804" s="113">
        <f t="shared" si="65"/>
        <v>0.2430709426627794</v>
      </c>
      <c r="S804" s="22">
        <f t="shared" si="66"/>
        <v>1.5549076773566569E-4</v>
      </c>
    </row>
    <row r="805" spans="1:19">
      <c r="A805" s="109" t="s">
        <v>750</v>
      </c>
      <c r="B805" s="113" t="s">
        <v>1049</v>
      </c>
      <c r="C805" s="113"/>
      <c r="D805" s="113">
        <v>0</v>
      </c>
      <c r="E805" s="4">
        <v>18</v>
      </c>
      <c r="F805" s="4">
        <v>4</v>
      </c>
      <c r="G805" s="4">
        <v>21</v>
      </c>
      <c r="H805" s="113">
        <v>7.0198999999999998</v>
      </c>
      <c r="I805" s="4">
        <v>1E-4</v>
      </c>
      <c r="J805" s="113">
        <v>-43.207999999999998</v>
      </c>
      <c r="K805" s="4">
        <v>8.0000000000000004E-4</v>
      </c>
      <c r="L805" s="4">
        <v>2.8000000000000001E-2</v>
      </c>
      <c r="M805" s="4">
        <v>4.0000000000000001E-3</v>
      </c>
      <c r="N805" s="4">
        <v>-4.5999999999999999E-3</v>
      </c>
      <c r="O805" s="4">
        <v>1E-4</v>
      </c>
      <c r="P805" s="4">
        <v>125.06</v>
      </c>
      <c r="Q805" s="4">
        <v>0.08</v>
      </c>
      <c r="R805" s="113">
        <f t="shared" si="65"/>
        <v>0.2430709426627794</v>
      </c>
      <c r="S805" s="22">
        <f t="shared" si="66"/>
        <v>1.5549076773566569E-4</v>
      </c>
    </row>
    <row r="806" spans="1:19">
      <c r="A806" s="109" t="s">
        <v>751</v>
      </c>
      <c r="B806" s="113" t="s">
        <v>1050</v>
      </c>
      <c r="C806" s="113"/>
      <c r="D806" s="113">
        <v>0</v>
      </c>
      <c r="E806" s="4">
        <v>18</v>
      </c>
      <c r="F806" s="4">
        <v>4</v>
      </c>
      <c r="G806" s="4">
        <v>21</v>
      </c>
      <c r="H806" s="113">
        <v>7.0198999999999998</v>
      </c>
      <c r="I806" s="4">
        <v>1E-4</v>
      </c>
      <c r="J806" s="113">
        <v>-43.207999999999998</v>
      </c>
      <c r="K806" s="4">
        <v>8.0000000000000004E-4</v>
      </c>
      <c r="L806" s="4">
        <v>2.8000000000000001E-2</v>
      </c>
      <c r="M806" s="4">
        <v>4.0000000000000001E-3</v>
      </c>
      <c r="N806" s="4">
        <v>-4.5999999999999999E-3</v>
      </c>
      <c r="O806" s="4">
        <v>1E-4</v>
      </c>
      <c r="P806" s="4">
        <v>125.06</v>
      </c>
      <c r="Q806" s="4">
        <v>0.08</v>
      </c>
      <c r="R806" s="113">
        <f t="shared" si="65"/>
        <v>0.2430709426627794</v>
      </c>
      <c r="S806" s="22">
        <f t="shared" si="66"/>
        <v>1.5549076773566569E-4</v>
      </c>
    </row>
    <row r="807" spans="1:19">
      <c r="A807" s="109" t="s">
        <v>752</v>
      </c>
      <c r="B807" s="113" t="s">
        <v>1051</v>
      </c>
      <c r="C807" s="113"/>
      <c r="D807" s="113">
        <v>0</v>
      </c>
      <c r="E807" s="4">
        <v>18</v>
      </c>
      <c r="F807" s="4">
        <v>4</v>
      </c>
      <c r="G807" s="4">
        <v>21</v>
      </c>
      <c r="H807" s="113">
        <v>7.0198999999999998</v>
      </c>
      <c r="I807" s="4">
        <v>1E-4</v>
      </c>
      <c r="J807" s="113">
        <v>-43.207999999999998</v>
      </c>
      <c r="K807" s="4">
        <v>8.0000000000000004E-4</v>
      </c>
      <c r="L807" s="4">
        <v>2.8000000000000001E-2</v>
      </c>
      <c r="M807" s="4">
        <v>4.0000000000000001E-3</v>
      </c>
      <c r="N807" s="4">
        <v>-4.5999999999999999E-3</v>
      </c>
      <c r="O807" s="4">
        <v>1E-4</v>
      </c>
      <c r="P807" s="4">
        <v>125.06</v>
      </c>
      <c r="Q807" s="4">
        <v>0.08</v>
      </c>
      <c r="R807" s="113">
        <f t="shared" si="65"/>
        <v>0.2430709426627794</v>
      </c>
      <c r="S807" s="22">
        <f t="shared" si="66"/>
        <v>1.5549076773566569E-4</v>
      </c>
    </row>
    <row r="808" spans="1:19">
      <c r="A808" s="109" t="s">
        <v>753</v>
      </c>
      <c r="B808" s="113" t="s">
        <v>1052</v>
      </c>
      <c r="C808" s="113"/>
      <c r="D808" s="113">
        <v>0</v>
      </c>
      <c r="E808" s="4">
        <v>18</v>
      </c>
      <c r="F808" s="4">
        <v>4</v>
      </c>
      <c r="G808" s="4">
        <v>21</v>
      </c>
      <c r="H808" s="113">
        <v>7.0198999999999998</v>
      </c>
      <c r="I808" s="4">
        <v>1E-4</v>
      </c>
      <c r="J808" s="113">
        <v>-43.207999999999998</v>
      </c>
      <c r="K808" s="4">
        <v>8.0000000000000004E-4</v>
      </c>
      <c r="L808" s="4">
        <v>2.8000000000000001E-2</v>
      </c>
      <c r="M808" s="4">
        <v>4.0000000000000001E-3</v>
      </c>
      <c r="N808" s="4">
        <v>-4.5999999999999999E-3</v>
      </c>
      <c r="O808" s="4">
        <v>1E-4</v>
      </c>
      <c r="P808" s="4">
        <v>125.06</v>
      </c>
      <c r="Q808" s="4">
        <v>0.08</v>
      </c>
      <c r="R808" s="113">
        <f t="shared" si="65"/>
        <v>0.2430709426627794</v>
      </c>
      <c r="S808" s="22">
        <f t="shared" si="66"/>
        <v>1.5549076773566569E-4</v>
      </c>
    </row>
    <row r="809" spans="1:19">
      <c r="A809" s="109" t="s">
        <v>754</v>
      </c>
      <c r="B809" s="113" t="s">
        <v>1053</v>
      </c>
      <c r="C809" s="113"/>
      <c r="D809" s="113">
        <v>0</v>
      </c>
      <c r="E809" s="4">
        <v>18</v>
      </c>
      <c r="F809" s="4">
        <v>4</v>
      </c>
      <c r="G809" s="4">
        <v>21</v>
      </c>
      <c r="H809" s="113">
        <v>7.0198999999999998</v>
      </c>
      <c r="I809" s="4">
        <v>1E-4</v>
      </c>
      <c r="J809" s="113">
        <v>-43.207999999999998</v>
      </c>
      <c r="K809" s="4">
        <v>8.0000000000000004E-4</v>
      </c>
      <c r="L809" s="4">
        <v>2.8000000000000001E-2</v>
      </c>
      <c r="M809" s="4">
        <v>4.0000000000000001E-3</v>
      </c>
      <c r="N809" s="4">
        <v>-4.5999999999999999E-3</v>
      </c>
      <c r="O809" s="4">
        <v>1E-4</v>
      </c>
      <c r="P809" s="4">
        <v>125.06</v>
      </c>
      <c r="Q809" s="4">
        <v>0.08</v>
      </c>
      <c r="R809" s="113">
        <f t="shared" si="65"/>
        <v>0.2430709426627794</v>
      </c>
      <c r="S809" s="22">
        <f t="shared" si="66"/>
        <v>1.5549076773566569E-4</v>
      </c>
    </row>
    <row r="810" spans="1:19">
      <c r="A810" s="109" t="s">
        <v>755</v>
      </c>
      <c r="B810" s="113" t="s">
        <v>1054</v>
      </c>
      <c r="C810" s="113"/>
      <c r="D810" s="113">
        <v>0</v>
      </c>
      <c r="E810" s="4">
        <v>18</v>
      </c>
      <c r="F810" s="4">
        <v>4</v>
      </c>
      <c r="G810" s="4">
        <v>21</v>
      </c>
      <c r="H810" s="113">
        <v>7.0198999999999998</v>
      </c>
      <c r="I810" s="4">
        <v>1E-4</v>
      </c>
      <c r="J810" s="113">
        <v>-43.207999999999998</v>
      </c>
      <c r="K810" s="4">
        <v>8.0000000000000004E-4</v>
      </c>
      <c r="L810" s="4">
        <v>2.8000000000000001E-2</v>
      </c>
      <c r="M810" s="4">
        <v>4.0000000000000001E-3</v>
      </c>
      <c r="N810" s="4">
        <v>-4.5999999999999999E-3</v>
      </c>
      <c r="O810" s="4">
        <v>1E-4</v>
      </c>
      <c r="P810" s="4">
        <v>125.06</v>
      </c>
      <c r="Q810" s="4">
        <v>0.08</v>
      </c>
      <c r="R810" s="113">
        <f t="shared" si="65"/>
        <v>0.2430709426627794</v>
      </c>
      <c r="S810" s="22">
        <f t="shared" si="66"/>
        <v>1.5549076773566569E-4</v>
      </c>
    </row>
    <row r="811" spans="1:19">
      <c r="A811" s="109" t="s">
        <v>756</v>
      </c>
      <c r="B811" s="113" t="s">
        <v>1055</v>
      </c>
      <c r="C811" s="113"/>
      <c r="D811" s="113">
        <v>0</v>
      </c>
      <c r="E811" s="4">
        <v>18</v>
      </c>
      <c r="F811" s="4">
        <v>5</v>
      </c>
      <c r="G811" s="4">
        <v>21</v>
      </c>
      <c r="H811" s="113">
        <v>7.0198999999999998</v>
      </c>
      <c r="I811" s="4">
        <v>1E-4</v>
      </c>
      <c r="J811" s="113">
        <v>-43.207999999999998</v>
      </c>
      <c r="K811" s="4">
        <v>8.0000000000000004E-4</v>
      </c>
      <c r="L811" s="4">
        <v>2.8000000000000001E-2</v>
      </c>
      <c r="M811" s="4">
        <v>4.0000000000000001E-3</v>
      </c>
      <c r="N811" s="4">
        <v>-4.5999999999999999E-3</v>
      </c>
      <c r="O811" s="4">
        <v>1E-4</v>
      </c>
      <c r="P811" s="4">
        <v>125.06</v>
      </c>
      <c r="Q811" s="4">
        <v>0.08</v>
      </c>
      <c r="R811" s="113">
        <f t="shared" si="65"/>
        <v>0.2430709426627794</v>
      </c>
      <c r="S811" s="22">
        <f t="shared" si="66"/>
        <v>1.5549076773566569E-4</v>
      </c>
    </row>
    <row r="812" spans="1:19">
      <c r="A812" s="109" t="s">
        <v>757</v>
      </c>
      <c r="B812" s="113" t="s">
        <v>1056</v>
      </c>
      <c r="C812" s="113"/>
      <c r="D812" s="113">
        <v>0</v>
      </c>
      <c r="E812" s="4">
        <v>18</v>
      </c>
      <c r="F812" s="4">
        <v>5</v>
      </c>
      <c r="G812" s="4">
        <v>21</v>
      </c>
      <c r="H812" s="113">
        <v>7.0198999999999998</v>
      </c>
      <c r="I812" s="4">
        <v>1E-4</v>
      </c>
      <c r="J812" s="113">
        <v>-43.207999999999998</v>
      </c>
      <c r="K812" s="4">
        <v>8.0000000000000004E-4</v>
      </c>
      <c r="L812" s="4">
        <v>2.8000000000000001E-2</v>
      </c>
      <c r="M812" s="4">
        <v>4.0000000000000001E-3</v>
      </c>
      <c r="N812" s="4">
        <v>-4.5999999999999999E-3</v>
      </c>
      <c r="O812" s="4">
        <v>1E-4</v>
      </c>
      <c r="P812" s="4">
        <v>125.06</v>
      </c>
      <c r="Q812" s="4">
        <v>0.08</v>
      </c>
      <c r="R812" s="113">
        <f t="shared" si="65"/>
        <v>0.2430709426627794</v>
      </c>
      <c r="S812" s="22">
        <f t="shared" si="66"/>
        <v>1.5549076773566569E-4</v>
      </c>
    </row>
    <row r="813" spans="1:19">
      <c r="A813" s="109" t="s">
        <v>758</v>
      </c>
      <c r="B813" s="113" t="s">
        <v>1057</v>
      </c>
      <c r="C813" s="113"/>
      <c r="D813" s="113">
        <v>0</v>
      </c>
      <c r="E813" s="4">
        <v>18</v>
      </c>
      <c r="F813" s="4">
        <v>5</v>
      </c>
      <c r="G813" s="4">
        <v>21</v>
      </c>
      <c r="H813" s="113">
        <v>7.0198999999999998</v>
      </c>
      <c r="I813" s="4">
        <v>1E-4</v>
      </c>
      <c r="J813" s="113">
        <v>-43.207999999999998</v>
      </c>
      <c r="K813" s="4">
        <v>8.0000000000000004E-4</v>
      </c>
      <c r="L813" s="4">
        <v>2.8000000000000001E-2</v>
      </c>
      <c r="M813" s="4">
        <v>4.0000000000000001E-3</v>
      </c>
      <c r="N813" s="4">
        <v>-4.5999999999999999E-3</v>
      </c>
      <c r="O813" s="4">
        <v>1E-4</v>
      </c>
      <c r="P813" s="4">
        <v>125.06</v>
      </c>
      <c r="Q813" s="4">
        <v>0.08</v>
      </c>
      <c r="R813" s="113">
        <f t="shared" si="65"/>
        <v>0.2430709426627794</v>
      </c>
      <c r="S813" s="22">
        <f t="shared" si="66"/>
        <v>1.5549076773566569E-4</v>
      </c>
    </row>
    <row r="814" spans="1:19">
      <c r="A814" s="109" t="s">
        <v>759</v>
      </c>
      <c r="B814" s="113" t="s">
        <v>1058</v>
      </c>
      <c r="C814" s="113"/>
      <c r="D814" s="113">
        <v>0</v>
      </c>
      <c r="E814" s="4">
        <v>18</v>
      </c>
      <c r="F814" s="4">
        <v>5</v>
      </c>
      <c r="G814" s="4">
        <v>21</v>
      </c>
      <c r="H814" s="113">
        <v>7.0198999999999998</v>
      </c>
      <c r="I814" s="4">
        <v>1E-4</v>
      </c>
      <c r="J814" s="113">
        <v>-43.207999999999998</v>
      </c>
      <c r="K814" s="4">
        <v>8.0000000000000004E-4</v>
      </c>
      <c r="L814" s="4">
        <v>2.8000000000000001E-2</v>
      </c>
      <c r="M814" s="4">
        <v>4.0000000000000001E-3</v>
      </c>
      <c r="N814" s="4">
        <v>-4.5999999999999999E-3</v>
      </c>
      <c r="O814" s="4">
        <v>1E-4</v>
      </c>
      <c r="P814" s="4">
        <v>125.06</v>
      </c>
      <c r="Q814" s="4">
        <v>0.08</v>
      </c>
      <c r="R814" s="113">
        <f t="shared" si="65"/>
        <v>0.2430709426627794</v>
      </c>
      <c r="S814" s="22">
        <f t="shared" si="66"/>
        <v>1.5549076773566569E-4</v>
      </c>
    </row>
    <row r="815" spans="1:19">
      <c r="A815" s="109" t="s">
        <v>760</v>
      </c>
      <c r="B815" s="113" t="s">
        <v>1059</v>
      </c>
      <c r="C815" s="113"/>
      <c r="D815" s="113">
        <v>0</v>
      </c>
      <c r="E815" s="4">
        <v>18</v>
      </c>
      <c r="F815" s="4">
        <v>5</v>
      </c>
      <c r="G815" s="4">
        <v>21</v>
      </c>
      <c r="H815" s="113">
        <v>7.0198999999999998</v>
      </c>
      <c r="I815" s="4">
        <v>1E-4</v>
      </c>
      <c r="J815" s="113">
        <v>-43.207999999999998</v>
      </c>
      <c r="K815" s="4">
        <v>8.0000000000000004E-4</v>
      </c>
      <c r="L815" s="4">
        <v>2.8000000000000001E-2</v>
      </c>
      <c r="M815" s="4">
        <v>4.0000000000000001E-3</v>
      </c>
      <c r="N815" s="4">
        <v>-4.5999999999999999E-3</v>
      </c>
      <c r="O815" s="4">
        <v>1E-4</v>
      </c>
      <c r="P815" s="4">
        <v>125.06</v>
      </c>
      <c r="Q815" s="4">
        <v>0.08</v>
      </c>
      <c r="R815" s="113">
        <f t="shared" si="65"/>
        <v>0.2430709426627794</v>
      </c>
      <c r="S815" s="22">
        <f t="shared" si="66"/>
        <v>1.5549076773566569E-4</v>
      </c>
    </row>
    <row r="816" spans="1:19">
      <c r="A816" s="109" t="s">
        <v>761</v>
      </c>
      <c r="B816" s="113" t="s">
        <v>1060</v>
      </c>
      <c r="C816" s="113"/>
      <c r="D816" s="113">
        <v>0</v>
      </c>
      <c r="E816" s="4">
        <v>18</v>
      </c>
      <c r="F816" s="4">
        <v>5</v>
      </c>
      <c r="G816" s="4">
        <v>21</v>
      </c>
      <c r="H816" s="113">
        <v>7.0198999999999998</v>
      </c>
      <c r="I816" s="4">
        <v>1E-4</v>
      </c>
      <c r="J816" s="113">
        <v>-43.207999999999998</v>
      </c>
      <c r="K816" s="4">
        <v>8.0000000000000004E-4</v>
      </c>
      <c r="L816" s="4">
        <v>2.8000000000000001E-2</v>
      </c>
      <c r="M816" s="4">
        <v>4.0000000000000001E-3</v>
      </c>
      <c r="N816" s="4">
        <v>-4.5999999999999999E-3</v>
      </c>
      <c r="O816" s="4">
        <v>1E-4</v>
      </c>
      <c r="P816" s="4">
        <v>125.06</v>
      </c>
      <c r="Q816" s="4">
        <v>0.08</v>
      </c>
      <c r="R816" s="113">
        <f t="shared" si="65"/>
        <v>0.2430709426627794</v>
      </c>
      <c r="S816" s="22">
        <f t="shared" si="66"/>
        <v>1.5549076773566569E-4</v>
      </c>
    </row>
    <row r="817" spans="1:19">
      <c r="A817" s="109" t="s">
        <v>762</v>
      </c>
      <c r="B817" s="113" t="s">
        <v>1061</v>
      </c>
      <c r="C817" s="113"/>
      <c r="D817" s="113">
        <v>0</v>
      </c>
      <c r="E817" s="4">
        <v>18</v>
      </c>
      <c r="F817" s="4">
        <v>5</v>
      </c>
      <c r="G817" s="4">
        <v>21</v>
      </c>
      <c r="H817" s="113">
        <v>7.0198999999999998</v>
      </c>
      <c r="I817" s="4">
        <v>1E-4</v>
      </c>
      <c r="J817" s="113">
        <v>-43.207999999999998</v>
      </c>
      <c r="K817" s="4">
        <v>8.0000000000000004E-4</v>
      </c>
      <c r="L817" s="4">
        <v>2.8000000000000001E-2</v>
      </c>
      <c r="M817" s="4">
        <v>4.0000000000000001E-3</v>
      </c>
      <c r="N817" s="4">
        <v>-4.5999999999999999E-3</v>
      </c>
      <c r="O817" s="4">
        <v>1E-4</v>
      </c>
      <c r="P817" s="4">
        <v>125.06</v>
      </c>
      <c r="Q817" s="4">
        <v>0.08</v>
      </c>
      <c r="R817" s="113">
        <f t="shared" si="65"/>
        <v>0.2430709426627794</v>
      </c>
      <c r="S817" s="22">
        <f t="shared" si="66"/>
        <v>1.5549076773566569E-4</v>
      </c>
    </row>
    <row r="818" spans="1:19">
      <c r="A818" s="109" t="s">
        <v>763</v>
      </c>
      <c r="B818" s="113" t="s">
        <v>1062</v>
      </c>
      <c r="C818" s="113"/>
      <c r="D818" s="113">
        <v>0</v>
      </c>
      <c r="E818" s="4">
        <v>18</v>
      </c>
      <c r="F818" s="4">
        <v>5</v>
      </c>
      <c r="G818" s="4">
        <v>21</v>
      </c>
      <c r="H818" s="113">
        <v>7.0198999999999998</v>
      </c>
      <c r="I818" s="4">
        <v>1E-4</v>
      </c>
      <c r="J818" s="113">
        <v>-43.207999999999998</v>
      </c>
      <c r="K818" s="4">
        <v>8.0000000000000004E-4</v>
      </c>
      <c r="L818" s="4">
        <v>2.8000000000000001E-2</v>
      </c>
      <c r="M818" s="4">
        <v>4.0000000000000001E-3</v>
      </c>
      <c r="N818" s="4">
        <v>-4.5999999999999999E-3</v>
      </c>
      <c r="O818" s="4">
        <v>1E-4</v>
      </c>
      <c r="P818" s="4">
        <v>125.06</v>
      </c>
      <c r="Q818" s="4">
        <v>0.08</v>
      </c>
      <c r="R818" s="113">
        <f t="shared" si="65"/>
        <v>0.2430709426627794</v>
      </c>
      <c r="S818" s="22">
        <f t="shared" si="66"/>
        <v>1.5549076773566569E-4</v>
      </c>
    </row>
    <row r="819" spans="1:19">
      <c r="A819" s="109" t="s">
        <v>764</v>
      </c>
      <c r="B819" s="113" t="s">
        <v>1063</v>
      </c>
      <c r="C819" s="113"/>
      <c r="D819" s="113">
        <v>0</v>
      </c>
      <c r="E819" s="4">
        <v>18</v>
      </c>
      <c r="F819" s="4">
        <v>5</v>
      </c>
      <c r="G819" s="4">
        <v>21</v>
      </c>
      <c r="H819" s="113">
        <v>7.0198999999999998</v>
      </c>
      <c r="I819" s="4">
        <v>1E-4</v>
      </c>
      <c r="J819" s="113">
        <v>-43.207999999999998</v>
      </c>
      <c r="K819" s="4">
        <v>8.0000000000000004E-4</v>
      </c>
      <c r="L819" s="4">
        <v>2.8000000000000001E-2</v>
      </c>
      <c r="M819" s="4">
        <v>4.0000000000000001E-3</v>
      </c>
      <c r="N819" s="4">
        <v>-4.5999999999999999E-3</v>
      </c>
      <c r="O819" s="4">
        <v>1E-4</v>
      </c>
      <c r="P819" s="4">
        <v>125.06</v>
      </c>
      <c r="Q819" s="4">
        <v>0.08</v>
      </c>
      <c r="R819" s="113">
        <f t="shared" si="65"/>
        <v>0.2430709426627794</v>
      </c>
      <c r="S819" s="22">
        <f t="shared" si="66"/>
        <v>1.5549076773566569E-4</v>
      </c>
    </row>
    <row r="820" spans="1:19">
      <c r="A820" s="109" t="s">
        <v>766</v>
      </c>
      <c r="B820" s="113" t="s">
        <v>1064</v>
      </c>
      <c r="C820" s="113"/>
      <c r="D820" s="113">
        <v>0</v>
      </c>
      <c r="E820" s="4">
        <v>18</v>
      </c>
      <c r="F820" s="4">
        <v>6</v>
      </c>
      <c r="G820" s="4">
        <v>21</v>
      </c>
      <c r="H820" s="113">
        <v>7.0198999999999998</v>
      </c>
      <c r="I820" s="4">
        <v>1E-4</v>
      </c>
      <c r="J820" s="113">
        <v>-43.207999999999998</v>
      </c>
      <c r="K820" s="4">
        <v>8.0000000000000004E-4</v>
      </c>
      <c r="L820" s="4">
        <v>2.8000000000000001E-2</v>
      </c>
      <c r="M820" s="4">
        <v>4.0000000000000001E-3</v>
      </c>
      <c r="N820" s="4">
        <v>-4.5999999999999999E-3</v>
      </c>
      <c r="O820" s="4">
        <v>1E-4</v>
      </c>
      <c r="P820" s="4">
        <v>125.06</v>
      </c>
      <c r="Q820" s="4">
        <v>0.08</v>
      </c>
      <c r="R820" s="113">
        <f t="shared" si="65"/>
        <v>0.2430709426627794</v>
      </c>
      <c r="S820" s="22">
        <f t="shared" si="66"/>
        <v>1.5549076773566569E-4</v>
      </c>
    </row>
    <row r="821" spans="1:19">
      <c r="A821" s="109" t="s">
        <v>767</v>
      </c>
      <c r="B821" s="113" t="s">
        <v>1065</v>
      </c>
      <c r="C821" s="113"/>
      <c r="D821" s="113">
        <v>0</v>
      </c>
      <c r="E821" s="4">
        <v>18</v>
      </c>
      <c r="F821" s="4">
        <v>6</v>
      </c>
      <c r="G821" s="4">
        <v>21</v>
      </c>
      <c r="H821" s="113">
        <v>7.0198999999999998</v>
      </c>
      <c r="I821" s="4">
        <v>1E-4</v>
      </c>
      <c r="J821" s="113">
        <v>-43.207999999999998</v>
      </c>
      <c r="K821" s="4">
        <v>8.0000000000000004E-4</v>
      </c>
      <c r="L821" s="4">
        <v>2.8000000000000001E-2</v>
      </c>
      <c r="M821" s="4">
        <v>4.0000000000000001E-3</v>
      </c>
      <c r="N821" s="4">
        <v>-4.5999999999999999E-3</v>
      </c>
      <c r="O821" s="4">
        <v>1E-4</v>
      </c>
      <c r="P821" s="4">
        <v>125.06</v>
      </c>
      <c r="Q821" s="4">
        <v>0.08</v>
      </c>
      <c r="R821" s="113">
        <f t="shared" si="65"/>
        <v>0.2430709426627794</v>
      </c>
      <c r="S821" s="22">
        <f t="shared" si="66"/>
        <v>1.5549076773566569E-4</v>
      </c>
    </row>
    <row r="822" spans="1:19">
      <c r="A822" s="109" t="s">
        <v>768</v>
      </c>
      <c r="B822" s="113" t="s">
        <v>1066</v>
      </c>
      <c r="C822" s="113"/>
      <c r="D822" s="113">
        <v>0</v>
      </c>
      <c r="E822" s="4">
        <v>18</v>
      </c>
      <c r="F822" s="4">
        <v>6</v>
      </c>
      <c r="G822" s="4">
        <v>21</v>
      </c>
      <c r="H822" s="113">
        <v>7.0198999999999998</v>
      </c>
      <c r="I822" s="4">
        <v>1E-4</v>
      </c>
      <c r="J822" s="113">
        <v>-43.207999999999998</v>
      </c>
      <c r="K822" s="4">
        <v>8.0000000000000004E-4</v>
      </c>
      <c r="L822" s="4">
        <v>2.8000000000000001E-2</v>
      </c>
      <c r="M822" s="4">
        <v>4.0000000000000001E-3</v>
      </c>
      <c r="N822" s="4">
        <v>-4.5999999999999999E-3</v>
      </c>
      <c r="O822" s="4">
        <v>1E-4</v>
      </c>
      <c r="P822" s="4">
        <v>125.06</v>
      </c>
      <c r="Q822" s="4">
        <v>0.08</v>
      </c>
      <c r="R822" s="113">
        <f t="shared" si="65"/>
        <v>0.2430709426627794</v>
      </c>
      <c r="S822" s="22">
        <f t="shared" si="66"/>
        <v>1.5549076773566569E-4</v>
      </c>
    </row>
    <row r="823" spans="1:19">
      <c r="A823" s="109" t="s">
        <v>769</v>
      </c>
      <c r="B823" s="113" t="s">
        <v>1067</v>
      </c>
      <c r="C823" s="113"/>
      <c r="D823" s="113">
        <v>0</v>
      </c>
      <c r="E823" s="4">
        <v>18</v>
      </c>
      <c r="F823" s="4">
        <v>6</v>
      </c>
      <c r="G823" s="4">
        <v>21</v>
      </c>
      <c r="H823" s="113">
        <v>7.0198999999999998</v>
      </c>
      <c r="I823" s="4">
        <v>1E-4</v>
      </c>
      <c r="J823" s="113">
        <v>-43.207999999999998</v>
      </c>
      <c r="K823" s="4">
        <v>8.0000000000000004E-4</v>
      </c>
      <c r="L823" s="4">
        <v>2.8000000000000001E-2</v>
      </c>
      <c r="M823" s="4">
        <v>4.0000000000000001E-3</v>
      </c>
      <c r="N823" s="4">
        <v>-4.5999999999999999E-3</v>
      </c>
      <c r="O823" s="4">
        <v>1E-4</v>
      </c>
      <c r="P823" s="4">
        <v>125.06</v>
      </c>
      <c r="Q823" s="4">
        <v>0.08</v>
      </c>
      <c r="R823" s="113">
        <f t="shared" si="65"/>
        <v>0.2430709426627794</v>
      </c>
      <c r="S823" s="22">
        <f t="shared" si="66"/>
        <v>1.5549076773566569E-4</v>
      </c>
    </row>
    <row r="824" spans="1:19">
      <c r="A824" s="109" t="s">
        <v>771</v>
      </c>
      <c r="B824" s="113" t="s">
        <v>1068</v>
      </c>
      <c r="C824" s="113"/>
      <c r="D824" s="113">
        <v>0</v>
      </c>
      <c r="E824" s="4">
        <v>18</v>
      </c>
      <c r="F824" s="4">
        <v>6</v>
      </c>
      <c r="G824" s="4">
        <v>21</v>
      </c>
      <c r="H824" s="113">
        <v>7.0198999999999998</v>
      </c>
      <c r="I824" s="4">
        <v>1E-4</v>
      </c>
      <c r="J824" s="113">
        <v>-43.207999999999998</v>
      </c>
      <c r="K824" s="4">
        <v>8.0000000000000004E-4</v>
      </c>
      <c r="L824" s="4">
        <v>2.8000000000000001E-2</v>
      </c>
      <c r="M824" s="4">
        <v>4.0000000000000001E-3</v>
      </c>
      <c r="N824" s="4">
        <v>-4.5999999999999999E-3</v>
      </c>
      <c r="O824" s="4">
        <v>1E-4</v>
      </c>
      <c r="P824" s="4">
        <v>125.06</v>
      </c>
      <c r="Q824" s="4">
        <v>0.08</v>
      </c>
      <c r="R824" s="113">
        <f t="shared" si="65"/>
        <v>0.2430709426627794</v>
      </c>
      <c r="S824" s="22">
        <f t="shared" si="66"/>
        <v>1.5549076773566569E-4</v>
      </c>
    </row>
    <row r="825" spans="1:19">
      <c r="A825" s="109" t="s">
        <v>772</v>
      </c>
      <c r="B825" s="113" t="s">
        <v>1069</v>
      </c>
      <c r="C825" s="113"/>
      <c r="D825" s="113">
        <v>0</v>
      </c>
      <c r="E825" s="4">
        <v>18</v>
      </c>
      <c r="F825" s="4">
        <v>6</v>
      </c>
      <c r="G825" s="4">
        <v>21</v>
      </c>
      <c r="H825" s="113">
        <v>7.0198999999999998</v>
      </c>
      <c r="I825" s="4">
        <v>1E-4</v>
      </c>
      <c r="J825" s="113">
        <v>-43.207999999999998</v>
      </c>
      <c r="K825" s="4">
        <v>8.0000000000000004E-4</v>
      </c>
      <c r="L825" s="4">
        <v>2.8000000000000001E-2</v>
      </c>
      <c r="M825" s="4">
        <v>4.0000000000000001E-3</v>
      </c>
      <c r="N825" s="4">
        <v>-4.5999999999999999E-3</v>
      </c>
      <c r="O825" s="4">
        <v>1E-4</v>
      </c>
      <c r="P825" s="4">
        <v>125.06</v>
      </c>
      <c r="Q825" s="4">
        <v>0.08</v>
      </c>
      <c r="R825" s="113">
        <f t="shared" si="65"/>
        <v>0.2430709426627794</v>
      </c>
      <c r="S825" s="22">
        <f t="shared" si="66"/>
        <v>1.5549076773566569E-4</v>
      </c>
    </row>
    <row r="826" spans="1:19">
      <c r="A826" s="109" t="s">
        <v>773</v>
      </c>
      <c r="B826" s="113" t="s">
        <v>1070</v>
      </c>
      <c r="C826" s="113"/>
      <c r="D826" s="113">
        <v>0</v>
      </c>
      <c r="E826" s="4">
        <v>18</v>
      </c>
      <c r="F826" s="4">
        <v>6</v>
      </c>
      <c r="G826" s="4">
        <v>21</v>
      </c>
      <c r="H826" s="113">
        <v>7.0198999999999998</v>
      </c>
      <c r="I826" s="4">
        <v>1E-4</v>
      </c>
      <c r="J826" s="113">
        <v>-43.207999999999998</v>
      </c>
      <c r="K826" s="4">
        <v>8.0000000000000004E-4</v>
      </c>
      <c r="L826" s="4">
        <v>2.8000000000000001E-2</v>
      </c>
      <c r="M826" s="4">
        <v>4.0000000000000001E-3</v>
      </c>
      <c r="N826" s="4">
        <v>-4.5999999999999999E-3</v>
      </c>
      <c r="O826" s="4">
        <v>1E-4</v>
      </c>
      <c r="P826" s="4">
        <v>125.06</v>
      </c>
      <c r="Q826" s="4">
        <v>0.08</v>
      </c>
      <c r="R826" s="113">
        <f t="shared" si="65"/>
        <v>0.2430709426627794</v>
      </c>
      <c r="S826" s="22">
        <f t="shared" si="66"/>
        <v>1.5549076773566569E-4</v>
      </c>
    </row>
    <row r="827" spans="1:19">
      <c r="A827" s="109" t="s">
        <v>774</v>
      </c>
      <c r="B827" s="113" t="s">
        <v>1071</v>
      </c>
      <c r="C827" s="113"/>
      <c r="D827" s="113">
        <v>0</v>
      </c>
      <c r="E827" s="4">
        <v>18</v>
      </c>
      <c r="F827" s="4">
        <v>6</v>
      </c>
      <c r="G827" s="4">
        <v>21</v>
      </c>
      <c r="H827" s="113">
        <v>7.0198999999999998</v>
      </c>
      <c r="I827" s="4">
        <v>1E-4</v>
      </c>
      <c r="J827" s="113">
        <v>-43.207999999999998</v>
      </c>
      <c r="K827" s="4">
        <v>8.0000000000000004E-4</v>
      </c>
      <c r="L827" s="4">
        <v>2.8000000000000001E-2</v>
      </c>
      <c r="M827" s="4">
        <v>4.0000000000000001E-3</v>
      </c>
      <c r="N827" s="4">
        <v>-4.5999999999999999E-3</v>
      </c>
      <c r="O827" s="4">
        <v>1E-4</v>
      </c>
      <c r="P827" s="4">
        <v>125.06</v>
      </c>
      <c r="Q827" s="4">
        <v>0.08</v>
      </c>
      <c r="R827" s="113">
        <f t="shared" si="65"/>
        <v>0.2430709426627794</v>
      </c>
      <c r="S827" s="22">
        <f t="shared" si="66"/>
        <v>1.5549076773566569E-4</v>
      </c>
    </row>
    <row r="828" spans="1:19">
      <c r="A828" s="109" t="s">
        <v>775</v>
      </c>
      <c r="B828" s="113" t="s">
        <v>1072</v>
      </c>
      <c r="C828" s="113"/>
      <c r="D828" s="113">
        <v>0</v>
      </c>
      <c r="E828" s="4">
        <v>18</v>
      </c>
      <c r="F828" s="4">
        <v>6</v>
      </c>
      <c r="G828" s="4">
        <v>21</v>
      </c>
      <c r="H828" s="113">
        <v>7.0198999999999998</v>
      </c>
      <c r="I828" s="4">
        <v>1E-4</v>
      </c>
      <c r="J828" s="113">
        <v>-43.207999999999998</v>
      </c>
      <c r="K828" s="4">
        <v>8.0000000000000004E-4</v>
      </c>
      <c r="L828" s="4">
        <v>2.8000000000000001E-2</v>
      </c>
      <c r="M828" s="4">
        <v>4.0000000000000001E-3</v>
      </c>
      <c r="N828" s="4">
        <v>-4.5999999999999999E-3</v>
      </c>
      <c r="O828" s="4">
        <v>1E-4</v>
      </c>
      <c r="P828" s="4">
        <v>125.06</v>
      </c>
      <c r="Q828" s="4">
        <v>0.08</v>
      </c>
      <c r="R828" s="113">
        <f t="shared" si="65"/>
        <v>0.2430709426627794</v>
      </c>
      <c r="S828" s="22">
        <f t="shared" si="66"/>
        <v>1.5549076773566569E-4</v>
      </c>
    </row>
    <row r="829" spans="1:19">
      <c r="A829" s="109" t="s">
        <v>776</v>
      </c>
      <c r="B829" s="113" t="s">
        <v>1073</v>
      </c>
      <c r="C829" s="113"/>
      <c r="D829" s="113">
        <v>0</v>
      </c>
      <c r="E829" s="4">
        <v>18</v>
      </c>
      <c r="F829" s="4">
        <v>6</v>
      </c>
      <c r="G829" s="4">
        <v>21</v>
      </c>
      <c r="H829" s="113">
        <v>7.0198999999999998</v>
      </c>
      <c r="I829" s="4">
        <v>1E-4</v>
      </c>
      <c r="J829" s="113">
        <v>-43.207999999999998</v>
      </c>
      <c r="K829" s="4">
        <v>8.0000000000000004E-4</v>
      </c>
      <c r="L829" s="4">
        <v>2.8000000000000001E-2</v>
      </c>
      <c r="M829" s="4">
        <v>4.0000000000000001E-3</v>
      </c>
      <c r="N829" s="4">
        <v>-4.5999999999999999E-3</v>
      </c>
      <c r="O829" s="4">
        <v>1E-4</v>
      </c>
      <c r="P829" s="4">
        <v>125.06</v>
      </c>
      <c r="Q829" s="4">
        <v>0.08</v>
      </c>
      <c r="R829" s="113">
        <f t="shared" si="65"/>
        <v>0.2430709426627794</v>
      </c>
      <c r="S829" s="22">
        <f t="shared" si="66"/>
        <v>1.5549076773566569E-4</v>
      </c>
    </row>
    <row r="830" spans="1:19">
      <c r="A830" s="109" t="s">
        <v>777</v>
      </c>
      <c r="B830" s="113" t="s">
        <v>1074</v>
      </c>
      <c r="C830" s="113"/>
      <c r="D830" s="113">
        <v>0</v>
      </c>
      <c r="E830" s="4">
        <v>18</v>
      </c>
      <c r="F830" s="4">
        <v>6</v>
      </c>
      <c r="G830" s="4">
        <v>21</v>
      </c>
      <c r="H830" s="113">
        <v>7.0198999999999998</v>
      </c>
      <c r="I830" s="4">
        <v>1E-4</v>
      </c>
      <c r="J830" s="113">
        <v>-43.207999999999998</v>
      </c>
      <c r="K830" s="4">
        <v>8.0000000000000004E-4</v>
      </c>
      <c r="L830" s="4">
        <v>2.8000000000000001E-2</v>
      </c>
      <c r="M830" s="4">
        <v>4.0000000000000001E-3</v>
      </c>
      <c r="N830" s="4">
        <v>-4.5999999999999999E-3</v>
      </c>
      <c r="O830" s="4">
        <v>1E-4</v>
      </c>
      <c r="P830" s="4">
        <v>125.06</v>
      </c>
      <c r="Q830" s="4">
        <v>0.08</v>
      </c>
      <c r="R830" s="113">
        <f t="shared" si="65"/>
        <v>0.2430709426627794</v>
      </c>
      <c r="S830" s="22">
        <f t="shared" si="66"/>
        <v>1.5549076773566569E-4</v>
      </c>
    </row>
    <row r="831" spans="1:19">
      <c r="A831" s="109" t="s">
        <v>778</v>
      </c>
      <c r="B831" s="113" t="s">
        <v>1075</v>
      </c>
      <c r="C831" s="113"/>
      <c r="D831" s="113">
        <v>0</v>
      </c>
      <c r="E831" s="4">
        <v>18</v>
      </c>
      <c r="F831" s="4">
        <v>6</v>
      </c>
      <c r="G831" s="4">
        <v>21</v>
      </c>
      <c r="H831" s="113">
        <v>7.0198999999999998</v>
      </c>
      <c r="I831" s="4">
        <v>1E-4</v>
      </c>
      <c r="J831" s="113">
        <v>-43.207999999999998</v>
      </c>
      <c r="K831" s="4">
        <v>8.0000000000000004E-4</v>
      </c>
      <c r="L831" s="4">
        <v>2.8000000000000001E-2</v>
      </c>
      <c r="M831" s="4">
        <v>4.0000000000000001E-3</v>
      </c>
      <c r="N831" s="4">
        <v>-4.5999999999999999E-3</v>
      </c>
      <c r="O831" s="4">
        <v>1E-4</v>
      </c>
      <c r="P831" s="4">
        <v>125.06</v>
      </c>
      <c r="Q831" s="4">
        <v>0.08</v>
      </c>
      <c r="R831" s="113">
        <f t="shared" si="65"/>
        <v>0.2430709426627794</v>
      </c>
      <c r="S831" s="22">
        <f t="shared" si="66"/>
        <v>1.5549076773566569E-4</v>
      </c>
    </row>
    <row r="832" spans="1:19">
      <c r="A832" s="109" t="s">
        <v>779</v>
      </c>
      <c r="B832" s="113" t="s">
        <v>1076</v>
      </c>
      <c r="C832" s="113"/>
      <c r="D832" s="113">
        <v>0</v>
      </c>
      <c r="E832" s="4">
        <v>18</v>
      </c>
      <c r="F832" s="4">
        <v>6</v>
      </c>
      <c r="G832" s="4">
        <v>21</v>
      </c>
      <c r="H832" s="113">
        <v>7.0198999999999998</v>
      </c>
      <c r="I832" s="4">
        <v>1E-4</v>
      </c>
      <c r="J832" s="113">
        <v>-43.207999999999998</v>
      </c>
      <c r="K832" s="4">
        <v>8.0000000000000004E-4</v>
      </c>
      <c r="L832" s="4">
        <v>2.8000000000000001E-2</v>
      </c>
      <c r="M832" s="4">
        <v>4.0000000000000001E-3</v>
      </c>
      <c r="N832" s="4">
        <v>-4.5999999999999999E-3</v>
      </c>
      <c r="O832" s="4">
        <v>1E-4</v>
      </c>
      <c r="P832" s="4">
        <v>125.06</v>
      </c>
      <c r="Q832" s="4">
        <v>0.08</v>
      </c>
      <c r="R832" s="113">
        <f t="shared" si="65"/>
        <v>0.2430709426627794</v>
      </c>
      <c r="S832" s="22">
        <f t="shared" si="66"/>
        <v>1.5549076773566569E-4</v>
      </c>
    </row>
    <row r="833" spans="1:19">
      <c r="A833" s="109" t="s">
        <v>780</v>
      </c>
      <c r="B833" s="113" t="s">
        <v>1077</v>
      </c>
      <c r="C833" s="113"/>
      <c r="D833" s="113">
        <v>0</v>
      </c>
      <c r="E833" s="4">
        <v>18</v>
      </c>
      <c r="F833" s="4">
        <v>6</v>
      </c>
      <c r="G833" s="4">
        <v>21</v>
      </c>
      <c r="H833" s="113">
        <v>7.0198999999999998</v>
      </c>
      <c r="I833" s="4">
        <v>1E-4</v>
      </c>
      <c r="J833" s="113">
        <v>-43.207999999999998</v>
      </c>
      <c r="K833" s="4">
        <v>8.0000000000000004E-4</v>
      </c>
      <c r="L833" s="4">
        <v>2.8000000000000001E-2</v>
      </c>
      <c r="M833" s="4">
        <v>4.0000000000000001E-3</v>
      </c>
      <c r="N833" s="4">
        <v>-4.5999999999999999E-3</v>
      </c>
      <c r="O833" s="4">
        <v>1E-4</v>
      </c>
      <c r="P833" s="4">
        <v>125.06</v>
      </c>
      <c r="Q833" s="4">
        <v>0.08</v>
      </c>
      <c r="R833" s="113">
        <f t="shared" si="65"/>
        <v>0.2430709426627794</v>
      </c>
      <c r="S833" s="22">
        <f t="shared" si="66"/>
        <v>1.5549076773566569E-4</v>
      </c>
    </row>
    <row r="834" spans="1:19">
      <c r="A834" s="109" t="s">
        <v>781</v>
      </c>
      <c r="B834" s="113" t="s">
        <v>1078</v>
      </c>
      <c r="C834" s="113"/>
      <c r="D834" s="113">
        <v>0</v>
      </c>
      <c r="E834" s="4">
        <v>18</v>
      </c>
      <c r="F834" s="4">
        <v>6</v>
      </c>
      <c r="G834" s="4">
        <v>21</v>
      </c>
      <c r="H834" s="113">
        <v>7.0198999999999998</v>
      </c>
      <c r="I834" s="4">
        <v>1E-4</v>
      </c>
      <c r="J834" s="113">
        <v>-43.207999999999998</v>
      </c>
      <c r="K834" s="4">
        <v>8.0000000000000004E-4</v>
      </c>
      <c r="L834" s="4">
        <v>2.8000000000000001E-2</v>
      </c>
      <c r="M834" s="4">
        <v>4.0000000000000001E-3</v>
      </c>
      <c r="N834" s="4">
        <v>-4.5999999999999999E-3</v>
      </c>
      <c r="O834" s="4">
        <v>1E-4</v>
      </c>
      <c r="P834" s="4">
        <v>125.06</v>
      </c>
      <c r="Q834" s="4">
        <v>0.08</v>
      </c>
      <c r="R834" s="113">
        <f t="shared" si="65"/>
        <v>0.2430709426627794</v>
      </c>
      <c r="S834" s="22">
        <f t="shared" si="66"/>
        <v>1.5549076773566569E-4</v>
      </c>
    </row>
    <row r="835" spans="1:19">
      <c r="A835" s="109" t="s">
        <v>782</v>
      </c>
      <c r="B835" s="113" t="s">
        <v>1079</v>
      </c>
      <c r="C835" s="113"/>
      <c r="D835" s="113">
        <v>0</v>
      </c>
      <c r="E835" s="4">
        <v>18</v>
      </c>
      <c r="F835" s="4">
        <v>6</v>
      </c>
      <c r="G835" s="4">
        <v>21</v>
      </c>
      <c r="H835" s="113">
        <v>7.0198999999999998</v>
      </c>
      <c r="I835" s="4">
        <v>1E-4</v>
      </c>
      <c r="J835" s="113">
        <v>-43.207999999999998</v>
      </c>
      <c r="K835" s="4">
        <v>8.0000000000000004E-4</v>
      </c>
      <c r="L835" s="4">
        <v>2.8000000000000001E-2</v>
      </c>
      <c r="M835" s="4">
        <v>4.0000000000000001E-3</v>
      </c>
      <c r="N835" s="4">
        <v>-4.5999999999999999E-3</v>
      </c>
      <c r="O835" s="4">
        <v>1E-4</v>
      </c>
      <c r="P835" s="4">
        <v>125.06</v>
      </c>
      <c r="Q835" s="4">
        <v>0.08</v>
      </c>
      <c r="R835" s="113">
        <f t="shared" si="65"/>
        <v>0.2430709426627794</v>
      </c>
      <c r="S835" s="22">
        <f t="shared" si="66"/>
        <v>1.5549076773566569E-4</v>
      </c>
    </row>
    <row r="836" spans="1:19">
      <c r="A836" s="109" t="s">
        <v>783</v>
      </c>
      <c r="B836" s="113" t="s">
        <v>1080</v>
      </c>
      <c r="C836" s="113"/>
      <c r="D836" s="113">
        <v>0</v>
      </c>
      <c r="E836" s="4">
        <v>18</v>
      </c>
      <c r="F836" s="4">
        <v>6</v>
      </c>
      <c r="G836" s="4">
        <v>21</v>
      </c>
      <c r="H836" s="113">
        <v>7.0198999999999998</v>
      </c>
      <c r="I836" s="4">
        <v>1E-4</v>
      </c>
      <c r="J836" s="113">
        <v>-43.207999999999998</v>
      </c>
      <c r="K836" s="4">
        <v>8.0000000000000004E-4</v>
      </c>
      <c r="L836" s="4">
        <v>2.8000000000000001E-2</v>
      </c>
      <c r="M836" s="4">
        <v>4.0000000000000001E-3</v>
      </c>
      <c r="N836" s="4">
        <v>-4.5999999999999999E-3</v>
      </c>
      <c r="O836" s="4">
        <v>1E-4</v>
      </c>
      <c r="P836" s="4">
        <v>125.06</v>
      </c>
      <c r="Q836" s="4">
        <v>0.08</v>
      </c>
      <c r="R836" s="113">
        <f t="shared" si="65"/>
        <v>0.2430709426627794</v>
      </c>
      <c r="S836" s="22">
        <f t="shared" si="66"/>
        <v>1.5549076773566569E-4</v>
      </c>
    </row>
    <row r="837" spans="1:19">
      <c r="A837" s="109" t="s">
        <v>784</v>
      </c>
      <c r="B837" s="113" t="s">
        <v>1081</v>
      </c>
      <c r="C837" s="113"/>
      <c r="D837" s="113">
        <v>0</v>
      </c>
      <c r="E837" s="4">
        <v>18</v>
      </c>
      <c r="F837" s="4">
        <v>6</v>
      </c>
      <c r="G837" s="4">
        <v>21</v>
      </c>
      <c r="H837" s="113">
        <v>7.0198999999999998</v>
      </c>
      <c r="I837" s="4">
        <v>1E-4</v>
      </c>
      <c r="J837" s="113">
        <v>-43.207999999999998</v>
      </c>
      <c r="K837" s="4">
        <v>8.0000000000000004E-4</v>
      </c>
      <c r="L837" s="4">
        <v>2.8000000000000001E-2</v>
      </c>
      <c r="M837" s="4">
        <v>4.0000000000000001E-3</v>
      </c>
      <c r="N837" s="4">
        <v>-4.5999999999999999E-3</v>
      </c>
      <c r="O837" s="4">
        <v>1E-4</v>
      </c>
      <c r="P837" s="4">
        <v>125.06</v>
      </c>
      <c r="Q837" s="4">
        <v>0.08</v>
      </c>
      <c r="R837" s="113">
        <f t="shared" si="65"/>
        <v>0.2430709426627794</v>
      </c>
      <c r="S837" s="22">
        <f t="shared" si="66"/>
        <v>1.5549076773566569E-4</v>
      </c>
    </row>
    <row r="838" spans="1:19">
      <c r="A838" s="109" t="s">
        <v>785</v>
      </c>
      <c r="B838" s="113" t="s">
        <v>1082</v>
      </c>
      <c r="C838" s="113"/>
      <c r="D838" s="113">
        <v>0</v>
      </c>
      <c r="E838" s="4">
        <v>18</v>
      </c>
      <c r="F838" s="4">
        <v>6</v>
      </c>
      <c r="G838" s="4">
        <v>21</v>
      </c>
      <c r="H838" s="113">
        <v>7.0198999999999998</v>
      </c>
      <c r="I838" s="4">
        <v>1E-4</v>
      </c>
      <c r="J838" s="113">
        <v>-43.207999999999998</v>
      </c>
      <c r="K838" s="4">
        <v>8.0000000000000004E-4</v>
      </c>
      <c r="L838" s="4">
        <v>2.8000000000000001E-2</v>
      </c>
      <c r="M838" s="4">
        <v>4.0000000000000001E-3</v>
      </c>
      <c r="N838" s="4">
        <v>-4.5999999999999999E-3</v>
      </c>
      <c r="O838" s="4">
        <v>1E-4</v>
      </c>
      <c r="P838" s="4">
        <v>125.06</v>
      </c>
      <c r="Q838" s="4">
        <v>0.08</v>
      </c>
      <c r="R838" s="113">
        <f t="shared" si="65"/>
        <v>0.2430709426627794</v>
      </c>
      <c r="S838" s="22">
        <f t="shared" si="66"/>
        <v>1.5549076773566569E-4</v>
      </c>
    </row>
    <row r="839" spans="1:19">
      <c r="A839" s="109" t="s">
        <v>786</v>
      </c>
      <c r="B839" s="113" t="s">
        <v>1083</v>
      </c>
      <c r="C839" s="113"/>
      <c r="D839" s="113">
        <v>0</v>
      </c>
      <c r="E839" s="4">
        <v>18</v>
      </c>
      <c r="F839" s="4">
        <v>7</v>
      </c>
      <c r="G839" s="4">
        <v>21</v>
      </c>
      <c r="H839" s="113">
        <v>7.0198999999999998</v>
      </c>
      <c r="I839" s="4">
        <v>1E-4</v>
      </c>
      <c r="J839" s="113">
        <v>-43.207999999999998</v>
      </c>
      <c r="K839" s="4">
        <v>8.0000000000000004E-4</v>
      </c>
      <c r="L839" s="4">
        <v>2.8000000000000001E-2</v>
      </c>
      <c r="M839" s="4">
        <v>4.0000000000000001E-3</v>
      </c>
      <c r="N839" s="4">
        <v>-4.5999999999999999E-3</v>
      </c>
      <c r="O839" s="4">
        <v>1E-4</v>
      </c>
      <c r="P839" s="4">
        <v>125.06</v>
      </c>
      <c r="Q839" s="4">
        <v>0.08</v>
      </c>
      <c r="R839" s="113">
        <f t="shared" si="65"/>
        <v>0.2430709426627794</v>
      </c>
      <c r="S839" s="22">
        <f t="shared" si="66"/>
        <v>1.5549076773566569E-4</v>
      </c>
    </row>
    <row r="840" spans="1:19">
      <c r="A840" s="109" t="s">
        <v>787</v>
      </c>
      <c r="B840" s="113" t="s">
        <v>1084</v>
      </c>
      <c r="C840" s="113"/>
      <c r="D840" s="113">
        <v>0</v>
      </c>
      <c r="E840" s="4">
        <v>18</v>
      </c>
      <c r="F840" s="4">
        <v>7</v>
      </c>
      <c r="G840" s="4">
        <v>21</v>
      </c>
      <c r="H840" s="113">
        <v>7.0198999999999998</v>
      </c>
      <c r="I840" s="4">
        <v>1E-4</v>
      </c>
      <c r="J840" s="113">
        <v>-43.207999999999998</v>
      </c>
      <c r="K840" s="4">
        <v>8.0000000000000004E-4</v>
      </c>
      <c r="L840" s="4">
        <v>2.8000000000000001E-2</v>
      </c>
      <c r="M840" s="4">
        <v>4.0000000000000001E-3</v>
      </c>
      <c r="N840" s="4">
        <v>-4.5999999999999999E-3</v>
      </c>
      <c r="O840" s="4">
        <v>1E-4</v>
      </c>
      <c r="P840" s="4">
        <v>125.06</v>
      </c>
      <c r="Q840" s="4">
        <v>0.08</v>
      </c>
      <c r="R840" s="113">
        <f t="shared" si="65"/>
        <v>0.2430709426627794</v>
      </c>
      <c r="S840" s="22">
        <f t="shared" si="66"/>
        <v>1.5549076773566569E-4</v>
      </c>
    </row>
    <row r="841" spans="1:19">
      <c r="A841" s="109" t="s">
        <v>788</v>
      </c>
      <c r="B841" s="113" t="s">
        <v>1085</v>
      </c>
      <c r="C841" s="113"/>
      <c r="D841" s="113">
        <v>0</v>
      </c>
      <c r="E841" s="4">
        <v>18</v>
      </c>
      <c r="F841" s="4">
        <v>7</v>
      </c>
      <c r="G841" s="4">
        <v>21</v>
      </c>
      <c r="H841" s="113">
        <v>7.0198999999999998</v>
      </c>
      <c r="I841" s="4">
        <v>1E-4</v>
      </c>
      <c r="J841" s="113">
        <v>-43.207999999999998</v>
      </c>
      <c r="K841" s="4">
        <v>8.0000000000000004E-4</v>
      </c>
      <c r="L841" s="4">
        <v>2.8000000000000001E-2</v>
      </c>
      <c r="M841" s="4">
        <v>4.0000000000000001E-3</v>
      </c>
      <c r="N841" s="4">
        <v>-4.5999999999999999E-3</v>
      </c>
      <c r="O841" s="4">
        <v>1E-4</v>
      </c>
      <c r="P841" s="4">
        <v>125.06</v>
      </c>
      <c r="Q841" s="4">
        <v>0.08</v>
      </c>
      <c r="R841" s="113">
        <f t="shared" si="65"/>
        <v>0.2430709426627794</v>
      </c>
      <c r="S841" s="22">
        <f t="shared" si="66"/>
        <v>1.5549076773566569E-4</v>
      </c>
    </row>
    <row r="842" spans="1:19">
      <c r="A842" s="109" t="s">
        <v>789</v>
      </c>
      <c r="B842" s="113" t="s">
        <v>1086</v>
      </c>
      <c r="C842" s="113"/>
      <c r="D842" s="113">
        <v>0</v>
      </c>
      <c r="E842" s="4">
        <v>18</v>
      </c>
      <c r="F842" s="4">
        <v>7</v>
      </c>
      <c r="G842" s="4">
        <v>21</v>
      </c>
      <c r="H842" s="113">
        <v>7.0198999999999998</v>
      </c>
      <c r="I842" s="4">
        <v>1E-4</v>
      </c>
      <c r="J842" s="113">
        <v>-43.207999999999998</v>
      </c>
      <c r="K842" s="4">
        <v>8.0000000000000004E-4</v>
      </c>
      <c r="L842" s="4">
        <v>2.8000000000000001E-2</v>
      </c>
      <c r="M842" s="4">
        <v>4.0000000000000001E-3</v>
      </c>
      <c r="N842" s="4">
        <v>-4.5999999999999999E-3</v>
      </c>
      <c r="O842" s="4">
        <v>1E-4</v>
      </c>
      <c r="P842" s="4">
        <v>125.06</v>
      </c>
      <c r="Q842" s="4">
        <v>0.08</v>
      </c>
      <c r="R842" s="113">
        <f t="shared" si="65"/>
        <v>0.2430709426627794</v>
      </c>
      <c r="S842" s="22">
        <f t="shared" si="66"/>
        <v>1.5549076773566569E-4</v>
      </c>
    </row>
    <row r="843" spans="1:19">
      <c r="A843" s="109" t="s">
        <v>790</v>
      </c>
      <c r="B843" s="113" t="s">
        <v>1087</v>
      </c>
      <c r="C843" s="113"/>
      <c r="D843" s="113">
        <v>0</v>
      </c>
      <c r="E843" s="4">
        <v>18</v>
      </c>
      <c r="F843" s="4">
        <v>7</v>
      </c>
      <c r="G843" s="4">
        <v>21</v>
      </c>
      <c r="H843" s="113">
        <v>7.0198999999999998</v>
      </c>
      <c r="I843" s="4">
        <v>1E-4</v>
      </c>
      <c r="J843" s="113">
        <v>-43.207999999999998</v>
      </c>
      <c r="K843" s="4">
        <v>8.0000000000000004E-4</v>
      </c>
      <c r="L843" s="4">
        <v>2.8000000000000001E-2</v>
      </c>
      <c r="M843" s="4">
        <v>4.0000000000000001E-3</v>
      </c>
      <c r="N843" s="4">
        <v>-4.5999999999999999E-3</v>
      </c>
      <c r="O843" s="4">
        <v>1E-4</v>
      </c>
      <c r="P843" s="4">
        <v>125.06</v>
      </c>
      <c r="Q843" s="4">
        <v>0.08</v>
      </c>
      <c r="R843" s="113">
        <f t="shared" si="65"/>
        <v>0.2430709426627794</v>
      </c>
      <c r="S843" s="22">
        <f t="shared" si="66"/>
        <v>1.5549076773566569E-4</v>
      </c>
    </row>
    <row r="844" spans="1:19">
      <c r="A844" s="109" t="s">
        <v>791</v>
      </c>
      <c r="B844" s="113" t="s">
        <v>1088</v>
      </c>
      <c r="C844" s="113"/>
      <c r="D844" s="113">
        <v>0</v>
      </c>
      <c r="E844" s="4">
        <v>18</v>
      </c>
      <c r="F844" s="4">
        <v>7</v>
      </c>
      <c r="G844" s="4">
        <v>21</v>
      </c>
      <c r="H844" s="113">
        <v>7.0198999999999998</v>
      </c>
      <c r="I844" s="4">
        <v>1E-4</v>
      </c>
      <c r="J844" s="113">
        <v>-43.207999999999998</v>
      </c>
      <c r="K844" s="4">
        <v>8.0000000000000004E-4</v>
      </c>
      <c r="L844" s="4">
        <v>2.8000000000000001E-2</v>
      </c>
      <c r="M844" s="4">
        <v>4.0000000000000001E-3</v>
      </c>
      <c r="N844" s="4">
        <v>-4.5999999999999999E-3</v>
      </c>
      <c r="O844" s="4">
        <v>1E-4</v>
      </c>
      <c r="P844" s="4">
        <v>125.06</v>
      </c>
      <c r="Q844" s="4">
        <v>0.08</v>
      </c>
      <c r="R844" s="113">
        <f t="shared" si="65"/>
        <v>0.2430709426627794</v>
      </c>
      <c r="S844" s="22">
        <f t="shared" si="66"/>
        <v>1.5549076773566569E-4</v>
      </c>
    </row>
    <row r="845" spans="1:19">
      <c r="A845" s="109" t="s">
        <v>792</v>
      </c>
      <c r="B845" s="113" t="s">
        <v>1089</v>
      </c>
      <c r="C845" s="113"/>
      <c r="D845" s="113">
        <v>0</v>
      </c>
      <c r="E845" s="4">
        <v>18</v>
      </c>
      <c r="F845" s="4">
        <v>7</v>
      </c>
      <c r="G845" s="4">
        <v>21</v>
      </c>
      <c r="H845" s="113">
        <v>7.0198999999999998</v>
      </c>
      <c r="I845" s="4">
        <v>1E-4</v>
      </c>
      <c r="J845" s="113">
        <v>-43.207999999999998</v>
      </c>
      <c r="K845" s="4">
        <v>8.0000000000000004E-4</v>
      </c>
      <c r="L845" s="4">
        <v>2.8000000000000001E-2</v>
      </c>
      <c r="M845" s="4">
        <v>4.0000000000000001E-3</v>
      </c>
      <c r="N845" s="4">
        <v>-4.5999999999999999E-3</v>
      </c>
      <c r="O845" s="4">
        <v>1E-4</v>
      </c>
      <c r="P845" s="4">
        <v>125.06</v>
      </c>
      <c r="Q845" s="4">
        <v>0.08</v>
      </c>
      <c r="R845" s="113">
        <f t="shared" si="65"/>
        <v>0.2430709426627794</v>
      </c>
      <c r="S845" s="22">
        <f t="shared" si="66"/>
        <v>1.5549076773566569E-4</v>
      </c>
    </row>
    <row r="846" spans="1:19">
      <c r="A846" s="109" t="s">
        <v>793</v>
      </c>
      <c r="B846" s="113" t="s">
        <v>1090</v>
      </c>
      <c r="C846" s="113"/>
      <c r="D846" s="113">
        <v>0</v>
      </c>
      <c r="E846" s="4">
        <v>18</v>
      </c>
      <c r="F846" s="4">
        <v>7</v>
      </c>
      <c r="G846" s="4">
        <v>21</v>
      </c>
      <c r="H846" s="113">
        <v>7.0198999999999998</v>
      </c>
      <c r="I846" s="4">
        <v>1E-4</v>
      </c>
      <c r="J846" s="113">
        <v>-43.207999999999998</v>
      </c>
      <c r="K846" s="4">
        <v>8.0000000000000004E-4</v>
      </c>
      <c r="L846" s="4">
        <v>2.8000000000000001E-2</v>
      </c>
      <c r="M846" s="4">
        <v>4.0000000000000001E-3</v>
      </c>
      <c r="N846" s="4">
        <v>-4.5999999999999999E-3</v>
      </c>
      <c r="O846" s="4">
        <v>1E-4</v>
      </c>
      <c r="P846" s="4">
        <v>125.06</v>
      </c>
      <c r="Q846" s="4">
        <v>0.08</v>
      </c>
      <c r="R846" s="113">
        <f t="shared" si="65"/>
        <v>0.2430709426627794</v>
      </c>
      <c r="S846" s="22">
        <f t="shared" si="66"/>
        <v>1.5549076773566569E-4</v>
      </c>
    </row>
    <row r="847" spans="1:19">
      <c r="A847" s="109" t="s">
        <v>794</v>
      </c>
      <c r="B847" s="113" t="s">
        <v>1091</v>
      </c>
      <c r="C847" s="113"/>
      <c r="D847" s="113">
        <v>0</v>
      </c>
      <c r="E847" s="4">
        <v>18</v>
      </c>
      <c r="F847" s="4">
        <v>7</v>
      </c>
      <c r="G847" s="4">
        <v>21</v>
      </c>
      <c r="H847" s="113">
        <v>7.0198999999999998</v>
      </c>
      <c r="I847" s="4">
        <v>1E-4</v>
      </c>
      <c r="J847" s="113">
        <v>-43.207999999999998</v>
      </c>
      <c r="K847" s="4">
        <v>8.0000000000000004E-4</v>
      </c>
      <c r="L847" s="4">
        <v>2.8000000000000001E-2</v>
      </c>
      <c r="M847" s="4">
        <v>4.0000000000000001E-3</v>
      </c>
      <c r="N847" s="4">
        <v>-4.5999999999999999E-3</v>
      </c>
      <c r="O847" s="4">
        <v>1E-4</v>
      </c>
      <c r="P847" s="4">
        <v>125.06</v>
      </c>
      <c r="Q847" s="4">
        <v>0.08</v>
      </c>
      <c r="R847" s="113">
        <f t="shared" si="65"/>
        <v>0.2430709426627794</v>
      </c>
      <c r="S847" s="22">
        <f t="shared" si="66"/>
        <v>1.5549076773566569E-4</v>
      </c>
    </row>
    <row r="848" spans="1:19">
      <c r="A848" s="109" t="s">
        <v>795</v>
      </c>
      <c r="B848" s="113" t="s">
        <v>1092</v>
      </c>
      <c r="C848" s="113"/>
      <c r="D848" s="113">
        <v>0</v>
      </c>
      <c r="E848" s="4">
        <v>18</v>
      </c>
      <c r="F848" s="4">
        <v>7</v>
      </c>
      <c r="G848" s="4">
        <v>21</v>
      </c>
      <c r="H848" s="113">
        <v>7.0198999999999998</v>
      </c>
      <c r="I848" s="4">
        <v>1E-4</v>
      </c>
      <c r="J848" s="113">
        <v>-43.207999999999998</v>
      </c>
      <c r="K848" s="4">
        <v>8.0000000000000004E-4</v>
      </c>
      <c r="L848" s="4">
        <v>2.8000000000000001E-2</v>
      </c>
      <c r="M848" s="4">
        <v>4.0000000000000001E-3</v>
      </c>
      <c r="N848" s="4">
        <v>-4.5999999999999999E-3</v>
      </c>
      <c r="O848" s="4">
        <v>1E-4</v>
      </c>
      <c r="P848" s="4">
        <v>125.06</v>
      </c>
      <c r="Q848" s="4">
        <v>0.08</v>
      </c>
      <c r="R848" s="113">
        <f t="shared" si="65"/>
        <v>0.2430709426627794</v>
      </c>
      <c r="S848" s="22">
        <f t="shared" si="66"/>
        <v>1.5549076773566569E-4</v>
      </c>
    </row>
    <row r="849" spans="1:19">
      <c r="A849" s="109" t="s">
        <v>796</v>
      </c>
      <c r="B849" s="113" t="s">
        <v>1093</v>
      </c>
      <c r="C849" s="113"/>
      <c r="D849" s="113">
        <v>0</v>
      </c>
      <c r="E849" s="4">
        <v>18</v>
      </c>
      <c r="F849" s="4">
        <v>7</v>
      </c>
      <c r="G849" s="4">
        <v>21</v>
      </c>
      <c r="H849" s="113">
        <v>7.0198999999999998</v>
      </c>
      <c r="I849" s="4">
        <v>1E-4</v>
      </c>
      <c r="J849" s="113">
        <v>-43.207999999999998</v>
      </c>
      <c r="K849" s="4">
        <v>8.0000000000000004E-4</v>
      </c>
      <c r="L849" s="4">
        <v>2.8000000000000001E-2</v>
      </c>
      <c r="M849" s="4">
        <v>4.0000000000000001E-3</v>
      </c>
      <c r="N849" s="4">
        <v>-4.5999999999999999E-3</v>
      </c>
      <c r="O849" s="4">
        <v>1E-4</v>
      </c>
      <c r="P849" s="4">
        <v>125.06</v>
      </c>
      <c r="Q849" s="4">
        <v>0.08</v>
      </c>
      <c r="R849" s="113">
        <f t="shared" si="65"/>
        <v>0.2430709426627794</v>
      </c>
      <c r="S849" s="22">
        <f t="shared" si="66"/>
        <v>1.5549076773566569E-4</v>
      </c>
    </row>
    <row r="850" spans="1:19">
      <c r="A850" s="109" t="s">
        <v>797</v>
      </c>
      <c r="B850" s="113" t="s">
        <v>1094</v>
      </c>
      <c r="C850" s="113"/>
      <c r="D850" s="113">
        <v>0</v>
      </c>
      <c r="E850" s="4">
        <v>18</v>
      </c>
      <c r="F850" s="4">
        <v>7</v>
      </c>
      <c r="G850" s="4">
        <v>21</v>
      </c>
      <c r="H850" s="113">
        <v>7.0198999999999998</v>
      </c>
      <c r="I850" s="4">
        <v>1E-4</v>
      </c>
      <c r="J850" s="113">
        <v>-43.207999999999998</v>
      </c>
      <c r="K850" s="4">
        <v>8.0000000000000004E-4</v>
      </c>
      <c r="L850" s="4">
        <v>2.8000000000000001E-2</v>
      </c>
      <c r="M850" s="4">
        <v>4.0000000000000001E-3</v>
      </c>
      <c r="N850" s="4">
        <v>-4.5999999999999999E-3</v>
      </c>
      <c r="O850" s="4">
        <v>1E-4</v>
      </c>
      <c r="P850" s="4">
        <v>125.06</v>
      </c>
      <c r="Q850" s="4">
        <v>0.08</v>
      </c>
      <c r="R850" s="113">
        <f t="shared" si="65"/>
        <v>0.2430709426627794</v>
      </c>
      <c r="S850" s="22">
        <f t="shared" si="66"/>
        <v>1.5549076773566569E-4</v>
      </c>
    </row>
    <row r="851" spans="1:19">
      <c r="A851" s="109" t="s">
        <v>798</v>
      </c>
      <c r="B851" s="113" t="s">
        <v>1095</v>
      </c>
      <c r="C851" s="113"/>
      <c r="D851" s="113">
        <v>0</v>
      </c>
      <c r="E851" s="4">
        <v>18</v>
      </c>
      <c r="F851" s="4">
        <v>7</v>
      </c>
      <c r="G851" s="4">
        <v>21</v>
      </c>
      <c r="H851" s="113">
        <v>7.0198999999999998</v>
      </c>
      <c r="I851" s="4">
        <v>1E-4</v>
      </c>
      <c r="J851" s="113">
        <v>-43.207999999999998</v>
      </c>
      <c r="K851" s="4">
        <v>8.0000000000000004E-4</v>
      </c>
      <c r="L851" s="4">
        <v>2.8000000000000001E-2</v>
      </c>
      <c r="M851" s="4">
        <v>4.0000000000000001E-3</v>
      </c>
      <c r="N851" s="4">
        <v>-4.5999999999999999E-3</v>
      </c>
      <c r="O851" s="4">
        <v>1E-4</v>
      </c>
      <c r="P851" s="4">
        <v>125.06</v>
      </c>
      <c r="Q851" s="4">
        <v>0.08</v>
      </c>
      <c r="R851" s="113">
        <f t="shared" ref="R851:R914" si="67">P851*E851/G851^3</f>
        <v>0.2430709426627794</v>
      </c>
      <c r="S851" s="22">
        <f t="shared" ref="S851:S914" si="68">Q851*E851/G851^3</f>
        <v>1.5549076773566569E-4</v>
      </c>
    </row>
    <row r="852" spans="1:19">
      <c r="A852" s="109" t="s">
        <v>799</v>
      </c>
      <c r="B852" s="113" t="s">
        <v>1096</v>
      </c>
      <c r="C852" s="113"/>
      <c r="D852" s="113">
        <v>0</v>
      </c>
      <c r="E852" s="4">
        <v>18</v>
      </c>
      <c r="F852" s="4">
        <v>7</v>
      </c>
      <c r="G852" s="4">
        <v>21</v>
      </c>
      <c r="H852" s="113">
        <v>7.0198999999999998</v>
      </c>
      <c r="I852" s="4">
        <v>1E-4</v>
      </c>
      <c r="J852" s="113">
        <v>-43.207999999999998</v>
      </c>
      <c r="K852" s="4">
        <v>8.0000000000000004E-4</v>
      </c>
      <c r="L852" s="4">
        <v>2.8000000000000001E-2</v>
      </c>
      <c r="M852" s="4">
        <v>4.0000000000000001E-3</v>
      </c>
      <c r="N852" s="4">
        <v>-4.5999999999999999E-3</v>
      </c>
      <c r="O852" s="4">
        <v>1E-4</v>
      </c>
      <c r="P852" s="4">
        <v>125.06</v>
      </c>
      <c r="Q852" s="4">
        <v>0.08</v>
      </c>
      <c r="R852" s="113">
        <f t="shared" si="67"/>
        <v>0.2430709426627794</v>
      </c>
      <c r="S852" s="22">
        <f t="shared" si="68"/>
        <v>1.5549076773566569E-4</v>
      </c>
    </row>
    <row r="853" spans="1:19">
      <c r="A853" s="109" t="s">
        <v>800</v>
      </c>
      <c r="B853" s="113" t="s">
        <v>1097</v>
      </c>
      <c r="C853" s="113"/>
      <c r="D853" s="113">
        <v>0</v>
      </c>
      <c r="E853" s="4">
        <v>18</v>
      </c>
      <c r="F853" s="4">
        <v>7</v>
      </c>
      <c r="G853" s="4">
        <v>21</v>
      </c>
      <c r="H853" s="113">
        <v>7.0198999999999998</v>
      </c>
      <c r="I853" s="4">
        <v>1E-4</v>
      </c>
      <c r="J853" s="113">
        <v>-43.207999999999998</v>
      </c>
      <c r="K853" s="4">
        <v>8.0000000000000004E-4</v>
      </c>
      <c r="L853" s="4">
        <v>2.8000000000000001E-2</v>
      </c>
      <c r="M853" s="4">
        <v>4.0000000000000001E-3</v>
      </c>
      <c r="N853" s="4">
        <v>-4.5999999999999999E-3</v>
      </c>
      <c r="O853" s="4">
        <v>1E-4</v>
      </c>
      <c r="P853" s="4">
        <v>125.06</v>
      </c>
      <c r="Q853" s="4">
        <v>0.08</v>
      </c>
      <c r="R853" s="113">
        <f t="shared" si="67"/>
        <v>0.2430709426627794</v>
      </c>
      <c r="S853" s="22">
        <f t="shared" si="68"/>
        <v>1.5549076773566569E-4</v>
      </c>
    </row>
    <row r="854" spans="1:19">
      <c r="A854" s="109" t="s">
        <v>801</v>
      </c>
      <c r="B854" s="113" t="s">
        <v>1098</v>
      </c>
      <c r="C854" s="113"/>
      <c r="D854" s="113">
        <v>0</v>
      </c>
      <c r="E854" s="4">
        <v>18</v>
      </c>
      <c r="F854" s="4">
        <v>7</v>
      </c>
      <c r="G854" s="4">
        <v>21</v>
      </c>
      <c r="H854" s="113">
        <v>7.0198999999999998</v>
      </c>
      <c r="I854" s="4">
        <v>1E-4</v>
      </c>
      <c r="J854" s="113">
        <v>-43.207999999999998</v>
      </c>
      <c r="K854" s="4">
        <v>8.0000000000000004E-4</v>
      </c>
      <c r="L854" s="4">
        <v>2.8000000000000001E-2</v>
      </c>
      <c r="M854" s="4">
        <v>4.0000000000000001E-3</v>
      </c>
      <c r="N854" s="4">
        <v>-4.5999999999999999E-3</v>
      </c>
      <c r="O854" s="4">
        <v>1E-4</v>
      </c>
      <c r="P854" s="4">
        <v>125.06</v>
      </c>
      <c r="Q854" s="4">
        <v>0.08</v>
      </c>
      <c r="R854" s="113">
        <f t="shared" si="67"/>
        <v>0.2430709426627794</v>
      </c>
      <c r="S854" s="22">
        <f t="shared" si="68"/>
        <v>1.5549076773566569E-4</v>
      </c>
    </row>
    <row r="855" spans="1:19">
      <c r="A855" s="109" t="s">
        <v>802</v>
      </c>
      <c r="B855" s="113" t="s">
        <v>1099</v>
      </c>
      <c r="C855" s="113"/>
      <c r="D855" s="113">
        <v>0</v>
      </c>
      <c r="E855" s="4">
        <v>18</v>
      </c>
      <c r="F855" s="4">
        <v>7</v>
      </c>
      <c r="G855" s="4">
        <v>21</v>
      </c>
      <c r="H855" s="113">
        <v>7.0198999999999998</v>
      </c>
      <c r="I855" s="4">
        <v>1E-4</v>
      </c>
      <c r="J855" s="113">
        <v>-43.207999999999998</v>
      </c>
      <c r="K855" s="4">
        <v>8.0000000000000004E-4</v>
      </c>
      <c r="L855" s="4">
        <v>2.8000000000000001E-2</v>
      </c>
      <c r="M855" s="4">
        <v>4.0000000000000001E-3</v>
      </c>
      <c r="N855" s="4">
        <v>-4.5999999999999999E-3</v>
      </c>
      <c r="O855" s="4">
        <v>1E-4</v>
      </c>
      <c r="P855" s="4">
        <v>125.06</v>
      </c>
      <c r="Q855" s="4">
        <v>0.08</v>
      </c>
      <c r="R855" s="113">
        <f t="shared" si="67"/>
        <v>0.2430709426627794</v>
      </c>
      <c r="S855" s="22">
        <f t="shared" si="68"/>
        <v>1.5549076773566569E-4</v>
      </c>
    </row>
    <row r="856" spans="1:19">
      <c r="A856" s="109" t="s">
        <v>803</v>
      </c>
      <c r="B856" s="113" t="s">
        <v>1100</v>
      </c>
      <c r="C856" s="113"/>
      <c r="D856" s="113">
        <v>0</v>
      </c>
      <c r="E856" s="4">
        <v>18</v>
      </c>
      <c r="F856" s="4">
        <v>7</v>
      </c>
      <c r="G856" s="4">
        <v>21</v>
      </c>
      <c r="H856" s="113">
        <v>7.0198999999999998</v>
      </c>
      <c r="I856" s="4">
        <v>1E-4</v>
      </c>
      <c r="J856" s="113">
        <v>-43.207999999999998</v>
      </c>
      <c r="K856" s="4">
        <v>8.0000000000000004E-4</v>
      </c>
      <c r="L856" s="4">
        <v>2.8000000000000001E-2</v>
      </c>
      <c r="M856" s="4">
        <v>4.0000000000000001E-3</v>
      </c>
      <c r="N856" s="4">
        <v>-4.5999999999999999E-3</v>
      </c>
      <c r="O856" s="4">
        <v>1E-4</v>
      </c>
      <c r="P856" s="4">
        <v>125.06</v>
      </c>
      <c r="Q856" s="4">
        <v>0.08</v>
      </c>
      <c r="R856" s="113">
        <f t="shared" si="67"/>
        <v>0.2430709426627794</v>
      </c>
      <c r="S856" s="22">
        <f t="shared" si="68"/>
        <v>1.5549076773566569E-4</v>
      </c>
    </row>
    <row r="857" spans="1:19">
      <c r="A857" s="109" t="s">
        <v>804</v>
      </c>
      <c r="B857" s="113" t="s">
        <v>1101</v>
      </c>
      <c r="C857" s="113"/>
      <c r="D857" s="113">
        <v>0</v>
      </c>
      <c r="E857" s="4">
        <v>18</v>
      </c>
      <c r="F857" s="4">
        <v>7</v>
      </c>
      <c r="G857" s="4">
        <v>21</v>
      </c>
      <c r="H857" s="113">
        <v>7.0198999999999998</v>
      </c>
      <c r="I857" s="4">
        <v>1E-4</v>
      </c>
      <c r="J857" s="113">
        <v>-43.207999999999998</v>
      </c>
      <c r="K857" s="4">
        <v>8.0000000000000004E-4</v>
      </c>
      <c r="L857" s="4">
        <v>2.8000000000000001E-2</v>
      </c>
      <c r="M857" s="4">
        <v>4.0000000000000001E-3</v>
      </c>
      <c r="N857" s="4">
        <v>-4.5999999999999999E-3</v>
      </c>
      <c r="O857" s="4">
        <v>1E-4</v>
      </c>
      <c r="P857" s="4">
        <v>125.06</v>
      </c>
      <c r="Q857" s="4">
        <v>0.08</v>
      </c>
      <c r="R857" s="113">
        <f t="shared" si="67"/>
        <v>0.2430709426627794</v>
      </c>
      <c r="S857" s="22">
        <f t="shared" si="68"/>
        <v>1.5549076773566569E-4</v>
      </c>
    </row>
    <row r="858" spans="1:19">
      <c r="A858" s="109" t="s">
        <v>805</v>
      </c>
      <c r="B858" s="113" t="s">
        <v>1102</v>
      </c>
      <c r="C858" s="113"/>
      <c r="D858" s="113">
        <v>0</v>
      </c>
      <c r="E858" s="4">
        <v>18</v>
      </c>
      <c r="F858" s="4">
        <v>7</v>
      </c>
      <c r="G858" s="4">
        <v>21</v>
      </c>
      <c r="H858" s="113">
        <v>7.0198999999999998</v>
      </c>
      <c r="I858" s="4">
        <v>1E-4</v>
      </c>
      <c r="J858" s="113">
        <v>-43.207999999999998</v>
      </c>
      <c r="K858" s="4">
        <v>8.0000000000000004E-4</v>
      </c>
      <c r="L858" s="4">
        <v>2.8000000000000001E-2</v>
      </c>
      <c r="M858" s="4">
        <v>4.0000000000000001E-3</v>
      </c>
      <c r="N858" s="4">
        <v>-4.5999999999999999E-3</v>
      </c>
      <c r="O858" s="4">
        <v>1E-4</v>
      </c>
      <c r="P858" s="4">
        <v>125.06</v>
      </c>
      <c r="Q858" s="4">
        <v>0.08</v>
      </c>
      <c r="R858" s="113">
        <f t="shared" si="67"/>
        <v>0.2430709426627794</v>
      </c>
      <c r="S858" s="22">
        <f t="shared" si="68"/>
        <v>1.5549076773566569E-4</v>
      </c>
    </row>
    <row r="859" spans="1:19">
      <c r="A859" s="109" t="s">
        <v>806</v>
      </c>
      <c r="B859" s="113" t="s">
        <v>1103</v>
      </c>
      <c r="C859" s="113"/>
      <c r="D859" s="113">
        <v>0</v>
      </c>
      <c r="E859" s="4">
        <v>18</v>
      </c>
      <c r="F859" s="4">
        <v>7</v>
      </c>
      <c r="G859" s="4">
        <v>21</v>
      </c>
      <c r="H859" s="113">
        <v>7.0198999999999998</v>
      </c>
      <c r="I859" s="4">
        <v>1E-4</v>
      </c>
      <c r="J859" s="113">
        <v>-43.207999999999998</v>
      </c>
      <c r="K859" s="4">
        <v>8.0000000000000004E-4</v>
      </c>
      <c r="L859" s="4">
        <v>2.8000000000000001E-2</v>
      </c>
      <c r="M859" s="4">
        <v>4.0000000000000001E-3</v>
      </c>
      <c r="N859" s="4">
        <v>-4.5999999999999999E-3</v>
      </c>
      <c r="O859" s="4">
        <v>1E-4</v>
      </c>
      <c r="P859" s="4">
        <v>125.06</v>
      </c>
      <c r="Q859" s="4">
        <v>0.08</v>
      </c>
      <c r="R859" s="113">
        <f t="shared" si="67"/>
        <v>0.2430709426627794</v>
      </c>
      <c r="S859" s="22">
        <f t="shared" si="68"/>
        <v>1.5549076773566569E-4</v>
      </c>
    </row>
    <row r="860" spans="1:19">
      <c r="A860" s="109" t="s">
        <v>807</v>
      </c>
      <c r="B860" s="113" t="s">
        <v>1104</v>
      </c>
      <c r="C860" s="113"/>
      <c r="D860" s="113">
        <v>0</v>
      </c>
      <c r="E860" s="4">
        <v>18</v>
      </c>
      <c r="F860" s="4">
        <v>7</v>
      </c>
      <c r="G860" s="4">
        <v>21</v>
      </c>
      <c r="H860" s="113">
        <v>7.0198999999999998</v>
      </c>
      <c r="I860" s="4">
        <v>1E-4</v>
      </c>
      <c r="J860" s="113">
        <v>-43.207999999999998</v>
      </c>
      <c r="K860" s="4">
        <v>8.0000000000000004E-4</v>
      </c>
      <c r="L860" s="4">
        <v>2.8000000000000001E-2</v>
      </c>
      <c r="M860" s="4">
        <v>4.0000000000000001E-3</v>
      </c>
      <c r="N860" s="4">
        <v>-4.5999999999999999E-3</v>
      </c>
      <c r="O860" s="4">
        <v>1E-4</v>
      </c>
      <c r="P860" s="4">
        <v>125.06</v>
      </c>
      <c r="Q860" s="4">
        <v>0.08</v>
      </c>
      <c r="R860" s="113">
        <f t="shared" si="67"/>
        <v>0.2430709426627794</v>
      </c>
      <c r="S860" s="22">
        <f t="shared" si="68"/>
        <v>1.5549076773566569E-4</v>
      </c>
    </row>
    <row r="861" spans="1:19">
      <c r="A861" s="109" t="s">
        <v>808</v>
      </c>
      <c r="B861" s="113" t="s">
        <v>1105</v>
      </c>
      <c r="C861" s="113"/>
      <c r="D861" s="113">
        <v>0</v>
      </c>
      <c r="E861" s="4">
        <v>18</v>
      </c>
      <c r="F861" s="4">
        <v>7</v>
      </c>
      <c r="G861" s="4">
        <v>21</v>
      </c>
      <c r="H861" s="113">
        <v>7.0198999999999998</v>
      </c>
      <c r="I861" s="4">
        <v>1E-4</v>
      </c>
      <c r="J861" s="113">
        <v>-43.207999999999998</v>
      </c>
      <c r="K861" s="4">
        <v>8.0000000000000004E-4</v>
      </c>
      <c r="L861" s="4">
        <v>2.8000000000000001E-2</v>
      </c>
      <c r="M861" s="4">
        <v>4.0000000000000001E-3</v>
      </c>
      <c r="N861" s="4">
        <v>-4.5999999999999999E-3</v>
      </c>
      <c r="O861" s="4">
        <v>1E-4</v>
      </c>
      <c r="P861" s="4">
        <v>125.06</v>
      </c>
      <c r="Q861" s="4">
        <v>0.08</v>
      </c>
      <c r="R861" s="113">
        <f t="shared" si="67"/>
        <v>0.2430709426627794</v>
      </c>
      <c r="S861" s="22">
        <f t="shared" si="68"/>
        <v>1.5549076773566569E-4</v>
      </c>
    </row>
    <row r="862" spans="1:19">
      <c r="A862" s="109" t="s">
        <v>809</v>
      </c>
      <c r="B862" s="113" t="s">
        <v>1106</v>
      </c>
      <c r="C862" s="113"/>
      <c r="D862" s="113">
        <v>0</v>
      </c>
      <c r="E862" s="4">
        <v>18</v>
      </c>
      <c r="F862" s="4">
        <v>7</v>
      </c>
      <c r="G862" s="4">
        <v>21</v>
      </c>
      <c r="H862" s="113">
        <v>7.0198999999999998</v>
      </c>
      <c r="I862" s="4">
        <v>1E-4</v>
      </c>
      <c r="J862" s="113">
        <v>-43.207999999999998</v>
      </c>
      <c r="K862" s="4">
        <v>8.0000000000000004E-4</v>
      </c>
      <c r="L862" s="4">
        <v>2.8000000000000001E-2</v>
      </c>
      <c r="M862" s="4">
        <v>4.0000000000000001E-3</v>
      </c>
      <c r="N862" s="4">
        <v>-4.5999999999999999E-3</v>
      </c>
      <c r="O862" s="4">
        <v>1E-4</v>
      </c>
      <c r="P862" s="4">
        <v>125.06</v>
      </c>
      <c r="Q862" s="4">
        <v>0.08</v>
      </c>
      <c r="R862" s="113">
        <f t="shared" si="67"/>
        <v>0.2430709426627794</v>
      </c>
      <c r="S862" s="22">
        <f t="shared" si="68"/>
        <v>1.5549076773566569E-4</v>
      </c>
    </row>
    <row r="863" spans="1:19">
      <c r="A863" s="109" t="s">
        <v>810</v>
      </c>
      <c r="B863" s="113" t="s">
        <v>1107</v>
      </c>
      <c r="C863" s="113"/>
      <c r="D863" s="113">
        <v>0</v>
      </c>
      <c r="E863" s="4">
        <v>18</v>
      </c>
      <c r="F863" s="4">
        <v>7</v>
      </c>
      <c r="G863" s="4">
        <v>21</v>
      </c>
      <c r="H863" s="113">
        <v>7.0198999999999998</v>
      </c>
      <c r="I863" s="4">
        <v>1E-4</v>
      </c>
      <c r="J863" s="113">
        <v>-43.207999999999998</v>
      </c>
      <c r="K863" s="4">
        <v>8.0000000000000004E-4</v>
      </c>
      <c r="L863" s="4">
        <v>2.8000000000000001E-2</v>
      </c>
      <c r="M863" s="4">
        <v>4.0000000000000001E-3</v>
      </c>
      <c r="N863" s="4">
        <v>-4.5999999999999999E-3</v>
      </c>
      <c r="O863" s="4">
        <v>1E-4</v>
      </c>
      <c r="P863" s="4">
        <v>125.06</v>
      </c>
      <c r="Q863" s="4">
        <v>0.08</v>
      </c>
      <c r="R863" s="113">
        <f t="shared" si="67"/>
        <v>0.2430709426627794</v>
      </c>
      <c r="S863" s="22">
        <f t="shared" si="68"/>
        <v>1.5549076773566569E-4</v>
      </c>
    </row>
    <row r="864" spans="1:19">
      <c r="A864" s="109" t="s">
        <v>811</v>
      </c>
      <c r="B864" s="113" t="s">
        <v>1108</v>
      </c>
      <c r="C864" s="113"/>
      <c r="D864" s="113">
        <v>0</v>
      </c>
      <c r="E864" s="4">
        <v>18</v>
      </c>
      <c r="F864" s="4">
        <v>7</v>
      </c>
      <c r="G864" s="4">
        <v>21</v>
      </c>
      <c r="H864" s="113">
        <v>7.0198999999999998</v>
      </c>
      <c r="I864" s="4">
        <v>1E-4</v>
      </c>
      <c r="J864" s="113">
        <v>-43.207999999999998</v>
      </c>
      <c r="K864" s="4">
        <v>8.0000000000000004E-4</v>
      </c>
      <c r="L864" s="4">
        <v>2.8000000000000001E-2</v>
      </c>
      <c r="M864" s="4">
        <v>4.0000000000000001E-3</v>
      </c>
      <c r="N864" s="4">
        <v>-4.5999999999999999E-3</v>
      </c>
      <c r="O864" s="4">
        <v>1E-4</v>
      </c>
      <c r="P864" s="4">
        <v>125.06</v>
      </c>
      <c r="Q864" s="4">
        <v>0.08</v>
      </c>
      <c r="R864" s="113">
        <f t="shared" si="67"/>
        <v>0.2430709426627794</v>
      </c>
      <c r="S864" s="22">
        <f t="shared" si="68"/>
        <v>1.5549076773566569E-4</v>
      </c>
    </row>
    <row r="865" spans="1:19">
      <c r="A865" s="109" t="s">
        <v>812</v>
      </c>
      <c r="B865" s="113" t="s">
        <v>1109</v>
      </c>
      <c r="C865" s="113"/>
      <c r="D865" s="113">
        <v>0</v>
      </c>
      <c r="E865" s="4">
        <v>18</v>
      </c>
      <c r="F865" s="4">
        <v>7</v>
      </c>
      <c r="G865" s="4">
        <v>21</v>
      </c>
      <c r="H865" s="113">
        <v>7.0198999999999998</v>
      </c>
      <c r="I865" s="4">
        <v>1E-4</v>
      </c>
      <c r="J865" s="113">
        <v>-43.207999999999998</v>
      </c>
      <c r="K865" s="4">
        <v>8.0000000000000004E-4</v>
      </c>
      <c r="L865" s="4">
        <v>2.8000000000000001E-2</v>
      </c>
      <c r="M865" s="4">
        <v>4.0000000000000001E-3</v>
      </c>
      <c r="N865" s="4">
        <v>-4.5999999999999999E-3</v>
      </c>
      <c r="O865" s="4">
        <v>1E-4</v>
      </c>
      <c r="P865" s="4">
        <v>125.06</v>
      </c>
      <c r="Q865" s="4">
        <v>0.08</v>
      </c>
      <c r="R865" s="113">
        <f t="shared" si="67"/>
        <v>0.2430709426627794</v>
      </c>
      <c r="S865" s="22">
        <f t="shared" si="68"/>
        <v>1.5549076773566569E-4</v>
      </c>
    </row>
    <row r="866" spans="1:19">
      <c r="A866" s="109" t="s">
        <v>813</v>
      </c>
      <c r="B866" s="113" t="s">
        <v>1110</v>
      </c>
      <c r="C866" s="113"/>
      <c r="D866" s="113">
        <v>0</v>
      </c>
      <c r="E866" s="4">
        <v>18</v>
      </c>
      <c r="F866" s="4">
        <v>7</v>
      </c>
      <c r="G866" s="4">
        <v>21</v>
      </c>
      <c r="H866" s="113">
        <v>7.0198999999999998</v>
      </c>
      <c r="I866" s="4">
        <v>1E-4</v>
      </c>
      <c r="J866" s="113">
        <v>-43.207999999999998</v>
      </c>
      <c r="K866" s="4">
        <v>8.0000000000000004E-4</v>
      </c>
      <c r="L866" s="4">
        <v>2.8000000000000001E-2</v>
      </c>
      <c r="M866" s="4">
        <v>4.0000000000000001E-3</v>
      </c>
      <c r="N866" s="4">
        <v>-4.5999999999999999E-3</v>
      </c>
      <c r="O866" s="4">
        <v>1E-4</v>
      </c>
      <c r="P866" s="4">
        <v>125.06</v>
      </c>
      <c r="Q866" s="4">
        <v>0.08</v>
      </c>
      <c r="R866" s="113">
        <f t="shared" si="67"/>
        <v>0.2430709426627794</v>
      </c>
      <c r="S866" s="22">
        <f t="shared" si="68"/>
        <v>1.5549076773566569E-4</v>
      </c>
    </row>
    <row r="867" spans="1:19">
      <c r="A867" s="109" t="s">
        <v>814</v>
      </c>
      <c r="B867" s="113" t="s">
        <v>1111</v>
      </c>
      <c r="C867" s="113"/>
      <c r="D867" s="113">
        <v>0</v>
      </c>
      <c r="E867" s="4">
        <v>18</v>
      </c>
      <c r="F867" s="4">
        <v>7</v>
      </c>
      <c r="G867" s="4">
        <v>21</v>
      </c>
      <c r="H867" s="113">
        <v>7.0198999999999998</v>
      </c>
      <c r="I867" s="4">
        <v>1E-4</v>
      </c>
      <c r="J867" s="113">
        <v>-43.207999999999998</v>
      </c>
      <c r="K867" s="4">
        <v>8.0000000000000004E-4</v>
      </c>
      <c r="L867" s="4">
        <v>2.8000000000000001E-2</v>
      </c>
      <c r="M867" s="4">
        <v>4.0000000000000001E-3</v>
      </c>
      <c r="N867" s="4">
        <v>-4.5999999999999999E-3</v>
      </c>
      <c r="O867" s="4">
        <v>1E-4</v>
      </c>
      <c r="P867" s="4">
        <v>125.06</v>
      </c>
      <c r="Q867" s="4">
        <v>0.08</v>
      </c>
      <c r="R867" s="113">
        <f t="shared" si="67"/>
        <v>0.2430709426627794</v>
      </c>
      <c r="S867" s="22">
        <f t="shared" si="68"/>
        <v>1.5549076773566569E-4</v>
      </c>
    </row>
    <row r="868" spans="1:19">
      <c r="A868" s="109" t="s">
        <v>815</v>
      </c>
      <c r="B868" s="113" t="s">
        <v>1112</v>
      </c>
      <c r="C868" s="113"/>
      <c r="D868" s="113">
        <v>0</v>
      </c>
      <c r="E868" s="4">
        <v>18</v>
      </c>
      <c r="F868" s="4">
        <v>7</v>
      </c>
      <c r="G868" s="4">
        <v>21</v>
      </c>
      <c r="H868" s="113">
        <v>7.0198999999999998</v>
      </c>
      <c r="I868" s="4">
        <v>1E-4</v>
      </c>
      <c r="J868" s="113">
        <v>-43.207999999999998</v>
      </c>
      <c r="K868" s="4">
        <v>8.0000000000000004E-4</v>
      </c>
      <c r="L868" s="4">
        <v>2.8000000000000001E-2</v>
      </c>
      <c r="M868" s="4">
        <v>4.0000000000000001E-3</v>
      </c>
      <c r="N868" s="4">
        <v>-4.5999999999999999E-3</v>
      </c>
      <c r="O868" s="4">
        <v>1E-4</v>
      </c>
      <c r="P868" s="4">
        <v>125.06</v>
      </c>
      <c r="Q868" s="4">
        <v>0.08</v>
      </c>
      <c r="R868" s="113">
        <f t="shared" si="67"/>
        <v>0.2430709426627794</v>
      </c>
      <c r="S868" s="22">
        <f t="shared" si="68"/>
        <v>1.5549076773566569E-4</v>
      </c>
    </row>
    <row r="869" spans="1:19">
      <c r="A869" s="109" t="s">
        <v>816</v>
      </c>
      <c r="B869" s="113" t="s">
        <v>1113</v>
      </c>
      <c r="C869" s="113"/>
      <c r="D869" s="113">
        <v>0</v>
      </c>
      <c r="E869" s="4">
        <v>18</v>
      </c>
      <c r="F869" s="4">
        <v>7</v>
      </c>
      <c r="G869" s="4">
        <v>21</v>
      </c>
      <c r="H869" s="113">
        <v>7.0198999999999998</v>
      </c>
      <c r="I869" s="4">
        <v>1E-4</v>
      </c>
      <c r="J869" s="113">
        <v>-43.207999999999998</v>
      </c>
      <c r="K869" s="4">
        <v>8.0000000000000004E-4</v>
      </c>
      <c r="L869" s="4">
        <v>2.8000000000000001E-2</v>
      </c>
      <c r="M869" s="4">
        <v>4.0000000000000001E-3</v>
      </c>
      <c r="N869" s="4">
        <v>-4.5999999999999999E-3</v>
      </c>
      <c r="O869" s="4">
        <v>1E-4</v>
      </c>
      <c r="P869" s="4">
        <v>125.06</v>
      </c>
      <c r="Q869" s="4">
        <v>0.08</v>
      </c>
      <c r="R869" s="113">
        <f t="shared" si="67"/>
        <v>0.2430709426627794</v>
      </c>
      <c r="S869" s="22">
        <f t="shared" si="68"/>
        <v>1.5549076773566569E-4</v>
      </c>
    </row>
    <row r="870" spans="1:19">
      <c r="A870" s="109" t="s">
        <v>817</v>
      </c>
      <c r="B870" s="113" t="s">
        <v>1114</v>
      </c>
      <c r="C870" s="113"/>
      <c r="D870" s="113">
        <v>0</v>
      </c>
      <c r="E870" s="4">
        <v>18</v>
      </c>
      <c r="F870" s="4">
        <v>8</v>
      </c>
      <c r="G870" s="4">
        <v>21</v>
      </c>
      <c r="H870" s="113">
        <v>7.0198999999999998</v>
      </c>
      <c r="I870" s="4">
        <v>1E-4</v>
      </c>
      <c r="J870" s="113">
        <v>-43.207999999999998</v>
      </c>
      <c r="K870" s="4">
        <v>8.0000000000000004E-4</v>
      </c>
      <c r="L870" s="4">
        <v>2.8000000000000001E-2</v>
      </c>
      <c r="M870" s="4">
        <v>4.0000000000000001E-3</v>
      </c>
      <c r="N870" s="4">
        <v>-4.5999999999999999E-3</v>
      </c>
      <c r="O870" s="4">
        <v>1E-4</v>
      </c>
      <c r="P870" s="4">
        <v>125.06</v>
      </c>
      <c r="Q870" s="4">
        <v>0.08</v>
      </c>
      <c r="R870" s="113">
        <f t="shared" si="67"/>
        <v>0.2430709426627794</v>
      </c>
      <c r="S870" s="22">
        <f t="shared" si="68"/>
        <v>1.5549076773566569E-4</v>
      </c>
    </row>
    <row r="871" spans="1:19">
      <c r="A871" s="109" t="s">
        <v>818</v>
      </c>
      <c r="B871" s="113" t="s">
        <v>1115</v>
      </c>
      <c r="C871" s="113"/>
      <c r="D871" s="113">
        <v>0</v>
      </c>
      <c r="E871" s="4">
        <v>18</v>
      </c>
      <c r="F871" s="4">
        <v>8</v>
      </c>
      <c r="G871" s="4">
        <v>21</v>
      </c>
      <c r="H871" s="113">
        <v>7.0198999999999998</v>
      </c>
      <c r="I871" s="4">
        <v>1E-4</v>
      </c>
      <c r="J871" s="113">
        <v>-43.207999999999998</v>
      </c>
      <c r="K871" s="4">
        <v>8.0000000000000004E-4</v>
      </c>
      <c r="L871" s="4">
        <v>2.8000000000000001E-2</v>
      </c>
      <c r="M871" s="4">
        <v>4.0000000000000001E-3</v>
      </c>
      <c r="N871" s="4">
        <v>-4.5999999999999999E-3</v>
      </c>
      <c r="O871" s="4">
        <v>1E-4</v>
      </c>
      <c r="P871" s="4">
        <v>125.06</v>
      </c>
      <c r="Q871" s="4">
        <v>0.08</v>
      </c>
      <c r="R871" s="113">
        <f t="shared" si="67"/>
        <v>0.2430709426627794</v>
      </c>
      <c r="S871" s="22">
        <f t="shared" si="68"/>
        <v>1.5549076773566569E-4</v>
      </c>
    </row>
    <row r="872" spans="1:19">
      <c r="A872" s="109" t="s">
        <v>819</v>
      </c>
      <c r="B872" s="113" t="s">
        <v>1116</v>
      </c>
      <c r="C872" s="113"/>
      <c r="D872" s="113">
        <v>0</v>
      </c>
      <c r="E872" s="4">
        <v>18</v>
      </c>
      <c r="F872" s="4">
        <v>8</v>
      </c>
      <c r="G872" s="4">
        <v>21</v>
      </c>
      <c r="H872" s="113">
        <v>7.0198999999999998</v>
      </c>
      <c r="I872" s="4">
        <v>1E-4</v>
      </c>
      <c r="J872" s="113">
        <v>-43.207999999999998</v>
      </c>
      <c r="K872" s="4">
        <v>8.0000000000000004E-4</v>
      </c>
      <c r="L872" s="4">
        <v>2.8000000000000001E-2</v>
      </c>
      <c r="M872" s="4">
        <v>4.0000000000000001E-3</v>
      </c>
      <c r="N872" s="4">
        <v>-4.5999999999999999E-3</v>
      </c>
      <c r="O872" s="4">
        <v>1E-4</v>
      </c>
      <c r="P872" s="4">
        <v>125.06</v>
      </c>
      <c r="Q872" s="4">
        <v>0.08</v>
      </c>
      <c r="R872" s="113">
        <f t="shared" si="67"/>
        <v>0.2430709426627794</v>
      </c>
      <c r="S872" s="22">
        <f t="shared" si="68"/>
        <v>1.5549076773566569E-4</v>
      </c>
    </row>
    <row r="873" spans="1:19">
      <c r="A873" s="109" t="s">
        <v>820</v>
      </c>
      <c r="B873" s="113" t="s">
        <v>1117</v>
      </c>
      <c r="C873" s="113"/>
      <c r="D873" s="113">
        <v>0</v>
      </c>
      <c r="E873" s="4">
        <v>18</v>
      </c>
      <c r="F873" s="4">
        <v>8</v>
      </c>
      <c r="G873" s="4">
        <v>21</v>
      </c>
      <c r="H873" s="113">
        <v>7.0198999999999998</v>
      </c>
      <c r="I873" s="4">
        <v>1E-4</v>
      </c>
      <c r="J873" s="113">
        <v>-43.207999999999998</v>
      </c>
      <c r="K873" s="4">
        <v>8.0000000000000004E-4</v>
      </c>
      <c r="L873" s="4">
        <v>2.8000000000000001E-2</v>
      </c>
      <c r="M873" s="4">
        <v>4.0000000000000001E-3</v>
      </c>
      <c r="N873" s="4">
        <v>-4.5999999999999999E-3</v>
      </c>
      <c r="O873" s="4">
        <v>1E-4</v>
      </c>
      <c r="P873" s="4">
        <v>125.06</v>
      </c>
      <c r="Q873" s="4">
        <v>0.08</v>
      </c>
      <c r="R873" s="113">
        <f t="shared" si="67"/>
        <v>0.2430709426627794</v>
      </c>
      <c r="S873" s="22">
        <f t="shared" si="68"/>
        <v>1.5549076773566569E-4</v>
      </c>
    </row>
    <row r="874" spans="1:19">
      <c r="A874" s="109" t="s">
        <v>821</v>
      </c>
      <c r="B874" s="113" t="s">
        <v>1118</v>
      </c>
      <c r="C874" s="113"/>
      <c r="D874" s="113">
        <v>0</v>
      </c>
      <c r="E874" s="4">
        <v>18</v>
      </c>
      <c r="F874" s="4">
        <v>8</v>
      </c>
      <c r="G874" s="4">
        <v>21</v>
      </c>
      <c r="H874" s="113">
        <v>7.0198999999999998</v>
      </c>
      <c r="I874" s="4">
        <v>1E-4</v>
      </c>
      <c r="J874" s="113">
        <v>-43.207999999999998</v>
      </c>
      <c r="K874" s="4">
        <v>8.0000000000000004E-4</v>
      </c>
      <c r="L874" s="4">
        <v>2.8000000000000001E-2</v>
      </c>
      <c r="M874" s="4">
        <v>4.0000000000000001E-3</v>
      </c>
      <c r="N874" s="4">
        <v>-4.5999999999999999E-3</v>
      </c>
      <c r="O874" s="4">
        <v>1E-4</v>
      </c>
      <c r="P874" s="4">
        <v>125.06</v>
      </c>
      <c r="Q874" s="4">
        <v>0.08</v>
      </c>
      <c r="R874" s="113">
        <f t="shared" si="67"/>
        <v>0.2430709426627794</v>
      </c>
      <c r="S874" s="22">
        <f t="shared" si="68"/>
        <v>1.5549076773566569E-4</v>
      </c>
    </row>
    <row r="875" spans="1:19">
      <c r="A875" s="109" t="s">
        <v>822</v>
      </c>
      <c r="B875" s="113" t="s">
        <v>1119</v>
      </c>
      <c r="C875" s="113"/>
      <c r="D875" s="113">
        <v>0</v>
      </c>
      <c r="E875" s="4">
        <v>18</v>
      </c>
      <c r="F875" s="4">
        <v>8</v>
      </c>
      <c r="G875" s="4">
        <v>21</v>
      </c>
      <c r="H875" s="113">
        <v>7.0198999999999998</v>
      </c>
      <c r="I875" s="4">
        <v>1E-4</v>
      </c>
      <c r="J875" s="113">
        <v>-43.207999999999998</v>
      </c>
      <c r="K875" s="4">
        <v>8.0000000000000004E-4</v>
      </c>
      <c r="L875" s="4">
        <v>2.8000000000000001E-2</v>
      </c>
      <c r="M875" s="4">
        <v>4.0000000000000001E-3</v>
      </c>
      <c r="N875" s="4">
        <v>-4.5999999999999999E-3</v>
      </c>
      <c r="O875" s="4">
        <v>1E-4</v>
      </c>
      <c r="P875" s="4">
        <v>125.06</v>
      </c>
      <c r="Q875" s="4">
        <v>0.08</v>
      </c>
      <c r="R875" s="113">
        <f t="shared" si="67"/>
        <v>0.2430709426627794</v>
      </c>
      <c r="S875" s="22">
        <f t="shared" si="68"/>
        <v>1.5549076773566569E-4</v>
      </c>
    </row>
    <row r="876" spans="1:19">
      <c r="A876" s="109" t="s">
        <v>823</v>
      </c>
      <c r="B876" s="113" t="s">
        <v>1120</v>
      </c>
      <c r="C876" s="113"/>
      <c r="D876" s="113">
        <v>0</v>
      </c>
      <c r="E876" s="4">
        <v>18</v>
      </c>
      <c r="F876" s="4">
        <v>8</v>
      </c>
      <c r="G876" s="4">
        <v>21</v>
      </c>
      <c r="H876" s="113">
        <v>7.0198999999999998</v>
      </c>
      <c r="I876" s="4">
        <v>1E-4</v>
      </c>
      <c r="J876" s="113">
        <v>-43.207999999999998</v>
      </c>
      <c r="K876" s="4">
        <v>8.0000000000000004E-4</v>
      </c>
      <c r="L876" s="4">
        <v>2.8000000000000001E-2</v>
      </c>
      <c r="M876" s="4">
        <v>4.0000000000000001E-3</v>
      </c>
      <c r="N876" s="4">
        <v>-4.5999999999999999E-3</v>
      </c>
      <c r="O876" s="4">
        <v>1E-4</v>
      </c>
      <c r="P876" s="4">
        <v>125.06</v>
      </c>
      <c r="Q876" s="4">
        <v>0.08</v>
      </c>
      <c r="R876" s="113">
        <f t="shared" si="67"/>
        <v>0.2430709426627794</v>
      </c>
      <c r="S876" s="22">
        <f t="shared" si="68"/>
        <v>1.5549076773566569E-4</v>
      </c>
    </row>
    <row r="877" spans="1:19">
      <c r="A877" s="109" t="s">
        <v>824</v>
      </c>
      <c r="B877" s="113" t="s">
        <v>1121</v>
      </c>
      <c r="C877" s="113"/>
      <c r="D877" s="113">
        <v>0</v>
      </c>
      <c r="E877" s="4">
        <v>18</v>
      </c>
      <c r="F877" s="4">
        <v>8</v>
      </c>
      <c r="G877" s="4">
        <v>21</v>
      </c>
      <c r="H877" s="113">
        <v>7.0198999999999998</v>
      </c>
      <c r="I877" s="4">
        <v>1E-4</v>
      </c>
      <c r="J877" s="113">
        <v>-43.207999999999998</v>
      </c>
      <c r="K877" s="4">
        <v>8.0000000000000004E-4</v>
      </c>
      <c r="L877" s="4">
        <v>2.8000000000000001E-2</v>
      </c>
      <c r="M877" s="4">
        <v>4.0000000000000001E-3</v>
      </c>
      <c r="N877" s="4">
        <v>-4.5999999999999999E-3</v>
      </c>
      <c r="O877" s="4">
        <v>1E-4</v>
      </c>
      <c r="P877" s="4">
        <v>125.06</v>
      </c>
      <c r="Q877" s="4">
        <v>0.08</v>
      </c>
      <c r="R877" s="113">
        <f t="shared" si="67"/>
        <v>0.2430709426627794</v>
      </c>
      <c r="S877" s="22">
        <f t="shared" si="68"/>
        <v>1.5549076773566569E-4</v>
      </c>
    </row>
    <row r="878" spans="1:19">
      <c r="A878" s="109" t="s">
        <v>825</v>
      </c>
      <c r="B878" s="113" t="s">
        <v>1122</v>
      </c>
      <c r="C878" s="113"/>
      <c r="D878" s="113">
        <v>0</v>
      </c>
      <c r="E878" s="4">
        <v>18</v>
      </c>
      <c r="F878" s="4">
        <v>8</v>
      </c>
      <c r="G878" s="4">
        <v>21</v>
      </c>
      <c r="H878" s="113">
        <v>7.0198999999999998</v>
      </c>
      <c r="I878" s="4">
        <v>1E-4</v>
      </c>
      <c r="J878" s="113">
        <v>-43.207999999999998</v>
      </c>
      <c r="K878" s="4">
        <v>8.0000000000000004E-4</v>
      </c>
      <c r="L878" s="4">
        <v>2.8000000000000001E-2</v>
      </c>
      <c r="M878" s="4">
        <v>4.0000000000000001E-3</v>
      </c>
      <c r="N878" s="4">
        <v>-4.5999999999999999E-3</v>
      </c>
      <c r="O878" s="4">
        <v>1E-4</v>
      </c>
      <c r="P878" s="4">
        <v>125.06</v>
      </c>
      <c r="Q878" s="4">
        <v>0.08</v>
      </c>
      <c r="R878" s="113">
        <f t="shared" si="67"/>
        <v>0.2430709426627794</v>
      </c>
      <c r="S878" s="22">
        <f t="shared" si="68"/>
        <v>1.5549076773566569E-4</v>
      </c>
    </row>
    <row r="879" spans="1:19">
      <c r="A879" s="109" t="s">
        <v>826</v>
      </c>
      <c r="B879" s="113" t="s">
        <v>1123</v>
      </c>
      <c r="C879" s="113"/>
      <c r="D879" s="113">
        <v>0</v>
      </c>
      <c r="E879" s="4">
        <v>18</v>
      </c>
      <c r="F879" s="4">
        <v>8</v>
      </c>
      <c r="G879" s="4">
        <v>21</v>
      </c>
      <c r="H879" s="113">
        <v>7.0198999999999998</v>
      </c>
      <c r="I879" s="4">
        <v>1E-4</v>
      </c>
      <c r="J879" s="113">
        <v>-43.207999999999998</v>
      </c>
      <c r="K879" s="4">
        <v>8.0000000000000004E-4</v>
      </c>
      <c r="L879" s="4">
        <v>2.8000000000000001E-2</v>
      </c>
      <c r="M879" s="4">
        <v>4.0000000000000001E-3</v>
      </c>
      <c r="N879" s="4">
        <v>-4.5999999999999999E-3</v>
      </c>
      <c r="O879" s="4">
        <v>1E-4</v>
      </c>
      <c r="P879" s="4">
        <v>125.06</v>
      </c>
      <c r="Q879" s="4">
        <v>0.08</v>
      </c>
      <c r="R879" s="113">
        <f t="shared" si="67"/>
        <v>0.2430709426627794</v>
      </c>
      <c r="S879" s="22">
        <f t="shared" si="68"/>
        <v>1.5549076773566569E-4</v>
      </c>
    </row>
    <row r="880" spans="1:19">
      <c r="A880" s="109" t="s">
        <v>827</v>
      </c>
      <c r="B880" s="113" t="s">
        <v>1124</v>
      </c>
      <c r="C880" s="113"/>
      <c r="D880" s="113">
        <v>0</v>
      </c>
      <c r="E880" s="4">
        <v>18</v>
      </c>
      <c r="F880" s="4">
        <v>8</v>
      </c>
      <c r="G880" s="4">
        <v>21</v>
      </c>
      <c r="H880" s="113">
        <v>7.0198999999999998</v>
      </c>
      <c r="I880" s="4">
        <v>1E-4</v>
      </c>
      <c r="J880" s="113">
        <v>-43.207999999999998</v>
      </c>
      <c r="K880" s="4">
        <v>8.0000000000000004E-4</v>
      </c>
      <c r="L880" s="4">
        <v>2.8000000000000001E-2</v>
      </c>
      <c r="M880" s="4">
        <v>4.0000000000000001E-3</v>
      </c>
      <c r="N880" s="4">
        <v>-4.5999999999999999E-3</v>
      </c>
      <c r="O880" s="4">
        <v>1E-4</v>
      </c>
      <c r="P880" s="4">
        <v>125.06</v>
      </c>
      <c r="Q880" s="4">
        <v>0.08</v>
      </c>
      <c r="R880" s="113">
        <f t="shared" si="67"/>
        <v>0.2430709426627794</v>
      </c>
      <c r="S880" s="22">
        <f t="shared" si="68"/>
        <v>1.5549076773566569E-4</v>
      </c>
    </row>
    <row r="881" spans="1:19">
      <c r="A881" s="109" t="s">
        <v>828</v>
      </c>
      <c r="B881" s="113" t="s">
        <v>1125</v>
      </c>
      <c r="C881" s="113"/>
      <c r="D881" s="113">
        <v>0</v>
      </c>
      <c r="E881" s="4">
        <v>18</v>
      </c>
      <c r="F881" s="4">
        <v>8</v>
      </c>
      <c r="G881" s="4">
        <v>21</v>
      </c>
      <c r="H881" s="113">
        <v>7.0198999999999998</v>
      </c>
      <c r="I881" s="4">
        <v>1E-4</v>
      </c>
      <c r="J881" s="113">
        <v>-43.207999999999998</v>
      </c>
      <c r="K881" s="4">
        <v>8.0000000000000004E-4</v>
      </c>
      <c r="L881" s="4">
        <v>2.8000000000000001E-2</v>
      </c>
      <c r="M881" s="4">
        <v>4.0000000000000001E-3</v>
      </c>
      <c r="N881" s="4">
        <v>-4.5999999999999999E-3</v>
      </c>
      <c r="O881" s="4">
        <v>1E-4</v>
      </c>
      <c r="P881" s="4">
        <v>125.06</v>
      </c>
      <c r="Q881" s="4">
        <v>0.08</v>
      </c>
      <c r="R881" s="113">
        <f t="shared" si="67"/>
        <v>0.2430709426627794</v>
      </c>
      <c r="S881" s="22">
        <f t="shared" si="68"/>
        <v>1.5549076773566569E-4</v>
      </c>
    </row>
    <row r="882" spans="1:19">
      <c r="A882" s="109" t="s">
        <v>829</v>
      </c>
      <c r="B882" s="113" t="s">
        <v>1126</v>
      </c>
      <c r="C882" s="113"/>
      <c r="D882" s="113">
        <v>0</v>
      </c>
      <c r="E882" s="4">
        <v>18</v>
      </c>
      <c r="F882" s="4">
        <v>8</v>
      </c>
      <c r="G882" s="4">
        <v>21</v>
      </c>
      <c r="H882" s="113">
        <v>7.0198999999999998</v>
      </c>
      <c r="I882" s="4">
        <v>1E-4</v>
      </c>
      <c r="J882" s="113">
        <v>-43.207999999999998</v>
      </c>
      <c r="K882" s="4">
        <v>8.0000000000000004E-4</v>
      </c>
      <c r="L882" s="4">
        <v>2.8000000000000001E-2</v>
      </c>
      <c r="M882" s="4">
        <v>4.0000000000000001E-3</v>
      </c>
      <c r="N882" s="4">
        <v>-4.5999999999999999E-3</v>
      </c>
      <c r="O882" s="4">
        <v>1E-4</v>
      </c>
      <c r="P882" s="4">
        <v>125.06</v>
      </c>
      <c r="Q882" s="4">
        <v>0.08</v>
      </c>
      <c r="R882" s="113">
        <f t="shared" si="67"/>
        <v>0.2430709426627794</v>
      </c>
      <c r="S882" s="22">
        <f t="shared" si="68"/>
        <v>1.5549076773566569E-4</v>
      </c>
    </row>
    <row r="883" spans="1:19">
      <c r="A883" s="109" t="s">
        <v>830</v>
      </c>
      <c r="B883" s="113" t="s">
        <v>1127</v>
      </c>
      <c r="C883" s="113"/>
      <c r="D883" s="113">
        <v>0</v>
      </c>
      <c r="E883" s="4">
        <v>18</v>
      </c>
      <c r="F883" s="4">
        <v>8</v>
      </c>
      <c r="G883" s="4">
        <v>21</v>
      </c>
      <c r="H883" s="113">
        <v>7.0198999999999998</v>
      </c>
      <c r="I883" s="4">
        <v>1E-4</v>
      </c>
      <c r="J883" s="113">
        <v>-43.207999999999998</v>
      </c>
      <c r="K883" s="4">
        <v>8.0000000000000004E-4</v>
      </c>
      <c r="L883" s="4">
        <v>2.8000000000000001E-2</v>
      </c>
      <c r="M883" s="4">
        <v>4.0000000000000001E-3</v>
      </c>
      <c r="N883" s="4">
        <v>-4.5999999999999999E-3</v>
      </c>
      <c r="O883" s="4">
        <v>1E-4</v>
      </c>
      <c r="P883" s="4">
        <v>125.06</v>
      </c>
      <c r="Q883" s="4">
        <v>0.08</v>
      </c>
      <c r="R883" s="113">
        <f t="shared" si="67"/>
        <v>0.2430709426627794</v>
      </c>
      <c r="S883" s="22">
        <f t="shared" si="68"/>
        <v>1.5549076773566569E-4</v>
      </c>
    </row>
    <row r="884" spans="1:19">
      <c r="A884" s="109" t="s">
        <v>831</v>
      </c>
      <c r="B884" s="113" t="s">
        <v>1128</v>
      </c>
      <c r="C884" s="113"/>
      <c r="D884" s="113">
        <v>0</v>
      </c>
      <c r="E884" s="4">
        <v>18</v>
      </c>
      <c r="F884" s="4">
        <v>8</v>
      </c>
      <c r="G884" s="4">
        <v>21</v>
      </c>
      <c r="H884" s="113">
        <v>7.0198999999999998</v>
      </c>
      <c r="I884" s="4">
        <v>1E-4</v>
      </c>
      <c r="J884" s="113">
        <v>-43.207999999999998</v>
      </c>
      <c r="K884" s="4">
        <v>8.0000000000000004E-4</v>
      </c>
      <c r="L884" s="4">
        <v>2.8000000000000001E-2</v>
      </c>
      <c r="M884" s="4">
        <v>4.0000000000000001E-3</v>
      </c>
      <c r="N884" s="4">
        <v>-4.5999999999999999E-3</v>
      </c>
      <c r="O884" s="4">
        <v>1E-4</v>
      </c>
      <c r="P884" s="4">
        <v>125.06</v>
      </c>
      <c r="Q884" s="4">
        <v>0.08</v>
      </c>
      <c r="R884" s="113">
        <f t="shared" si="67"/>
        <v>0.2430709426627794</v>
      </c>
      <c r="S884" s="22">
        <f t="shared" si="68"/>
        <v>1.5549076773566569E-4</v>
      </c>
    </row>
    <row r="885" spans="1:19">
      <c r="A885" s="109" t="s">
        <v>832</v>
      </c>
      <c r="B885" s="113" t="s">
        <v>1129</v>
      </c>
      <c r="C885" s="113"/>
      <c r="D885" s="113">
        <v>0</v>
      </c>
      <c r="E885" s="4">
        <v>18</v>
      </c>
      <c r="F885" s="4">
        <v>8</v>
      </c>
      <c r="G885" s="4">
        <v>21</v>
      </c>
      <c r="H885" s="113">
        <v>7.0198999999999998</v>
      </c>
      <c r="I885" s="4">
        <v>1E-4</v>
      </c>
      <c r="J885" s="113">
        <v>-43.207999999999998</v>
      </c>
      <c r="K885" s="4">
        <v>8.0000000000000004E-4</v>
      </c>
      <c r="L885" s="4">
        <v>2.8000000000000001E-2</v>
      </c>
      <c r="M885" s="4">
        <v>4.0000000000000001E-3</v>
      </c>
      <c r="N885" s="4">
        <v>-4.5999999999999999E-3</v>
      </c>
      <c r="O885" s="4">
        <v>1E-4</v>
      </c>
      <c r="P885" s="4">
        <v>125.06</v>
      </c>
      <c r="Q885" s="4">
        <v>0.08</v>
      </c>
      <c r="R885" s="113">
        <f t="shared" si="67"/>
        <v>0.2430709426627794</v>
      </c>
      <c r="S885" s="22">
        <f t="shared" si="68"/>
        <v>1.5549076773566569E-4</v>
      </c>
    </row>
    <row r="886" spans="1:19">
      <c r="A886" s="109" t="s">
        <v>833</v>
      </c>
      <c r="B886" s="113" t="s">
        <v>1130</v>
      </c>
      <c r="C886" s="113"/>
      <c r="D886" s="113">
        <v>0</v>
      </c>
      <c r="E886" s="4">
        <v>18</v>
      </c>
      <c r="F886" s="4">
        <v>8</v>
      </c>
      <c r="G886" s="4">
        <v>21</v>
      </c>
      <c r="H886" s="113">
        <v>7.0198999999999998</v>
      </c>
      <c r="I886" s="4">
        <v>1E-4</v>
      </c>
      <c r="J886" s="113">
        <v>-43.207999999999998</v>
      </c>
      <c r="K886" s="4">
        <v>8.0000000000000004E-4</v>
      </c>
      <c r="L886" s="4">
        <v>2.8000000000000001E-2</v>
      </c>
      <c r="M886" s="4">
        <v>4.0000000000000001E-3</v>
      </c>
      <c r="N886" s="4">
        <v>-4.5999999999999999E-3</v>
      </c>
      <c r="O886" s="4">
        <v>1E-4</v>
      </c>
      <c r="P886" s="4">
        <v>125.06</v>
      </c>
      <c r="Q886" s="4">
        <v>0.08</v>
      </c>
      <c r="R886" s="113">
        <f t="shared" si="67"/>
        <v>0.2430709426627794</v>
      </c>
      <c r="S886" s="22">
        <f t="shared" si="68"/>
        <v>1.5549076773566569E-4</v>
      </c>
    </row>
    <row r="887" spans="1:19">
      <c r="A887" s="109" t="s">
        <v>834</v>
      </c>
      <c r="B887" s="113" t="s">
        <v>1131</v>
      </c>
      <c r="C887" s="113"/>
      <c r="D887" s="113">
        <v>0</v>
      </c>
      <c r="E887" s="4">
        <v>18</v>
      </c>
      <c r="F887" s="4">
        <v>8</v>
      </c>
      <c r="G887" s="4">
        <v>21</v>
      </c>
      <c r="H887" s="113">
        <v>7.0198999999999998</v>
      </c>
      <c r="I887" s="4">
        <v>1E-4</v>
      </c>
      <c r="J887" s="113">
        <v>-43.207999999999998</v>
      </c>
      <c r="K887" s="4">
        <v>8.0000000000000004E-4</v>
      </c>
      <c r="L887" s="4">
        <v>2.8000000000000001E-2</v>
      </c>
      <c r="M887" s="4">
        <v>4.0000000000000001E-3</v>
      </c>
      <c r="N887" s="4">
        <v>-4.5999999999999999E-3</v>
      </c>
      <c r="O887" s="4">
        <v>1E-4</v>
      </c>
      <c r="P887" s="4">
        <v>125.06</v>
      </c>
      <c r="Q887" s="4">
        <v>0.08</v>
      </c>
      <c r="R887" s="113">
        <f t="shared" si="67"/>
        <v>0.2430709426627794</v>
      </c>
      <c r="S887" s="22">
        <f t="shared" si="68"/>
        <v>1.5549076773566569E-4</v>
      </c>
    </row>
    <row r="888" spans="1:19">
      <c r="A888" s="109" t="s">
        <v>835</v>
      </c>
      <c r="B888" s="113" t="s">
        <v>1132</v>
      </c>
      <c r="C888" s="113"/>
      <c r="D888" s="113">
        <v>0</v>
      </c>
      <c r="E888" s="4">
        <v>18</v>
      </c>
      <c r="F888" s="4">
        <v>8</v>
      </c>
      <c r="G888" s="4">
        <v>21</v>
      </c>
      <c r="H888" s="113">
        <v>7.0198999999999998</v>
      </c>
      <c r="I888" s="4">
        <v>1E-4</v>
      </c>
      <c r="J888" s="113">
        <v>-43.207999999999998</v>
      </c>
      <c r="K888" s="4">
        <v>8.0000000000000004E-4</v>
      </c>
      <c r="L888" s="4">
        <v>2.8000000000000001E-2</v>
      </c>
      <c r="M888" s="4">
        <v>4.0000000000000001E-3</v>
      </c>
      <c r="N888" s="4">
        <v>-4.5999999999999999E-3</v>
      </c>
      <c r="O888" s="4">
        <v>1E-4</v>
      </c>
      <c r="P888" s="4">
        <v>125.06</v>
      </c>
      <c r="Q888" s="4">
        <v>0.08</v>
      </c>
      <c r="R888" s="113">
        <f t="shared" si="67"/>
        <v>0.2430709426627794</v>
      </c>
      <c r="S888" s="22">
        <f t="shared" si="68"/>
        <v>1.5549076773566569E-4</v>
      </c>
    </row>
    <row r="889" spans="1:19">
      <c r="A889" s="109" t="s">
        <v>836</v>
      </c>
      <c r="B889" s="113" t="s">
        <v>1133</v>
      </c>
      <c r="C889" s="113"/>
      <c r="D889" s="113">
        <v>0</v>
      </c>
      <c r="E889" s="4">
        <v>18</v>
      </c>
      <c r="F889" s="4">
        <v>8</v>
      </c>
      <c r="G889" s="4">
        <v>21</v>
      </c>
      <c r="H889" s="113">
        <v>7.0198999999999998</v>
      </c>
      <c r="I889" s="4">
        <v>1E-4</v>
      </c>
      <c r="J889" s="113">
        <v>-43.207999999999998</v>
      </c>
      <c r="K889" s="4">
        <v>8.0000000000000004E-4</v>
      </c>
      <c r="L889" s="4">
        <v>2.8000000000000001E-2</v>
      </c>
      <c r="M889" s="4">
        <v>4.0000000000000001E-3</v>
      </c>
      <c r="N889" s="4">
        <v>-4.5999999999999999E-3</v>
      </c>
      <c r="O889" s="4">
        <v>1E-4</v>
      </c>
      <c r="P889" s="4">
        <v>125.06</v>
      </c>
      <c r="Q889" s="4">
        <v>0.08</v>
      </c>
      <c r="R889" s="113">
        <f t="shared" si="67"/>
        <v>0.2430709426627794</v>
      </c>
      <c r="S889" s="22">
        <f t="shared" si="68"/>
        <v>1.5549076773566569E-4</v>
      </c>
    </row>
    <row r="890" spans="1:19">
      <c r="A890" s="109" t="s">
        <v>837</v>
      </c>
      <c r="B890" s="113" t="s">
        <v>1134</v>
      </c>
      <c r="C890" s="113"/>
      <c r="D890" s="113">
        <v>0</v>
      </c>
      <c r="E890" s="4">
        <v>18</v>
      </c>
      <c r="F890" s="4">
        <v>8</v>
      </c>
      <c r="G890" s="4">
        <v>21</v>
      </c>
      <c r="H890" s="113">
        <v>7.0198999999999998</v>
      </c>
      <c r="I890" s="4">
        <v>1E-4</v>
      </c>
      <c r="J890" s="113">
        <v>-43.207999999999998</v>
      </c>
      <c r="K890" s="4">
        <v>8.0000000000000004E-4</v>
      </c>
      <c r="L890" s="4">
        <v>2.8000000000000001E-2</v>
      </c>
      <c r="M890" s="4">
        <v>4.0000000000000001E-3</v>
      </c>
      <c r="N890" s="4">
        <v>-4.5999999999999999E-3</v>
      </c>
      <c r="O890" s="4">
        <v>1E-4</v>
      </c>
      <c r="P890" s="4">
        <v>125.06</v>
      </c>
      <c r="Q890" s="4">
        <v>0.08</v>
      </c>
      <c r="R890" s="113">
        <f t="shared" si="67"/>
        <v>0.2430709426627794</v>
      </c>
      <c r="S890" s="22">
        <f t="shared" si="68"/>
        <v>1.5549076773566569E-4</v>
      </c>
    </row>
    <row r="891" spans="1:19">
      <c r="A891" s="109" t="s">
        <v>838</v>
      </c>
      <c r="B891" s="113" t="s">
        <v>1135</v>
      </c>
      <c r="C891" s="113"/>
      <c r="D891" s="113">
        <v>0</v>
      </c>
      <c r="E891" s="4">
        <v>18</v>
      </c>
      <c r="F891" s="4">
        <v>8</v>
      </c>
      <c r="G891" s="4">
        <v>21</v>
      </c>
      <c r="H891" s="113">
        <v>7.0198999999999998</v>
      </c>
      <c r="I891" s="4">
        <v>1E-4</v>
      </c>
      <c r="J891" s="113">
        <v>-43.207999999999998</v>
      </c>
      <c r="K891" s="4">
        <v>8.0000000000000004E-4</v>
      </c>
      <c r="L891" s="4">
        <v>2.8000000000000001E-2</v>
      </c>
      <c r="M891" s="4">
        <v>4.0000000000000001E-3</v>
      </c>
      <c r="N891" s="4">
        <v>-4.5999999999999999E-3</v>
      </c>
      <c r="O891" s="4">
        <v>1E-4</v>
      </c>
      <c r="P891" s="4">
        <v>125.06</v>
      </c>
      <c r="Q891" s="4">
        <v>0.08</v>
      </c>
      <c r="R891" s="113">
        <f t="shared" si="67"/>
        <v>0.2430709426627794</v>
      </c>
      <c r="S891" s="22">
        <f t="shared" si="68"/>
        <v>1.5549076773566569E-4</v>
      </c>
    </row>
    <row r="892" spans="1:19">
      <c r="A892" s="109" t="s">
        <v>839</v>
      </c>
      <c r="B892" s="113" t="s">
        <v>1136</v>
      </c>
      <c r="C892" s="113"/>
      <c r="D892" s="113">
        <v>0</v>
      </c>
      <c r="E892" s="4">
        <v>18</v>
      </c>
      <c r="F892" s="4">
        <v>8</v>
      </c>
      <c r="G892" s="4">
        <v>21</v>
      </c>
      <c r="H892" s="113">
        <v>7.0198999999999998</v>
      </c>
      <c r="I892" s="4">
        <v>1E-4</v>
      </c>
      <c r="J892" s="113">
        <v>-43.207999999999998</v>
      </c>
      <c r="K892" s="4">
        <v>8.0000000000000004E-4</v>
      </c>
      <c r="L892" s="4">
        <v>2.8000000000000001E-2</v>
      </c>
      <c r="M892" s="4">
        <v>4.0000000000000001E-3</v>
      </c>
      <c r="N892" s="4">
        <v>-4.5999999999999999E-3</v>
      </c>
      <c r="O892" s="4">
        <v>1E-4</v>
      </c>
      <c r="P892" s="4">
        <v>125.06</v>
      </c>
      <c r="Q892" s="4">
        <v>0.08</v>
      </c>
      <c r="R892" s="113">
        <f t="shared" si="67"/>
        <v>0.2430709426627794</v>
      </c>
      <c r="S892" s="22">
        <f t="shared" si="68"/>
        <v>1.5549076773566569E-4</v>
      </c>
    </row>
    <row r="893" spans="1:19">
      <c r="A893" s="109" t="s">
        <v>840</v>
      </c>
      <c r="B893" s="113" t="s">
        <v>1137</v>
      </c>
      <c r="C893" s="113"/>
      <c r="D893" s="113">
        <v>0</v>
      </c>
      <c r="E893" s="4">
        <v>18</v>
      </c>
      <c r="F893" s="4">
        <v>8</v>
      </c>
      <c r="G893" s="4">
        <v>21</v>
      </c>
      <c r="H893" s="113">
        <v>7.0198999999999998</v>
      </c>
      <c r="I893" s="4">
        <v>1E-4</v>
      </c>
      <c r="J893" s="113">
        <v>-43.207999999999998</v>
      </c>
      <c r="K893" s="4">
        <v>8.0000000000000004E-4</v>
      </c>
      <c r="L893" s="4">
        <v>2.8000000000000001E-2</v>
      </c>
      <c r="M893" s="4">
        <v>4.0000000000000001E-3</v>
      </c>
      <c r="N893" s="4">
        <v>-4.5999999999999999E-3</v>
      </c>
      <c r="O893" s="4">
        <v>1E-4</v>
      </c>
      <c r="P893" s="4">
        <v>125.06</v>
      </c>
      <c r="Q893" s="4">
        <v>0.08</v>
      </c>
      <c r="R893" s="113">
        <f t="shared" si="67"/>
        <v>0.2430709426627794</v>
      </c>
      <c r="S893" s="22">
        <f t="shared" si="68"/>
        <v>1.5549076773566569E-4</v>
      </c>
    </row>
    <row r="894" spans="1:19">
      <c r="A894" s="109" t="s">
        <v>841</v>
      </c>
      <c r="B894" s="113" t="s">
        <v>1138</v>
      </c>
      <c r="C894" s="113"/>
      <c r="D894" s="113">
        <v>0</v>
      </c>
      <c r="E894" s="4">
        <v>18</v>
      </c>
      <c r="F894" s="4">
        <v>8</v>
      </c>
      <c r="G894" s="4">
        <v>21</v>
      </c>
      <c r="H894" s="113">
        <v>7.0198999999999998</v>
      </c>
      <c r="I894" s="4">
        <v>1E-4</v>
      </c>
      <c r="J894" s="113">
        <v>-43.207999999999998</v>
      </c>
      <c r="K894" s="4">
        <v>8.0000000000000004E-4</v>
      </c>
      <c r="L894" s="4">
        <v>2.8000000000000001E-2</v>
      </c>
      <c r="M894" s="4">
        <v>4.0000000000000001E-3</v>
      </c>
      <c r="N894" s="4">
        <v>-4.5999999999999999E-3</v>
      </c>
      <c r="O894" s="4">
        <v>1E-4</v>
      </c>
      <c r="P894" s="4">
        <v>125.06</v>
      </c>
      <c r="Q894" s="4">
        <v>0.08</v>
      </c>
      <c r="R894" s="113">
        <f t="shared" si="67"/>
        <v>0.2430709426627794</v>
      </c>
      <c r="S894" s="22">
        <f t="shared" si="68"/>
        <v>1.5549076773566569E-4</v>
      </c>
    </row>
    <row r="895" spans="1:19">
      <c r="A895" s="109" t="s">
        <v>842</v>
      </c>
      <c r="B895" s="113" t="s">
        <v>1139</v>
      </c>
      <c r="C895" s="113"/>
      <c r="D895" s="113">
        <v>0</v>
      </c>
      <c r="E895" s="4">
        <v>18</v>
      </c>
      <c r="F895" s="4">
        <v>8</v>
      </c>
      <c r="G895" s="4">
        <v>21</v>
      </c>
      <c r="H895" s="113">
        <v>7.0198999999999998</v>
      </c>
      <c r="I895" s="4">
        <v>1E-4</v>
      </c>
      <c r="J895" s="113">
        <v>-43.207999999999998</v>
      </c>
      <c r="K895" s="4">
        <v>8.0000000000000004E-4</v>
      </c>
      <c r="L895" s="4">
        <v>2.8000000000000001E-2</v>
      </c>
      <c r="M895" s="4">
        <v>4.0000000000000001E-3</v>
      </c>
      <c r="N895" s="4">
        <v>-4.5999999999999999E-3</v>
      </c>
      <c r="O895" s="4">
        <v>1E-4</v>
      </c>
      <c r="P895" s="4">
        <v>125.06</v>
      </c>
      <c r="Q895" s="4">
        <v>0.08</v>
      </c>
      <c r="R895" s="113">
        <f t="shared" si="67"/>
        <v>0.2430709426627794</v>
      </c>
      <c r="S895" s="22">
        <f t="shared" si="68"/>
        <v>1.5549076773566569E-4</v>
      </c>
    </row>
    <row r="896" spans="1:19">
      <c r="A896" s="109" t="s">
        <v>843</v>
      </c>
      <c r="B896" s="113" t="s">
        <v>1140</v>
      </c>
      <c r="C896" s="113"/>
      <c r="D896" s="113">
        <v>0</v>
      </c>
      <c r="E896" s="4">
        <v>18</v>
      </c>
      <c r="F896" s="4">
        <v>8</v>
      </c>
      <c r="G896" s="4">
        <v>21</v>
      </c>
      <c r="H896" s="113">
        <v>7.0198999999999998</v>
      </c>
      <c r="I896" s="4">
        <v>1E-4</v>
      </c>
      <c r="J896" s="113">
        <v>-43.207999999999998</v>
      </c>
      <c r="K896" s="4">
        <v>8.0000000000000004E-4</v>
      </c>
      <c r="L896" s="4">
        <v>2.8000000000000001E-2</v>
      </c>
      <c r="M896" s="4">
        <v>4.0000000000000001E-3</v>
      </c>
      <c r="N896" s="4">
        <v>-4.5999999999999999E-3</v>
      </c>
      <c r="O896" s="4">
        <v>1E-4</v>
      </c>
      <c r="P896" s="4">
        <v>125.06</v>
      </c>
      <c r="Q896" s="4">
        <v>0.08</v>
      </c>
      <c r="R896" s="113">
        <f t="shared" si="67"/>
        <v>0.2430709426627794</v>
      </c>
      <c r="S896" s="22">
        <f t="shared" si="68"/>
        <v>1.5549076773566569E-4</v>
      </c>
    </row>
    <row r="897" spans="1:19">
      <c r="A897" s="109" t="s">
        <v>844</v>
      </c>
      <c r="B897" s="113" t="s">
        <v>1141</v>
      </c>
      <c r="C897" s="113"/>
      <c r="D897" s="113">
        <v>0</v>
      </c>
      <c r="E897" s="4">
        <v>18</v>
      </c>
      <c r="F897" s="4">
        <v>8</v>
      </c>
      <c r="G897" s="4">
        <v>21</v>
      </c>
      <c r="H897" s="113">
        <v>7.0198999999999998</v>
      </c>
      <c r="I897" s="4">
        <v>1E-4</v>
      </c>
      <c r="J897" s="113">
        <v>-43.207999999999998</v>
      </c>
      <c r="K897" s="4">
        <v>8.0000000000000004E-4</v>
      </c>
      <c r="L897" s="4">
        <v>2.8000000000000001E-2</v>
      </c>
      <c r="M897" s="4">
        <v>4.0000000000000001E-3</v>
      </c>
      <c r="N897" s="4">
        <v>-4.5999999999999999E-3</v>
      </c>
      <c r="O897" s="4">
        <v>1E-4</v>
      </c>
      <c r="P897" s="4">
        <v>125.06</v>
      </c>
      <c r="Q897" s="4">
        <v>0.08</v>
      </c>
      <c r="R897" s="113">
        <f t="shared" si="67"/>
        <v>0.2430709426627794</v>
      </c>
      <c r="S897" s="22">
        <f t="shared" si="68"/>
        <v>1.5549076773566569E-4</v>
      </c>
    </row>
    <row r="898" spans="1:19">
      <c r="A898" s="109" t="s">
        <v>845</v>
      </c>
      <c r="B898" s="113" t="s">
        <v>1142</v>
      </c>
      <c r="C898" s="113"/>
      <c r="D898" s="113">
        <v>0</v>
      </c>
      <c r="E898" s="4">
        <v>18</v>
      </c>
      <c r="F898" s="4">
        <v>8</v>
      </c>
      <c r="G898" s="4">
        <v>21</v>
      </c>
      <c r="H898" s="113">
        <v>7.0198999999999998</v>
      </c>
      <c r="I898" s="4">
        <v>1E-4</v>
      </c>
      <c r="J898" s="113">
        <v>-43.207999999999998</v>
      </c>
      <c r="K898" s="4">
        <v>8.0000000000000004E-4</v>
      </c>
      <c r="L898" s="4">
        <v>2.8000000000000001E-2</v>
      </c>
      <c r="M898" s="4">
        <v>4.0000000000000001E-3</v>
      </c>
      <c r="N898" s="4">
        <v>-4.5999999999999999E-3</v>
      </c>
      <c r="O898" s="4">
        <v>1E-4</v>
      </c>
      <c r="P898" s="4">
        <v>125.06</v>
      </c>
      <c r="Q898" s="4">
        <v>0.08</v>
      </c>
      <c r="R898" s="113">
        <f t="shared" si="67"/>
        <v>0.2430709426627794</v>
      </c>
      <c r="S898" s="22">
        <f t="shared" si="68"/>
        <v>1.5549076773566569E-4</v>
      </c>
    </row>
    <row r="899" spans="1:19">
      <c r="A899" s="109" t="s">
        <v>846</v>
      </c>
      <c r="B899" s="113" t="s">
        <v>1143</v>
      </c>
      <c r="C899" s="113"/>
      <c r="D899" s="113">
        <v>0</v>
      </c>
      <c r="E899" s="4">
        <v>18</v>
      </c>
      <c r="F899" s="4">
        <v>8</v>
      </c>
      <c r="G899" s="4">
        <v>21</v>
      </c>
      <c r="H899" s="113">
        <v>7.0198999999999998</v>
      </c>
      <c r="I899" s="4">
        <v>1E-4</v>
      </c>
      <c r="J899" s="113">
        <v>-43.207999999999998</v>
      </c>
      <c r="K899" s="4">
        <v>8.0000000000000004E-4</v>
      </c>
      <c r="L899" s="4">
        <v>2.8000000000000001E-2</v>
      </c>
      <c r="M899" s="4">
        <v>4.0000000000000001E-3</v>
      </c>
      <c r="N899" s="4">
        <v>-4.5999999999999999E-3</v>
      </c>
      <c r="O899" s="4">
        <v>1E-4</v>
      </c>
      <c r="P899" s="4">
        <v>125.06</v>
      </c>
      <c r="Q899" s="4">
        <v>0.08</v>
      </c>
      <c r="R899" s="113">
        <f t="shared" si="67"/>
        <v>0.2430709426627794</v>
      </c>
      <c r="S899" s="22">
        <f t="shared" si="68"/>
        <v>1.5549076773566569E-4</v>
      </c>
    </row>
    <row r="900" spans="1:19">
      <c r="A900" s="109" t="s">
        <v>847</v>
      </c>
      <c r="B900" s="113" t="s">
        <v>1144</v>
      </c>
      <c r="C900" s="113"/>
      <c r="D900" s="113">
        <v>0</v>
      </c>
      <c r="E900" s="4">
        <v>18</v>
      </c>
      <c r="F900" s="4">
        <v>8</v>
      </c>
      <c r="G900" s="4">
        <v>21</v>
      </c>
      <c r="H900" s="113">
        <v>7.0198999999999998</v>
      </c>
      <c r="I900" s="4">
        <v>1E-4</v>
      </c>
      <c r="J900" s="113">
        <v>-43.207999999999998</v>
      </c>
      <c r="K900" s="4">
        <v>8.0000000000000004E-4</v>
      </c>
      <c r="L900" s="4">
        <v>2.8000000000000001E-2</v>
      </c>
      <c r="M900" s="4">
        <v>4.0000000000000001E-3</v>
      </c>
      <c r="N900" s="4">
        <v>-4.5999999999999999E-3</v>
      </c>
      <c r="O900" s="4">
        <v>1E-4</v>
      </c>
      <c r="P900" s="4">
        <v>125.06</v>
      </c>
      <c r="Q900" s="4">
        <v>0.08</v>
      </c>
      <c r="R900" s="113">
        <f t="shared" si="67"/>
        <v>0.2430709426627794</v>
      </c>
      <c r="S900" s="22">
        <f t="shared" si="68"/>
        <v>1.5549076773566569E-4</v>
      </c>
    </row>
    <row r="901" spans="1:19">
      <c r="A901" s="109" t="s">
        <v>848</v>
      </c>
      <c r="B901" s="113" t="s">
        <v>1145</v>
      </c>
      <c r="C901" s="113"/>
      <c r="D901" s="113">
        <v>0</v>
      </c>
      <c r="E901" s="4">
        <v>18</v>
      </c>
      <c r="F901" s="4">
        <v>8</v>
      </c>
      <c r="G901" s="4">
        <v>21</v>
      </c>
      <c r="H901" s="113">
        <v>7.0198999999999998</v>
      </c>
      <c r="I901" s="4">
        <v>1E-4</v>
      </c>
      <c r="J901" s="113">
        <v>-43.207999999999998</v>
      </c>
      <c r="K901" s="4">
        <v>8.0000000000000004E-4</v>
      </c>
      <c r="L901" s="4">
        <v>2.8000000000000001E-2</v>
      </c>
      <c r="M901" s="4">
        <v>4.0000000000000001E-3</v>
      </c>
      <c r="N901" s="4">
        <v>-4.5999999999999999E-3</v>
      </c>
      <c r="O901" s="4">
        <v>1E-4</v>
      </c>
      <c r="P901" s="4">
        <v>125.06</v>
      </c>
      <c r="Q901" s="4">
        <v>0.08</v>
      </c>
      <c r="R901" s="113">
        <f t="shared" si="67"/>
        <v>0.2430709426627794</v>
      </c>
      <c r="S901" s="22">
        <f t="shared" si="68"/>
        <v>1.5549076773566569E-4</v>
      </c>
    </row>
    <row r="902" spans="1:19">
      <c r="A902" s="109" t="s">
        <v>849</v>
      </c>
      <c r="B902" s="113" t="s">
        <v>1146</v>
      </c>
      <c r="C902" s="113"/>
      <c r="D902" s="113">
        <v>0</v>
      </c>
      <c r="E902" s="4">
        <v>18</v>
      </c>
      <c r="F902" s="4">
        <v>8</v>
      </c>
      <c r="G902" s="4">
        <v>21</v>
      </c>
      <c r="H902" s="113">
        <v>7.0198999999999998</v>
      </c>
      <c r="I902" s="4">
        <v>1E-4</v>
      </c>
      <c r="J902" s="113">
        <v>-43.207999999999998</v>
      </c>
      <c r="K902" s="4">
        <v>8.0000000000000004E-4</v>
      </c>
      <c r="L902" s="4">
        <v>2.8000000000000001E-2</v>
      </c>
      <c r="M902" s="4">
        <v>4.0000000000000001E-3</v>
      </c>
      <c r="N902" s="4">
        <v>-4.5999999999999999E-3</v>
      </c>
      <c r="O902" s="4">
        <v>1E-4</v>
      </c>
      <c r="P902" s="4">
        <v>125.06</v>
      </c>
      <c r="Q902" s="4">
        <v>0.08</v>
      </c>
      <c r="R902" s="113">
        <f t="shared" si="67"/>
        <v>0.2430709426627794</v>
      </c>
      <c r="S902" s="22">
        <f t="shared" si="68"/>
        <v>1.5549076773566569E-4</v>
      </c>
    </row>
    <row r="903" spans="1:19">
      <c r="A903" s="109" t="s">
        <v>850</v>
      </c>
      <c r="B903" s="113" t="s">
        <v>1147</v>
      </c>
      <c r="C903" s="113"/>
      <c r="D903" s="113">
        <v>0</v>
      </c>
      <c r="E903" s="4">
        <v>18</v>
      </c>
      <c r="F903" s="4">
        <v>8</v>
      </c>
      <c r="G903" s="4">
        <v>21</v>
      </c>
      <c r="H903" s="113">
        <v>7.0198999999999998</v>
      </c>
      <c r="I903" s="4">
        <v>1E-4</v>
      </c>
      <c r="J903" s="113">
        <v>-43.207999999999998</v>
      </c>
      <c r="K903" s="4">
        <v>8.0000000000000004E-4</v>
      </c>
      <c r="L903" s="4">
        <v>2.8000000000000001E-2</v>
      </c>
      <c r="M903" s="4">
        <v>4.0000000000000001E-3</v>
      </c>
      <c r="N903" s="4">
        <v>-4.5999999999999999E-3</v>
      </c>
      <c r="O903" s="4">
        <v>1E-4</v>
      </c>
      <c r="P903" s="4">
        <v>125.06</v>
      </c>
      <c r="Q903" s="4">
        <v>0.08</v>
      </c>
      <c r="R903" s="113">
        <f t="shared" si="67"/>
        <v>0.2430709426627794</v>
      </c>
      <c r="S903" s="22">
        <f t="shared" si="68"/>
        <v>1.5549076773566569E-4</v>
      </c>
    </row>
    <row r="904" spans="1:19">
      <c r="A904" s="109" t="s">
        <v>851</v>
      </c>
      <c r="B904" s="113" t="s">
        <v>1148</v>
      </c>
      <c r="C904" s="113"/>
      <c r="D904" s="113">
        <v>0</v>
      </c>
      <c r="E904" s="4">
        <v>18</v>
      </c>
      <c r="F904" s="4">
        <v>8</v>
      </c>
      <c r="G904" s="4">
        <v>21</v>
      </c>
      <c r="H904" s="113">
        <v>7.0198999999999998</v>
      </c>
      <c r="I904" s="4">
        <v>1E-4</v>
      </c>
      <c r="J904" s="113">
        <v>-43.207999999999998</v>
      </c>
      <c r="K904" s="4">
        <v>8.0000000000000004E-4</v>
      </c>
      <c r="L904" s="4">
        <v>2.8000000000000001E-2</v>
      </c>
      <c r="M904" s="4">
        <v>4.0000000000000001E-3</v>
      </c>
      <c r="N904" s="4">
        <v>-4.5999999999999999E-3</v>
      </c>
      <c r="O904" s="4">
        <v>1E-4</v>
      </c>
      <c r="P904" s="4">
        <v>125.06</v>
      </c>
      <c r="Q904" s="4">
        <v>0.08</v>
      </c>
      <c r="R904" s="113">
        <f t="shared" si="67"/>
        <v>0.2430709426627794</v>
      </c>
      <c r="S904" s="22">
        <f t="shared" si="68"/>
        <v>1.5549076773566569E-4</v>
      </c>
    </row>
    <row r="905" spans="1:19">
      <c r="A905" s="109" t="s">
        <v>852</v>
      </c>
      <c r="B905" s="113" t="s">
        <v>1149</v>
      </c>
      <c r="C905" s="113"/>
      <c r="D905" s="113">
        <v>0</v>
      </c>
      <c r="E905" s="4">
        <v>18</v>
      </c>
      <c r="F905" s="4">
        <v>8</v>
      </c>
      <c r="G905" s="4">
        <v>21</v>
      </c>
      <c r="H905" s="113">
        <v>7.0198999999999998</v>
      </c>
      <c r="I905" s="4">
        <v>1E-4</v>
      </c>
      <c r="J905" s="113">
        <v>-43.207999999999998</v>
      </c>
      <c r="K905" s="4">
        <v>8.0000000000000004E-4</v>
      </c>
      <c r="L905" s="4">
        <v>2.8000000000000001E-2</v>
      </c>
      <c r="M905" s="4">
        <v>4.0000000000000001E-3</v>
      </c>
      <c r="N905" s="4">
        <v>-4.5999999999999999E-3</v>
      </c>
      <c r="O905" s="4">
        <v>1E-4</v>
      </c>
      <c r="P905" s="4">
        <v>125.06</v>
      </c>
      <c r="Q905" s="4">
        <v>0.08</v>
      </c>
      <c r="R905" s="113">
        <f t="shared" si="67"/>
        <v>0.2430709426627794</v>
      </c>
      <c r="S905" s="22">
        <f t="shared" si="68"/>
        <v>1.5549076773566569E-4</v>
      </c>
    </row>
    <row r="906" spans="1:19">
      <c r="A906" s="109" t="s">
        <v>853</v>
      </c>
      <c r="B906" s="113" t="s">
        <v>1150</v>
      </c>
      <c r="C906" s="113"/>
      <c r="D906" s="113">
        <v>0</v>
      </c>
      <c r="E906" s="4">
        <v>18</v>
      </c>
      <c r="F906" s="4">
        <v>8</v>
      </c>
      <c r="G906" s="4">
        <v>21</v>
      </c>
      <c r="H906" s="113">
        <v>7.0198999999999998</v>
      </c>
      <c r="I906" s="4">
        <v>1E-4</v>
      </c>
      <c r="J906" s="113">
        <v>-43.207999999999998</v>
      </c>
      <c r="K906" s="4">
        <v>8.0000000000000004E-4</v>
      </c>
      <c r="L906" s="4">
        <v>2.8000000000000001E-2</v>
      </c>
      <c r="M906" s="4">
        <v>4.0000000000000001E-3</v>
      </c>
      <c r="N906" s="4">
        <v>-4.5999999999999999E-3</v>
      </c>
      <c r="O906" s="4">
        <v>1E-4</v>
      </c>
      <c r="P906" s="4">
        <v>125.06</v>
      </c>
      <c r="Q906" s="4">
        <v>0.08</v>
      </c>
      <c r="R906" s="113">
        <f t="shared" si="67"/>
        <v>0.2430709426627794</v>
      </c>
      <c r="S906" s="22">
        <f t="shared" si="68"/>
        <v>1.5549076773566569E-4</v>
      </c>
    </row>
    <row r="907" spans="1:19">
      <c r="A907" s="109" t="s">
        <v>854</v>
      </c>
      <c r="B907" s="113" t="s">
        <v>1151</v>
      </c>
      <c r="C907" s="113"/>
      <c r="D907" s="113">
        <v>0</v>
      </c>
      <c r="E907" s="4">
        <v>18</v>
      </c>
      <c r="F907" s="4">
        <v>8</v>
      </c>
      <c r="G907" s="4">
        <v>21</v>
      </c>
      <c r="H907" s="113">
        <v>7.0198999999999998</v>
      </c>
      <c r="I907" s="4">
        <v>1E-4</v>
      </c>
      <c r="J907" s="113">
        <v>-43.207999999999998</v>
      </c>
      <c r="K907" s="4">
        <v>8.0000000000000004E-4</v>
      </c>
      <c r="L907" s="4">
        <v>2.8000000000000001E-2</v>
      </c>
      <c r="M907" s="4">
        <v>4.0000000000000001E-3</v>
      </c>
      <c r="N907" s="4">
        <v>-4.5999999999999999E-3</v>
      </c>
      <c r="O907" s="4">
        <v>1E-4</v>
      </c>
      <c r="P907" s="4">
        <v>125.06</v>
      </c>
      <c r="Q907" s="4">
        <v>0.08</v>
      </c>
      <c r="R907" s="113">
        <f t="shared" si="67"/>
        <v>0.2430709426627794</v>
      </c>
      <c r="S907" s="22">
        <f t="shared" si="68"/>
        <v>1.5549076773566569E-4</v>
      </c>
    </row>
    <row r="908" spans="1:19">
      <c r="A908" s="109" t="s">
        <v>855</v>
      </c>
      <c r="B908" s="113" t="s">
        <v>1152</v>
      </c>
      <c r="C908" s="113"/>
      <c r="D908" s="113">
        <v>0</v>
      </c>
      <c r="E908" s="4">
        <v>18</v>
      </c>
      <c r="F908" s="4">
        <v>8</v>
      </c>
      <c r="G908" s="4">
        <v>21</v>
      </c>
      <c r="H908" s="113">
        <v>7.0198999999999998</v>
      </c>
      <c r="I908" s="4">
        <v>1E-4</v>
      </c>
      <c r="J908" s="113">
        <v>-43.207999999999998</v>
      </c>
      <c r="K908" s="4">
        <v>8.0000000000000004E-4</v>
      </c>
      <c r="L908" s="4">
        <v>2.8000000000000001E-2</v>
      </c>
      <c r="M908" s="4">
        <v>4.0000000000000001E-3</v>
      </c>
      <c r="N908" s="4">
        <v>-4.5999999999999999E-3</v>
      </c>
      <c r="O908" s="4">
        <v>1E-4</v>
      </c>
      <c r="P908" s="4">
        <v>125.06</v>
      </c>
      <c r="Q908" s="4">
        <v>0.08</v>
      </c>
      <c r="R908" s="113">
        <f t="shared" si="67"/>
        <v>0.2430709426627794</v>
      </c>
      <c r="S908" s="22">
        <f t="shared" si="68"/>
        <v>1.5549076773566569E-4</v>
      </c>
    </row>
    <row r="909" spans="1:19">
      <c r="A909" s="109" t="s">
        <v>856</v>
      </c>
      <c r="B909" s="113" t="s">
        <v>1153</v>
      </c>
      <c r="C909" s="113"/>
      <c r="D909" s="113">
        <v>0</v>
      </c>
      <c r="E909" s="4">
        <v>18</v>
      </c>
      <c r="F909" s="4">
        <v>8</v>
      </c>
      <c r="G909" s="4">
        <v>21</v>
      </c>
      <c r="H909" s="113">
        <v>7.0198999999999998</v>
      </c>
      <c r="I909" s="4">
        <v>1E-4</v>
      </c>
      <c r="J909" s="113">
        <v>-43.207999999999998</v>
      </c>
      <c r="K909" s="4">
        <v>8.0000000000000004E-4</v>
      </c>
      <c r="L909" s="4">
        <v>2.8000000000000001E-2</v>
      </c>
      <c r="M909" s="4">
        <v>4.0000000000000001E-3</v>
      </c>
      <c r="N909" s="4">
        <v>-4.5999999999999999E-3</v>
      </c>
      <c r="O909" s="4">
        <v>1E-4</v>
      </c>
      <c r="P909" s="4">
        <v>125.06</v>
      </c>
      <c r="Q909" s="4">
        <v>0.08</v>
      </c>
      <c r="R909" s="113">
        <f t="shared" si="67"/>
        <v>0.2430709426627794</v>
      </c>
      <c r="S909" s="22">
        <f t="shared" si="68"/>
        <v>1.5549076773566569E-4</v>
      </c>
    </row>
    <row r="910" spans="1:19">
      <c r="A910" s="109" t="s">
        <v>857</v>
      </c>
      <c r="B910" s="113" t="s">
        <v>1154</v>
      </c>
      <c r="C910" s="113"/>
      <c r="D910" s="113">
        <v>0</v>
      </c>
      <c r="E910" s="4">
        <v>18</v>
      </c>
      <c r="F910" s="4">
        <v>8</v>
      </c>
      <c r="G910" s="4">
        <v>21</v>
      </c>
      <c r="H910" s="113">
        <v>7.0198999999999998</v>
      </c>
      <c r="I910" s="4">
        <v>1E-4</v>
      </c>
      <c r="J910" s="113">
        <v>-43.207999999999998</v>
      </c>
      <c r="K910" s="4">
        <v>8.0000000000000004E-4</v>
      </c>
      <c r="L910" s="4">
        <v>2.8000000000000001E-2</v>
      </c>
      <c r="M910" s="4">
        <v>4.0000000000000001E-3</v>
      </c>
      <c r="N910" s="4">
        <v>-4.5999999999999999E-3</v>
      </c>
      <c r="O910" s="4">
        <v>1E-4</v>
      </c>
      <c r="P910" s="4">
        <v>125.06</v>
      </c>
      <c r="Q910" s="4">
        <v>0.08</v>
      </c>
      <c r="R910" s="113">
        <f t="shared" si="67"/>
        <v>0.2430709426627794</v>
      </c>
      <c r="S910" s="22">
        <f t="shared" si="68"/>
        <v>1.5549076773566569E-4</v>
      </c>
    </row>
    <row r="911" spans="1:19">
      <c r="A911" s="109" t="s">
        <v>858</v>
      </c>
      <c r="B911" s="113" t="s">
        <v>1155</v>
      </c>
      <c r="C911" s="113"/>
      <c r="D911" s="113">
        <v>0</v>
      </c>
      <c r="E911" s="4">
        <v>18</v>
      </c>
      <c r="F911" s="4">
        <v>8</v>
      </c>
      <c r="G911" s="4">
        <v>21</v>
      </c>
      <c r="H911" s="113">
        <v>7.0198999999999998</v>
      </c>
      <c r="I911" s="4">
        <v>1E-4</v>
      </c>
      <c r="J911" s="113">
        <v>-43.207999999999998</v>
      </c>
      <c r="K911" s="4">
        <v>8.0000000000000004E-4</v>
      </c>
      <c r="L911" s="4">
        <v>2.8000000000000001E-2</v>
      </c>
      <c r="M911" s="4">
        <v>4.0000000000000001E-3</v>
      </c>
      <c r="N911" s="4">
        <v>-4.5999999999999999E-3</v>
      </c>
      <c r="O911" s="4">
        <v>1E-4</v>
      </c>
      <c r="P911" s="4">
        <v>125.06</v>
      </c>
      <c r="Q911" s="4">
        <v>0.08</v>
      </c>
      <c r="R911" s="113">
        <f t="shared" si="67"/>
        <v>0.2430709426627794</v>
      </c>
      <c r="S911" s="22">
        <f t="shared" si="68"/>
        <v>1.5549076773566569E-4</v>
      </c>
    </row>
    <row r="912" spans="1:19">
      <c r="A912" s="109" t="s">
        <v>859</v>
      </c>
      <c r="B912" s="113" t="s">
        <v>1156</v>
      </c>
      <c r="C912" s="113"/>
      <c r="D912" s="113">
        <v>0</v>
      </c>
      <c r="E912" s="4">
        <v>18</v>
      </c>
      <c r="F912" s="4">
        <v>8</v>
      </c>
      <c r="G912" s="4">
        <v>21</v>
      </c>
      <c r="H912" s="113">
        <v>7.0198999999999998</v>
      </c>
      <c r="I912" s="4">
        <v>1E-4</v>
      </c>
      <c r="J912" s="113">
        <v>-43.207999999999998</v>
      </c>
      <c r="K912" s="4">
        <v>8.0000000000000004E-4</v>
      </c>
      <c r="L912" s="4">
        <v>2.8000000000000001E-2</v>
      </c>
      <c r="M912" s="4">
        <v>4.0000000000000001E-3</v>
      </c>
      <c r="N912" s="4">
        <v>-4.5999999999999999E-3</v>
      </c>
      <c r="O912" s="4">
        <v>1E-4</v>
      </c>
      <c r="P912" s="4">
        <v>125.06</v>
      </c>
      <c r="Q912" s="4">
        <v>0.08</v>
      </c>
      <c r="R912" s="113">
        <f t="shared" si="67"/>
        <v>0.2430709426627794</v>
      </c>
      <c r="S912" s="22">
        <f t="shared" si="68"/>
        <v>1.5549076773566569E-4</v>
      </c>
    </row>
    <row r="913" spans="1:19">
      <c r="A913" s="109" t="s">
        <v>860</v>
      </c>
      <c r="B913" s="113" t="s">
        <v>1157</v>
      </c>
      <c r="C913" s="113"/>
      <c r="D913" s="113">
        <v>0</v>
      </c>
      <c r="E913" s="4">
        <v>18</v>
      </c>
      <c r="F913" s="4">
        <v>9</v>
      </c>
      <c r="G913" s="4">
        <v>21</v>
      </c>
      <c r="H913" s="113">
        <v>7.0198999999999998</v>
      </c>
      <c r="I913" s="4">
        <v>1E-4</v>
      </c>
      <c r="J913" s="113">
        <v>-43.207999999999998</v>
      </c>
      <c r="K913" s="4">
        <v>8.0000000000000004E-4</v>
      </c>
      <c r="L913" s="4">
        <v>2.8000000000000001E-2</v>
      </c>
      <c r="M913" s="4">
        <v>4.0000000000000001E-3</v>
      </c>
      <c r="N913" s="4">
        <v>-4.5999999999999999E-3</v>
      </c>
      <c r="O913" s="4">
        <v>1E-4</v>
      </c>
      <c r="P913" s="4">
        <v>125.06</v>
      </c>
      <c r="Q913" s="4">
        <v>0.08</v>
      </c>
      <c r="R913" s="113">
        <f t="shared" si="67"/>
        <v>0.2430709426627794</v>
      </c>
      <c r="S913" s="22">
        <f t="shared" si="68"/>
        <v>1.5549076773566569E-4</v>
      </c>
    </row>
    <row r="914" spans="1:19">
      <c r="A914" s="109" t="s">
        <v>861</v>
      </c>
      <c r="B914" s="113" t="s">
        <v>1158</v>
      </c>
      <c r="C914" s="113"/>
      <c r="D914" s="113">
        <v>0</v>
      </c>
      <c r="E914" s="4">
        <v>18</v>
      </c>
      <c r="F914" s="4">
        <v>9</v>
      </c>
      <c r="G914" s="4">
        <v>21</v>
      </c>
      <c r="H914" s="113">
        <v>7.0198999999999998</v>
      </c>
      <c r="I914" s="4">
        <v>1E-4</v>
      </c>
      <c r="J914" s="113">
        <v>-43.207999999999998</v>
      </c>
      <c r="K914" s="4">
        <v>8.0000000000000004E-4</v>
      </c>
      <c r="L914" s="4">
        <v>2.8000000000000001E-2</v>
      </c>
      <c r="M914" s="4">
        <v>4.0000000000000001E-3</v>
      </c>
      <c r="N914" s="4">
        <v>-4.5999999999999999E-3</v>
      </c>
      <c r="O914" s="4">
        <v>1E-4</v>
      </c>
      <c r="P914" s="4">
        <v>125.06</v>
      </c>
      <c r="Q914" s="4">
        <v>0.08</v>
      </c>
      <c r="R914" s="113">
        <f t="shared" si="67"/>
        <v>0.2430709426627794</v>
      </c>
      <c r="S914" s="22">
        <f t="shared" si="68"/>
        <v>1.5549076773566569E-4</v>
      </c>
    </row>
    <row r="915" spans="1:19">
      <c r="A915" s="109" t="s">
        <v>862</v>
      </c>
      <c r="B915" s="113" t="s">
        <v>1159</v>
      </c>
      <c r="C915" s="113"/>
      <c r="D915" s="113">
        <v>0</v>
      </c>
      <c r="E915" s="4">
        <v>18</v>
      </c>
      <c r="F915" s="4">
        <v>9</v>
      </c>
      <c r="G915" s="4">
        <v>21</v>
      </c>
      <c r="H915" s="113">
        <v>7.0198999999999998</v>
      </c>
      <c r="I915" s="4">
        <v>1E-4</v>
      </c>
      <c r="J915" s="113">
        <v>-43.207999999999998</v>
      </c>
      <c r="K915" s="4">
        <v>8.0000000000000004E-4</v>
      </c>
      <c r="L915" s="4">
        <v>2.8000000000000001E-2</v>
      </c>
      <c r="M915" s="4">
        <v>4.0000000000000001E-3</v>
      </c>
      <c r="N915" s="4">
        <v>-4.5999999999999999E-3</v>
      </c>
      <c r="O915" s="4">
        <v>1E-4</v>
      </c>
      <c r="P915" s="4">
        <v>125.06</v>
      </c>
      <c r="Q915" s="4">
        <v>0.08</v>
      </c>
      <c r="R915" s="113">
        <f t="shared" ref="R915:R978" si="69">P915*E915/G915^3</f>
        <v>0.2430709426627794</v>
      </c>
      <c r="S915" s="22">
        <f t="shared" ref="S915:S978" si="70">Q915*E915/G915^3</f>
        <v>1.5549076773566569E-4</v>
      </c>
    </row>
    <row r="916" spans="1:19">
      <c r="A916" s="109" t="s">
        <v>863</v>
      </c>
      <c r="B916" s="113" t="s">
        <v>1160</v>
      </c>
      <c r="C916" s="113"/>
      <c r="D916" s="113">
        <v>0</v>
      </c>
      <c r="E916" s="4">
        <v>18</v>
      </c>
      <c r="F916" s="4">
        <v>9</v>
      </c>
      <c r="G916" s="4">
        <v>21</v>
      </c>
      <c r="H916" s="113">
        <v>7.0198999999999998</v>
      </c>
      <c r="I916" s="4">
        <v>1E-4</v>
      </c>
      <c r="J916" s="113">
        <v>-43.207999999999998</v>
      </c>
      <c r="K916" s="4">
        <v>8.0000000000000004E-4</v>
      </c>
      <c r="L916" s="4">
        <v>2.8000000000000001E-2</v>
      </c>
      <c r="M916" s="4">
        <v>4.0000000000000001E-3</v>
      </c>
      <c r="N916" s="4">
        <v>-4.5999999999999999E-3</v>
      </c>
      <c r="O916" s="4">
        <v>1E-4</v>
      </c>
      <c r="P916" s="4">
        <v>125.06</v>
      </c>
      <c r="Q916" s="4">
        <v>0.08</v>
      </c>
      <c r="R916" s="113">
        <f t="shared" si="69"/>
        <v>0.2430709426627794</v>
      </c>
      <c r="S916" s="22">
        <f t="shared" si="70"/>
        <v>1.5549076773566569E-4</v>
      </c>
    </row>
    <row r="917" spans="1:19">
      <c r="A917" s="109" t="s">
        <v>864</v>
      </c>
      <c r="B917" s="113" t="s">
        <v>1161</v>
      </c>
      <c r="C917" s="113"/>
      <c r="D917" s="113">
        <v>0</v>
      </c>
      <c r="E917" s="4">
        <v>18</v>
      </c>
      <c r="F917" s="4">
        <v>9</v>
      </c>
      <c r="G917" s="4">
        <v>21</v>
      </c>
      <c r="H917" s="113">
        <v>7.0198999999999998</v>
      </c>
      <c r="I917" s="4">
        <v>1E-4</v>
      </c>
      <c r="J917" s="113">
        <v>-43.207999999999998</v>
      </c>
      <c r="K917" s="4">
        <v>8.0000000000000004E-4</v>
      </c>
      <c r="L917" s="4">
        <v>2.8000000000000001E-2</v>
      </c>
      <c r="M917" s="4">
        <v>4.0000000000000001E-3</v>
      </c>
      <c r="N917" s="4">
        <v>-4.5999999999999999E-3</v>
      </c>
      <c r="O917" s="4">
        <v>1E-4</v>
      </c>
      <c r="P917" s="4">
        <v>125.06</v>
      </c>
      <c r="Q917" s="4">
        <v>0.08</v>
      </c>
      <c r="R917" s="113">
        <f t="shared" si="69"/>
        <v>0.2430709426627794</v>
      </c>
      <c r="S917" s="22">
        <f t="shared" si="70"/>
        <v>1.5549076773566569E-4</v>
      </c>
    </row>
    <row r="918" spans="1:19">
      <c r="A918" s="109" t="s">
        <v>865</v>
      </c>
      <c r="B918" s="113" t="s">
        <v>1162</v>
      </c>
      <c r="C918" s="113"/>
      <c r="D918" s="113">
        <v>0</v>
      </c>
      <c r="E918" s="4">
        <v>18</v>
      </c>
      <c r="F918" s="4">
        <v>9</v>
      </c>
      <c r="G918" s="4">
        <v>21</v>
      </c>
      <c r="H918" s="113">
        <v>7.0198999999999998</v>
      </c>
      <c r="I918" s="4">
        <v>1E-4</v>
      </c>
      <c r="J918" s="113">
        <v>-43.207999999999998</v>
      </c>
      <c r="K918" s="4">
        <v>8.0000000000000004E-4</v>
      </c>
      <c r="L918" s="4">
        <v>2.8000000000000001E-2</v>
      </c>
      <c r="M918" s="4">
        <v>4.0000000000000001E-3</v>
      </c>
      <c r="N918" s="4">
        <v>-4.5999999999999999E-3</v>
      </c>
      <c r="O918" s="4">
        <v>1E-4</v>
      </c>
      <c r="P918" s="4">
        <v>125.06</v>
      </c>
      <c r="Q918" s="4">
        <v>0.08</v>
      </c>
      <c r="R918" s="113">
        <f t="shared" si="69"/>
        <v>0.2430709426627794</v>
      </c>
      <c r="S918" s="22">
        <f t="shared" si="70"/>
        <v>1.5549076773566569E-4</v>
      </c>
    </row>
    <row r="919" spans="1:19">
      <c r="A919" s="109" t="s">
        <v>866</v>
      </c>
      <c r="B919" s="113" t="s">
        <v>1163</v>
      </c>
      <c r="C919" s="113"/>
      <c r="D919" s="113">
        <v>0</v>
      </c>
      <c r="E919" s="4">
        <v>18</v>
      </c>
      <c r="F919" s="4">
        <v>9</v>
      </c>
      <c r="G919" s="4">
        <v>21</v>
      </c>
      <c r="H919" s="113">
        <v>7.0198999999999998</v>
      </c>
      <c r="I919" s="4">
        <v>1E-4</v>
      </c>
      <c r="J919" s="113">
        <v>-43.207999999999998</v>
      </c>
      <c r="K919" s="4">
        <v>8.0000000000000004E-4</v>
      </c>
      <c r="L919" s="4">
        <v>2.8000000000000001E-2</v>
      </c>
      <c r="M919" s="4">
        <v>4.0000000000000001E-3</v>
      </c>
      <c r="N919" s="4">
        <v>-4.5999999999999999E-3</v>
      </c>
      <c r="O919" s="4">
        <v>1E-4</v>
      </c>
      <c r="P919" s="4">
        <v>125.06</v>
      </c>
      <c r="Q919" s="4">
        <v>0.08</v>
      </c>
      <c r="R919" s="113">
        <f t="shared" si="69"/>
        <v>0.2430709426627794</v>
      </c>
      <c r="S919" s="22">
        <f t="shared" si="70"/>
        <v>1.5549076773566569E-4</v>
      </c>
    </row>
    <row r="920" spans="1:19">
      <c r="A920" s="109" t="s">
        <v>867</v>
      </c>
      <c r="B920" s="113" t="s">
        <v>1164</v>
      </c>
      <c r="C920" s="113"/>
      <c r="D920" s="113">
        <v>0</v>
      </c>
      <c r="E920" s="4">
        <v>18</v>
      </c>
      <c r="F920" s="4">
        <v>9</v>
      </c>
      <c r="G920" s="4">
        <v>21</v>
      </c>
      <c r="H920" s="113">
        <v>7.0198999999999998</v>
      </c>
      <c r="I920" s="4">
        <v>1E-4</v>
      </c>
      <c r="J920" s="113">
        <v>-43.207999999999998</v>
      </c>
      <c r="K920" s="4">
        <v>8.0000000000000004E-4</v>
      </c>
      <c r="L920" s="4">
        <v>2.8000000000000001E-2</v>
      </c>
      <c r="M920" s="4">
        <v>4.0000000000000001E-3</v>
      </c>
      <c r="N920" s="4">
        <v>-4.5999999999999999E-3</v>
      </c>
      <c r="O920" s="4">
        <v>1E-4</v>
      </c>
      <c r="P920" s="4">
        <v>125.06</v>
      </c>
      <c r="Q920" s="4">
        <v>0.08</v>
      </c>
      <c r="R920" s="113">
        <f t="shared" si="69"/>
        <v>0.2430709426627794</v>
      </c>
      <c r="S920" s="22">
        <f t="shared" si="70"/>
        <v>1.5549076773566569E-4</v>
      </c>
    </row>
    <row r="921" spans="1:19">
      <c r="A921" s="109" t="s">
        <v>868</v>
      </c>
      <c r="B921" s="113" t="s">
        <v>1165</v>
      </c>
      <c r="C921" s="113"/>
      <c r="D921" s="113">
        <v>0</v>
      </c>
      <c r="E921" s="4">
        <v>18</v>
      </c>
      <c r="F921" s="4">
        <v>9</v>
      </c>
      <c r="G921" s="4">
        <v>21</v>
      </c>
      <c r="H921" s="113">
        <v>7.0198999999999998</v>
      </c>
      <c r="I921" s="4">
        <v>1E-4</v>
      </c>
      <c r="J921" s="113">
        <v>-43.207999999999998</v>
      </c>
      <c r="K921" s="4">
        <v>8.0000000000000004E-4</v>
      </c>
      <c r="L921" s="4">
        <v>2.8000000000000001E-2</v>
      </c>
      <c r="M921" s="4">
        <v>4.0000000000000001E-3</v>
      </c>
      <c r="N921" s="4">
        <v>-4.5999999999999999E-3</v>
      </c>
      <c r="O921" s="4">
        <v>1E-4</v>
      </c>
      <c r="P921" s="4">
        <v>125.06</v>
      </c>
      <c r="Q921" s="4">
        <v>0.08</v>
      </c>
      <c r="R921" s="113">
        <f t="shared" si="69"/>
        <v>0.2430709426627794</v>
      </c>
      <c r="S921" s="22">
        <f t="shared" si="70"/>
        <v>1.5549076773566569E-4</v>
      </c>
    </row>
    <row r="922" spans="1:19">
      <c r="A922" s="109" t="s">
        <v>869</v>
      </c>
      <c r="B922" s="113" t="s">
        <v>1166</v>
      </c>
      <c r="C922" s="113"/>
      <c r="D922" s="113">
        <v>0</v>
      </c>
      <c r="E922" s="4">
        <v>18</v>
      </c>
      <c r="F922" s="4">
        <v>9</v>
      </c>
      <c r="G922" s="4">
        <v>21</v>
      </c>
      <c r="H922" s="113">
        <v>7.0198999999999998</v>
      </c>
      <c r="I922" s="4">
        <v>1E-4</v>
      </c>
      <c r="J922" s="113">
        <v>-43.207999999999998</v>
      </c>
      <c r="K922" s="4">
        <v>8.0000000000000004E-4</v>
      </c>
      <c r="L922" s="4">
        <v>2.8000000000000001E-2</v>
      </c>
      <c r="M922" s="4">
        <v>4.0000000000000001E-3</v>
      </c>
      <c r="N922" s="4">
        <v>-4.5999999999999999E-3</v>
      </c>
      <c r="O922" s="4">
        <v>1E-4</v>
      </c>
      <c r="P922" s="4">
        <v>125.06</v>
      </c>
      <c r="Q922" s="4">
        <v>0.08</v>
      </c>
      <c r="R922" s="113">
        <f t="shared" si="69"/>
        <v>0.2430709426627794</v>
      </c>
      <c r="S922" s="22">
        <f t="shared" si="70"/>
        <v>1.5549076773566569E-4</v>
      </c>
    </row>
    <row r="923" spans="1:19">
      <c r="A923" s="109" t="s">
        <v>870</v>
      </c>
      <c r="B923" s="113" t="s">
        <v>1167</v>
      </c>
      <c r="C923" s="113"/>
      <c r="D923" s="113">
        <v>0</v>
      </c>
      <c r="E923" s="4">
        <v>18</v>
      </c>
      <c r="F923" s="4">
        <v>9</v>
      </c>
      <c r="G923" s="4">
        <v>21</v>
      </c>
      <c r="H923" s="113">
        <v>7.0198999999999998</v>
      </c>
      <c r="I923" s="4">
        <v>1E-4</v>
      </c>
      <c r="J923" s="113">
        <v>-43.207999999999998</v>
      </c>
      <c r="K923" s="4">
        <v>8.0000000000000004E-4</v>
      </c>
      <c r="L923" s="4">
        <v>2.8000000000000001E-2</v>
      </c>
      <c r="M923" s="4">
        <v>4.0000000000000001E-3</v>
      </c>
      <c r="N923" s="4">
        <v>-4.5999999999999999E-3</v>
      </c>
      <c r="O923" s="4">
        <v>1E-4</v>
      </c>
      <c r="P923" s="4">
        <v>125.06</v>
      </c>
      <c r="Q923" s="4">
        <v>0.08</v>
      </c>
      <c r="R923" s="113">
        <f t="shared" si="69"/>
        <v>0.2430709426627794</v>
      </c>
      <c r="S923" s="22">
        <f t="shared" si="70"/>
        <v>1.5549076773566569E-4</v>
      </c>
    </row>
    <row r="924" spans="1:19">
      <c r="A924" s="109" t="s">
        <v>871</v>
      </c>
      <c r="B924" s="113" t="s">
        <v>1168</v>
      </c>
      <c r="C924" s="113"/>
      <c r="D924" s="113">
        <v>0</v>
      </c>
      <c r="E924" s="4">
        <v>18</v>
      </c>
      <c r="F924" s="4">
        <v>9</v>
      </c>
      <c r="G924" s="4">
        <v>21</v>
      </c>
      <c r="H924" s="113">
        <v>7.0198999999999998</v>
      </c>
      <c r="I924" s="4">
        <v>1E-4</v>
      </c>
      <c r="J924" s="113">
        <v>-43.207999999999998</v>
      </c>
      <c r="K924" s="4">
        <v>8.0000000000000004E-4</v>
      </c>
      <c r="L924" s="4">
        <v>2.8000000000000001E-2</v>
      </c>
      <c r="M924" s="4">
        <v>4.0000000000000001E-3</v>
      </c>
      <c r="N924" s="4">
        <v>-4.5999999999999999E-3</v>
      </c>
      <c r="O924" s="4">
        <v>1E-4</v>
      </c>
      <c r="P924" s="4">
        <v>125.06</v>
      </c>
      <c r="Q924" s="4">
        <v>0.08</v>
      </c>
      <c r="R924" s="113">
        <f t="shared" si="69"/>
        <v>0.2430709426627794</v>
      </c>
      <c r="S924" s="22">
        <f t="shared" si="70"/>
        <v>1.5549076773566569E-4</v>
      </c>
    </row>
    <row r="925" spans="1:19">
      <c r="A925" s="109" t="s">
        <v>872</v>
      </c>
      <c r="B925" s="113" t="s">
        <v>1169</v>
      </c>
      <c r="C925" s="113"/>
      <c r="D925" s="113">
        <v>0</v>
      </c>
      <c r="E925" s="4">
        <v>18</v>
      </c>
      <c r="F925" s="4">
        <v>9</v>
      </c>
      <c r="G925" s="4">
        <v>21</v>
      </c>
      <c r="H925" s="113">
        <v>7.0198999999999998</v>
      </c>
      <c r="I925" s="4">
        <v>1E-4</v>
      </c>
      <c r="J925" s="113">
        <v>-43.207999999999998</v>
      </c>
      <c r="K925" s="4">
        <v>8.0000000000000004E-4</v>
      </c>
      <c r="L925" s="4">
        <v>2.8000000000000001E-2</v>
      </c>
      <c r="M925" s="4">
        <v>4.0000000000000001E-3</v>
      </c>
      <c r="N925" s="4">
        <v>-4.5999999999999999E-3</v>
      </c>
      <c r="O925" s="4">
        <v>1E-4</v>
      </c>
      <c r="P925" s="4">
        <v>125.06</v>
      </c>
      <c r="Q925" s="4">
        <v>0.08</v>
      </c>
      <c r="R925" s="113">
        <f t="shared" si="69"/>
        <v>0.2430709426627794</v>
      </c>
      <c r="S925" s="22">
        <f t="shared" si="70"/>
        <v>1.5549076773566569E-4</v>
      </c>
    </row>
    <row r="926" spans="1:19">
      <c r="A926" s="109" t="s">
        <v>873</v>
      </c>
      <c r="B926" s="113" t="s">
        <v>1170</v>
      </c>
      <c r="C926" s="113"/>
      <c r="D926" s="113">
        <v>0</v>
      </c>
      <c r="E926" s="4">
        <v>18</v>
      </c>
      <c r="F926" s="4">
        <v>9</v>
      </c>
      <c r="G926" s="4">
        <v>21</v>
      </c>
      <c r="H926" s="113">
        <v>7.0198999999999998</v>
      </c>
      <c r="I926" s="4">
        <v>1E-4</v>
      </c>
      <c r="J926" s="113">
        <v>-43.207999999999998</v>
      </c>
      <c r="K926" s="4">
        <v>8.0000000000000004E-4</v>
      </c>
      <c r="L926" s="4">
        <v>2.8000000000000001E-2</v>
      </c>
      <c r="M926" s="4">
        <v>4.0000000000000001E-3</v>
      </c>
      <c r="N926" s="4">
        <v>-4.5999999999999999E-3</v>
      </c>
      <c r="O926" s="4">
        <v>1E-4</v>
      </c>
      <c r="P926" s="4">
        <v>125.06</v>
      </c>
      <c r="Q926" s="4">
        <v>0.08</v>
      </c>
      <c r="R926" s="113">
        <f t="shared" si="69"/>
        <v>0.2430709426627794</v>
      </c>
      <c r="S926" s="22">
        <f t="shared" si="70"/>
        <v>1.5549076773566569E-4</v>
      </c>
    </row>
    <row r="927" spans="1:19">
      <c r="A927" s="109" t="s">
        <v>874</v>
      </c>
      <c r="B927" s="113" t="s">
        <v>1171</v>
      </c>
      <c r="C927" s="113"/>
      <c r="D927" s="113">
        <v>0</v>
      </c>
      <c r="E927" s="4">
        <v>18</v>
      </c>
      <c r="F927" s="4">
        <v>9</v>
      </c>
      <c r="G927" s="4">
        <v>21</v>
      </c>
      <c r="H927" s="113">
        <v>7.0198999999999998</v>
      </c>
      <c r="I927" s="4">
        <v>1E-4</v>
      </c>
      <c r="J927" s="113">
        <v>-43.207999999999998</v>
      </c>
      <c r="K927" s="4">
        <v>8.0000000000000004E-4</v>
      </c>
      <c r="L927" s="4">
        <v>2.8000000000000001E-2</v>
      </c>
      <c r="M927" s="4">
        <v>4.0000000000000001E-3</v>
      </c>
      <c r="N927" s="4">
        <v>-4.5999999999999999E-3</v>
      </c>
      <c r="O927" s="4">
        <v>1E-4</v>
      </c>
      <c r="P927" s="4">
        <v>125.06</v>
      </c>
      <c r="Q927" s="4">
        <v>0.08</v>
      </c>
      <c r="R927" s="113">
        <f t="shared" si="69"/>
        <v>0.2430709426627794</v>
      </c>
      <c r="S927" s="22">
        <f t="shared" si="70"/>
        <v>1.5549076773566569E-4</v>
      </c>
    </row>
    <row r="928" spans="1:19">
      <c r="A928" s="109" t="s">
        <v>875</v>
      </c>
      <c r="B928" s="113" t="s">
        <v>1172</v>
      </c>
      <c r="C928" s="113"/>
      <c r="D928" s="113">
        <v>0</v>
      </c>
      <c r="E928" s="4">
        <v>18</v>
      </c>
      <c r="F928" s="4">
        <v>9</v>
      </c>
      <c r="G928" s="4">
        <v>21</v>
      </c>
      <c r="H928" s="113">
        <v>7.0198999999999998</v>
      </c>
      <c r="I928" s="4">
        <v>1E-4</v>
      </c>
      <c r="J928" s="113">
        <v>-43.207999999999998</v>
      </c>
      <c r="K928" s="4">
        <v>8.0000000000000004E-4</v>
      </c>
      <c r="L928" s="4">
        <v>2.8000000000000001E-2</v>
      </c>
      <c r="M928" s="4">
        <v>4.0000000000000001E-3</v>
      </c>
      <c r="N928" s="4">
        <v>-4.5999999999999999E-3</v>
      </c>
      <c r="O928" s="4">
        <v>1E-4</v>
      </c>
      <c r="P928" s="4">
        <v>125.06</v>
      </c>
      <c r="Q928" s="4">
        <v>0.08</v>
      </c>
      <c r="R928" s="113">
        <f t="shared" si="69"/>
        <v>0.2430709426627794</v>
      </c>
      <c r="S928" s="22">
        <f t="shared" si="70"/>
        <v>1.5549076773566569E-4</v>
      </c>
    </row>
    <row r="929" spans="1:19">
      <c r="A929" s="109" t="s">
        <v>876</v>
      </c>
      <c r="B929" s="113" t="s">
        <v>1173</v>
      </c>
      <c r="C929" s="113"/>
      <c r="D929" s="113">
        <v>0</v>
      </c>
      <c r="E929" s="4">
        <v>18</v>
      </c>
      <c r="F929" s="4">
        <v>9</v>
      </c>
      <c r="G929" s="4">
        <v>21</v>
      </c>
      <c r="H929" s="113">
        <v>7.0198999999999998</v>
      </c>
      <c r="I929" s="4">
        <v>1E-4</v>
      </c>
      <c r="J929" s="113">
        <v>-43.207999999999998</v>
      </c>
      <c r="K929" s="4">
        <v>8.0000000000000004E-4</v>
      </c>
      <c r="L929" s="4">
        <v>2.8000000000000001E-2</v>
      </c>
      <c r="M929" s="4">
        <v>4.0000000000000001E-3</v>
      </c>
      <c r="N929" s="4">
        <v>-4.5999999999999999E-3</v>
      </c>
      <c r="O929" s="4">
        <v>1E-4</v>
      </c>
      <c r="P929" s="4">
        <v>125.06</v>
      </c>
      <c r="Q929" s="4">
        <v>0.08</v>
      </c>
      <c r="R929" s="113">
        <f t="shared" si="69"/>
        <v>0.2430709426627794</v>
      </c>
      <c r="S929" s="22">
        <f t="shared" si="70"/>
        <v>1.5549076773566569E-4</v>
      </c>
    </row>
    <row r="930" spans="1:19">
      <c r="A930" s="109" t="s">
        <v>877</v>
      </c>
      <c r="B930" s="113" t="s">
        <v>1174</v>
      </c>
      <c r="C930" s="113"/>
      <c r="D930" s="113">
        <v>0</v>
      </c>
      <c r="E930" s="4">
        <v>18</v>
      </c>
      <c r="F930" s="4">
        <v>9</v>
      </c>
      <c r="G930" s="4">
        <v>21</v>
      </c>
      <c r="H930" s="113">
        <v>7.0198999999999998</v>
      </c>
      <c r="I930" s="4">
        <v>1E-4</v>
      </c>
      <c r="J930" s="113">
        <v>-43.207999999999998</v>
      </c>
      <c r="K930" s="4">
        <v>8.0000000000000004E-4</v>
      </c>
      <c r="L930" s="4">
        <v>2.8000000000000001E-2</v>
      </c>
      <c r="M930" s="4">
        <v>4.0000000000000001E-3</v>
      </c>
      <c r="N930" s="4">
        <v>-4.5999999999999999E-3</v>
      </c>
      <c r="O930" s="4">
        <v>1E-4</v>
      </c>
      <c r="P930" s="4">
        <v>125.06</v>
      </c>
      <c r="Q930" s="4">
        <v>0.08</v>
      </c>
      <c r="R930" s="113">
        <f t="shared" si="69"/>
        <v>0.2430709426627794</v>
      </c>
      <c r="S930" s="22">
        <f t="shared" si="70"/>
        <v>1.5549076773566569E-4</v>
      </c>
    </row>
    <row r="931" spans="1:19">
      <c r="A931" s="109" t="s">
        <v>878</v>
      </c>
      <c r="B931" s="113" t="s">
        <v>1175</v>
      </c>
      <c r="C931" s="113"/>
      <c r="D931" s="113">
        <v>0</v>
      </c>
      <c r="E931" s="4">
        <v>18</v>
      </c>
      <c r="F931" s="4">
        <v>9</v>
      </c>
      <c r="G931" s="4">
        <v>21</v>
      </c>
      <c r="H931" s="113">
        <v>7.0198999999999998</v>
      </c>
      <c r="I931" s="4">
        <v>1E-4</v>
      </c>
      <c r="J931" s="113">
        <v>-43.207999999999998</v>
      </c>
      <c r="K931" s="4">
        <v>8.0000000000000004E-4</v>
      </c>
      <c r="L931" s="4">
        <v>2.8000000000000001E-2</v>
      </c>
      <c r="M931" s="4">
        <v>4.0000000000000001E-3</v>
      </c>
      <c r="N931" s="4">
        <v>-4.5999999999999999E-3</v>
      </c>
      <c r="O931" s="4">
        <v>1E-4</v>
      </c>
      <c r="P931" s="4">
        <v>125.06</v>
      </c>
      <c r="Q931" s="4">
        <v>0.08</v>
      </c>
      <c r="R931" s="113">
        <f t="shared" si="69"/>
        <v>0.2430709426627794</v>
      </c>
      <c r="S931" s="22">
        <f t="shared" si="70"/>
        <v>1.5549076773566569E-4</v>
      </c>
    </row>
    <row r="932" spans="1:19">
      <c r="A932" s="109" t="s">
        <v>879</v>
      </c>
      <c r="B932" s="113" t="s">
        <v>1176</v>
      </c>
      <c r="C932" s="113"/>
      <c r="D932" s="113">
        <v>0</v>
      </c>
      <c r="E932" s="4">
        <v>18</v>
      </c>
      <c r="F932" s="4">
        <v>9</v>
      </c>
      <c r="G932" s="4">
        <v>21</v>
      </c>
      <c r="H932" s="113">
        <v>7.0198999999999998</v>
      </c>
      <c r="I932" s="4">
        <v>1E-4</v>
      </c>
      <c r="J932" s="113">
        <v>-43.207999999999998</v>
      </c>
      <c r="K932" s="4">
        <v>8.0000000000000004E-4</v>
      </c>
      <c r="L932" s="4">
        <v>2.8000000000000001E-2</v>
      </c>
      <c r="M932" s="4">
        <v>4.0000000000000001E-3</v>
      </c>
      <c r="N932" s="4">
        <v>-4.5999999999999999E-3</v>
      </c>
      <c r="O932" s="4">
        <v>1E-4</v>
      </c>
      <c r="P932" s="4">
        <v>125.06</v>
      </c>
      <c r="Q932" s="4">
        <v>0.08</v>
      </c>
      <c r="R932" s="113">
        <f t="shared" si="69"/>
        <v>0.2430709426627794</v>
      </c>
      <c r="S932" s="22">
        <f t="shared" si="70"/>
        <v>1.5549076773566569E-4</v>
      </c>
    </row>
    <row r="933" spans="1:19">
      <c r="A933" s="109" t="s">
        <v>880</v>
      </c>
      <c r="B933" s="113" t="s">
        <v>1177</v>
      </c>
      <c r="C933" s="113"/>
      <c r="D933" s="113">
        <v>0</v>
      </c>
      <c r="E933" s="4">
        <v>18</v>
      </c>
      <c r="F933" s="4">
        <v>9</v>
      </c>
      <c r="G933" s="4">
        <v>21</v>
      </c>
      <c r="H933" s="113">
        <v>7.0198999999999998</v>
      </c>
      <c r="I933" s="4">
        <v>1E-4</v>
      </c>
      <c r="J933" s="113">
        <v>-43.207999999999998</v>
      </c>
      <c r="K933" s="4">
        <v>8.0000000000000004E-4</v>
      </c>
      <c r="L933" s="4">
        <v>2.8000000000000001E-2</v>
      </c>
      <c r="M933" s="4">
        <v>4.0000000000000001E-3</v>
      </c>
      <c r="N933" s="4">
        <v>-4.5999999999999999E-3</v>
      </c>
      <c r="O933" s="4">
        <v>1E-4</v>
      </c>
      <c r="P933" s="4">
        <v>125.06</v>
      </c>
      <c r="Q933" s="4">
        <v>0.08</v>
      </c>
      <c r="R933" s="113">
        <f t="shared" si="69"/>
        <v>0.2430709426627794</v>
      </c>
      <c r="S933" s="22">
        <f t="shared" si="70"/>
        <v>1.5549076773566569E-4</v>
      </c>
    </row>
    <row r="934" spans="1:19">
      <c r="A934" s="109" t="s">
        <v>881</v>
      </c>
      <c r="B934" s="113" t="s">
        <v>1178</v>
      </c>
      <c r="C934" s="113"/>
      <c r="D934" s="113">
        <v>0</v>
      </c>
      <c r="E934" s="4">
        <v>18</v>
      </c>
      <c r="F934" s="4">
        <v>9</v>
      </c>
      <c r="G934" s="4">
        <v>21</v>
      </c>
      <c r="H934" s="113">
        <v>7.0198999999999998</v>
      </c>
      <c r="I934" s="4">
        <v>1E-4</v>
      </c>
      <c r="J934" s="113">
        <v>-43.207999999999998</v>
      </c>
      <c r="K934" s="4">
        <v>8.0000000000000004E-4</v>
      </c>
      <c r="L934" s="4">
        <v>2.8000000000000001E-2</v>
      </c>
      <c r="M934" s="4">
        <v>4.0000000000000001E-3</v>
      </c>
      <c r="N934" s="4">
        <v>-4.5999999999999999E-3</v>
      </c>
      <c r="O934" s="4">
        <v>1E-4</v>
      </c>
      <c r="P934" s="4">
        <v>125.06</v>
      </c>
      <c r="Q934" s="4">
        <v>0.08</v>
      </c>
      <c r="R934" s="113">
        <f t="shared" si="69"/>
        <v>0.2430709426627794</v>
      </c>
      <c r="S934" s="22">
        <f t="shared" si="70"/>
        <v>1.5549076773566569E-4</v>
      </c>
    </row>
    <row r="935" spans="1:19">
      <c r="A935" s="109" t="s">
        <v>882</v>
      </c>
      <c r="B935" s="113" t="s">
        <v>1179</v>
      </c>
      <c r="C935" s="113"/>
      <c r="D935" s="113">
        <v>0</v>
      </c>
      <c r="E935" s="4">
        <v>18</v>
      </c>
      <c r="F935" s="4">
        <v>9</v>
      </c>
      <c r="G935" s="4">
        <v>21</v>
      </c>
      <c r="H935" s="113">
        <v>7.0198999999999998</v>
      </c>
      <c r="I935" s="4">
        <v>1E-4</v>
      </c>
      <c r="J935" s="113">
        <v>-43.207999999999998</v>
      </c>
      <c r="K935" s="4">
        <v>8.0000000000000004E-4</v>
      </c>
      <c r="L935" s="4">
        <v>2.8000000000000001E-2</v>
      </c>
      <c r="M935" s="4">
        <v>4.0000000000000001E-3</v>
      </c>
      <c r="N935" s="4">
        <v>-4.5999999999999999E-3</v>
      </c>
      <c r="O935" s="4">
        <v>1E-4</v>
      </c>
      <c r="P935" s="4">
        <v>125.06</v>
      </c>
      <c r="Q935" s="4">
        <v>0.08</v>
      </c>
      <c r="R935" s="113">
        <f t="shared" si="69"/>
        <v>0.2430709426627794</v>
      </c>
      <c r="S935" s="22">
        <f t="shared" si="70"/>
        <v>1.5549076773566569E-4</v>
      </c>
    </row>
    <row r="936" spans="1:19">
      <c r="A936" s="109" t="s">
        <v>883</v>
      </c>
      <c r="B936" s="113" t="s">
        <v>1180</v>
      </c>
      <c r="C936" s="113"/>
      <c r="D936" s="113">
        <v>0</v>
      </c>
      <c r="E936" s="4">
        <v>18</v>
      </c>
      <c r="F936" s="4">
        <v>9</v>
      </c>
      <c r="G936" s="4">
        <v>21</v>
      </c>
      <c r="H936" s="113">
        <v>7.0198999999999998</v>
      </c>
      <c r="I936" s="4">
        <v>1E-4</v>
      </c>
      <c r="J936" s="113">
        <v>-43.207999999999998</v>
      </c>
      <c r="K936" s="4">
        <v>8.0000000000000004E-4</v>
      </c>
      <c r="L936" s="4">
        <v>2.8000000000000001E-2</v>
      </c>
      <c r="M936" s="4">
        <v>4.0000000000000001E-3</v>
      </c>
      <c r="N936" s="4">
        <v>-4.5999999999999999E-3</v>
      </c>
      <c r="O936" s="4">
        <v>1E-4</v>
      </c>
      <c r="P936" s="4">
        <v>125.06</v>
      </c>
      <c r="Q936" s="4">
        <v>0.08</v>
      </c>
      <c r="R936" s="113">
        <f t="shared" si="69"/>
        <v>0.2430709426627794</v>
      </c>
      <c r="S936" s="22">
        <f t="shared" si="70"/>
        <v>1.5549076773566569E-4</v>
      </c>
    </row>
    <row r="937" spans="1:19">
      <c r="A937" s="109" t="s">
        <v>884</v>
      </c>
      <c r="B937" s="113" t="s">
        <v>1181</v>
      </c>
      <c r="C937" s="113"/>
      <c r="D937" s="113">
        <v>0</v>
      </c>
      <c r="E937" s="4">
        <v>18</v>
      </c>
      <c r="F937" s="4">
        <v>9</v>
      </c>
      <c r="G937" s="4">
        <v>21</v>
      </c>
      <c r="H937" s="113">
        <v>7.0198999999999998</v>
      </c>
      <c r="I937" s="4">
        <v>1E-4</v>
      </c>
      <c r="J937" s="113">
        <v>-43.207999999999998</v>
      </c>
      <c r="K937" s="4">
        <v>8.0000000000000004E-4</v>
      </c>
      <c r="L937" s="4">
        <v>2.8000000000000001E-2</v>
      </c>
      <c r="M937" s="4">
        <v>4.0000000000000001E-3</v>
      </c>
      <c r="N937" s="4">
        <v>-4.5999999999999999E-3</v>
      </c>
      <c r="O937" s="4">
        <v>1E-4</v>
      </c>
      <c r="P937" s="4">
        <v>125.06</v>
      </c>
      <c r="Q937" s="4">
        <v>0.08</v>
      </c>
      <c r="R937" s="113">
        <f t="shared" si="69"/>
        <v>0.2430709426627794</v>
      </c>
      <c r="S937" s="22">
        <f t="shared" si="70"/>
        <v>1.5549076773566569E-4</v>
      </c>
    </row>
    <row r="938" spans="1:19">
      <c r="A938" s="109" t="s">
        <v>885</v>
      </c>
      <c r="B938" s="113" t="s">
        <v>1182</v>
      </c>
      <c r="C938" s="113"/>
      <c r="D938" s="113">
        <v>0</v>
      </c>
      <c r="E938" s="4">
        <v>18</v>
      </c>
      <c r="F938" s="4">
        <v>9</v>
      </c>
      <c r="G938" s="4">
        <v>21</v>
      </c>
      <c r="H938" s="113">
        <v>7.0198999999999998</v>
      </c>
      <c r="I938" s="4">
        <v>1E-4</v>
      </c>
      <c r="J938" s="113">
        <v>-43.207999999999998</v>
      </c>
      <c r="K938" s="4">
        <v>8.0000000000000004E-4</v>
      </c>
      <c r="L938" s="4">
        <v>2.8000000000000001E-2</v>
      </c>
      <c r="M938" s="4">
        <v>4.0000000000000001E-3</v>
      </c>
      <c r="N938" s="4">
        <v>-4.5999999999999999E-3</v>
      </c>
      <c r="O938" s="4">
        <v>1E-4</v>
      </c>
      <c r="P938" s="4">
        <v>125.06</v>
      </c>
      <c r="Q938" s="4">
        <v>0.08</v>
      </c>
      <c r="R938" s="113">
        <f t="shared" si="69"/>
        <v>0.2430709426627794</v>
      </c>
      <c r="S938" s="22">
        <f t="shared" si="70"/>
        <v>1.5549076773566569E-4</v>
      </c>
    </row>
    <row r="939" spans="1:19">
      <c r="A939" s="109" t="s">
        <v>886</v>
      </c>
      <c r="B939" s="113" t="s">
        <v>1183</v>
      </c>
      <c r="C939" s="113"/>
      <c r="D939" s="113">
        <v>0</v>
      </c>
      <c r="E939" s="4">
        <v>18</v>
      </c>
      <c r="F939" s="4">
        <v>9</v>
      </c>
      <c r="G939" s="4">
        <v>21</v>
      </c>
      <c r="H939" s="113">
        <v>7.0198999999999998</v>
      </c>
      <c r="I939" s="4">
        <v>1E-4</v>
      </c>
      <c r="J939" s="113">
        <v>-43.207999999999998</v>
      </c>
      <c r="K939" s="4">
        <v>8.0000000000000004E-4</v>
      </c>
      <c r="L939" s="4">
        <v>2.8000000000000001E-2</v>
      </c>
      <c r="M939" s="4">
        <v>4.0000000000000001E-3</v>
      </c>
      <c r="N939" s="4">
        <v>-4.5999999999999999E-3</v>
      </c>
      <c r="O939" s="4">
        <v>1E-4</v>
      </c>
      <c r="P939" s="4">
        <v>125.06</v>
      </c>
      <c r="Q939" s="4">
        <v>0.08</v>
      </c>
      <c r="R939" s="113">
        <f t="shared" si="69"/>
        <v>0.2430709426627794</v>
      </c>
      <c r="S939" s="22">
        <f t="shared" si="70"/>
        <v>1.5549076773566569E-4</v>
      </c>
    </row>
    <row r="940" spans="1:19">
      <c r="A940" s="109" t="s">
        <v>887</v>
      </c>
      <c r="B940" s="113" t="s">
        <v>1184</v>
      </c>
      <c r="C940" s="113"/>
      <c r="D940" s="113">
        <v>0</v>
      </c>
      <c r="E940" s="4">
        <v>18</v>
      </c>
      <c r="F940" s="4">
        <v>9</v>
      </c>
      <c r="G940" s="4">
        <v>21</v>
      </c>
      <c r="H940" s="113">
        <v>7.0198999999999998</v>
      </c>
      <c r="I940" s="4">
        <v>1E-4</v>
      </c>
      <c r="J940" s="113">
        <v>-43.207999999999998</v>
      </c>
      <c r="K940" s="4">
        <v>8.0000000000000004E-4</v>
      </c>
      <c r="L940" s="4">
        <v>2.8000000000000001E-2</v>
      </c>
      <c r="M940" s="4">
        <v>4.0000000000000001E-3</v>
      </c>
      <c r="N940" s="4">
        <v>-4.5999999999999999E-3</v>
      </c>
      <c r="O940" s="4">
        <v>1E-4</v>
      </c>
      <c r="P940" s="4">
        <v>125.06</v>
      </c>
      <c r="Q940" s="4">
        <v>0.08</v>
      </c>
      <c r="R940" s="113">
        <f t="shared" si="69"/>
        <v>0.2430709426627794</v>
      </c>
      <c r="S940" s="22">
        <f t="shared" si="70"/>
        <v>1.5549076773566569E-4</v>
      </c>
    </row>
    <row r="941" spans="1:19">
      <c r="A941" s="109" t="s">
        <v>888</v>
      </c>
      <c r="B941" s="113" t="s">
        <v>1185</v>
      </c>
      <c r="C941" s="113"/>
      <c r="D941" s="113">
        <v>0</v>
      </c>
      <c r="E941" s="4">
        <v>18</v>
      </c>
      <c r="F941" s="4">
        <v>9</v>
      </c>
      <c r="G941" s="4">
        <v>21</v>
      </c>
      <c r="H941" s="113">
        <v>7.0198999999999998</v>
      </c>
      <c r="I941" s="4">
        <v>1E-4</v>
      </c>
      <c r="J941" s="113">
        <v>-43.207999999999998</v>
      </c>
      <c r="K941" s="4">
        <v>8.0000000000000004E-4</v>
      </c>
      <c r="L941" s="4">
        <v>2.8000000000000001E-2</v>
      </c>
      <c r="M941" s="4">
        <v>4.0000000000000001E-3</v>
      </c>
      <c r="N941" s="4">
        <v>-4.5999999999999999E-3</v>
      </c>
      <c r="O941" s="4">
        <v>1E-4</v>
      </c>
      <c r="P941" s="4">
        <v>125.06</v>
      </c>
      <c r="Q941" s="4">
        <v>0.08</v>
      </c>
      <c r="R941" s="113">
        <f t="shared" si="69"/>
        <v>0.2430709426627794</v>
      </c>
      <c r="S941" s="22">
        <f t="shared" si="70"/>
        <v>1.5549076773566569E-4</v>
      </c>
    </row>
    <row r="942" spans="1:19">
      <c r="A942" s="109" t="s">
        <v>889</v>
      </c>
      <c r="B942" s="113" t="s">
        <v>1186</v>
      </c>
      <c r="C942" s="113"/>
      <c r="D942" s="113">
        <v>0</v>
      </c>
      <c r="E942" s="4">
        <v>18</v>
      </c>
      <c r="F942" s="4">
        <v>9</v>
      </c>
      <c r="G942" s="4">
        <v>21</v>
      </c>
      <c r="H942" s="113">
        <v>7.0198999999999998</v>
      </c>
      <c r="I942" s="4">
        <v>1E-4</v>
      </c>
      <c r="J942" s="113">
        <v>-43.207999999999998</v>
      </c>
      <c r="K942" s="4">
        <v>8.0000000000000004E-4</v>
      </c>
      <c r="L942" s="4">
        <v>2.8000000000000001E-2</v>
      </c>
      <c r="M942" s="4">
        <v>4.0000000000000001E-3</v>
      </c>
      <c r="N942" s="4">
        <v>-4.5999999999999999E-3</v>
      </c>
      <c r="O942" s="4">
        <v>1E-4</v>
      </c>
      <c r="P942" s="4">
        <v>125.06</v>
      </c>
      <c r="Q942" s="4">
        <v>0.08</v>
      </c>
      <c r="R942" s="113">
        <f t="shared" si="69"/>
        <v>0.2430709426627794</v>
      </c>
      <c r="S942" s="22">
        <f t="shared" si="70"/>
        <v>1.5549076773566569E-4</v>
      </c>
    </row>
    <row r="943" spans="1:19">
      <c r="A943" s="109" t="s">
        <v>890</v>
      </c>
      <c r="B943" s="113" t="s">
        <v>1187</v>
      </c>
      <c r="C943" s="113"/>
      <c r="D943" s="113">
        <v>0</v>
      </c>
      <c r="E943" s="4">
        <v>18</v>
      </c>
      <c r="F943" s="4">
        <v>9</v>
      </c>
      <c r="G943" s="4">
        <v>21</v>
      </c>
      <c r="H943" s="113">
        <v>7.0198999999999998</v>
      </c>
      <c r="I943" s="4">
        <v>1E-4</v>
      </c>
      <c r="J943" s="113">
        <v>-43.207999999999998</v>
      </c>
      <c r="K943" s="4">
        <v>8.0000000000000004E-4</v>
      </c>
      <c r="L943" s="4">
        <v>2.8000000000000001E-2</v>
      </c>
      <c r="M943" s="4">
        <v>4.0000000000000001E-3</v>
      </c>
      <c r="N943" s="4">
        <v>-4.5999999999999999E-3</v>
      </c>
      <c r="O943" s="4">
        <v>1E-4</v>
      </c>
      <c r="P943" s="4">
        <v>125.06</v>
      </c>
      <c r="Q943" s="4">
        <v>0.08</v>
      </c>
      <c r="R943" s="113">
        <f t="shared" si="69"/>
        <v>0.2430709426627794</v>
      </c>
      <c r="S943" s="22">
        <f t="shared" si="70"/>
        <v>1.5549076773566569E-4</v>
      </c>
    </row>
    <row r="944" spans="1:19">
      <c r="A944" s="109" t="s">
        <v>891</v>
      </c>
      <c r="B944" s="113" t="s">
        <v>1188</v>
      </c>
      <c r="C944" s="113"/>
      <c r="D944" s="113">
        <v>0</v>
      </c>
      <c r="E944" s="4">
        <v>18</v>
      </c>
      <c r="F944" s="4">
        <v>9</v>
      </c>
      <c r="G944" s="4">
        <v>21</v>
      </c>
      <c r="H944" s="113">
        <v>7.0198999999999998</v>
      </c>
      <c r="I944" s="4">
        <v>1E-4</v>
      </c>
      <c r="J944" s="113">
        <v>-43.207999999999998</v>
      </c>
      <c r="K944" s="4">
        <v>8.0000000000000004E-4</v>
      </c>
      <c r="L944" s="4">
        <v>2.8000000000000001E-2</v>
      </c>
      <c r="M944" s="4">
        <v>4.0000000000000001E-3</v>
      </c>
      <c r="N944" s="4">
        <v>-4.5999999999999999E-3</v>
      </c>
      <c r="O944" s="4">
        <v>1E-4</v>
      </c>
      <c r="P944" s="4">
        <v>125.06</v>
      </c>
      <c r="Q944" s="4">
        <v>0.08</v>
      </c>
      <c r="R944" s="113">
        <f t="shared" si="69"/>
        <v>0.2430709426627794</v>
      </c>
      <c r="S944" s="22">
        <f t="shared" si="70"/>
        <v>1.5549076773566569E-4</v>
      </c>
    </row>
    <row r="945" spans="1:19">
      <c r="A945" s="109" t="s">
        <v>892</v>
      </c>
      <c r="B945" s="113" t="s">
        <v>1189</v>
      </c>
      <c r="C945" s="113"/>
      <c r="D945" s="113">
        <v>0</v>
      </c>
      <c r="E945" s="4">
        <v>18</v>
      </c>
      <c r="F945" s="4">
        <v>9</v>
      </c>
      <c r="G945" s="4">
        <v>21</v>
      </c>
      <c r="H945" s="113">
        <v>7.0198999999999998</v>
      </c>
      <c r="I945" s="4">
        <v>1E-4</v>
      </c>
      <c r="J945" s="113">
        <v>-43.207999999999998</v>
      </c>
      <c r="K945" s="4">
        <v>8.0000000000000004E-4</v>
      </c>
      <c r="L945" s="4">
        <v>2.8000000000000001E-2</v>
      </c>
      <c r="M945" s="4">
        <v>4.0000000000000001E-3</v>
      </c>
      <c r="N945" s="4">
        <v>-4.5999999999999999E-3</v>
      </c>
      <c r="O945" s="4">
        <v>1E-4</v>
      </c>
      <c r="P945" s="4">
        <v>125.06</v>
      </c>
      <c r="Q945" s="4">
        <v>0.08</v>
      </c>
      <c r="R945" s="113">
        <f t="shared" si="69"/>
        <v>0.2430709426627794</v>
      </c>
      <c r="S945" s="22">
        <f t="shared" si="70"/>
        <v>1.5549076773566569E-4</v>
      </c>
    </row>
    <row r="946" spans="1:19">
      <c r="A946" s="109" t="s">
        <v>893</v>
      </c>
      <c r="B946" s="113" t="s">
        <v>1190</v>
      </c>
      <c r="C946" s="113"/>
      <c r="D946" s="113">
        <v>0</v>
      </c>
      <c r="E946" s="4">
        <v>18</v>
      </c>
      <c r="F946" s="4">
        <v>9</v>
      </c>
      <c r="G946" s="4">
        <v>21</v>
      </c>
      <c r="H946" s="113">
        <v>7.0198999999999998</v>
      </c>
      <c r="I946" s="4">
        <v>1E-4</v>
      </c>
      <c r="J946" s="113">
        <v>-43.207999999999998</v>
      </c>
      <c r="K946" s="4">
        <v>8.0000000000000004E-4</v>
      </c>
      <c r="L946" s="4">
        <v>2.8000000000000001E-2</v>
      </c>
      <c r="M946" s="4">
        <v>4.0000000000000001E-3</v>
      </c>
      <c r="N946" s="4">
        <v>-4.5999999999999999E-3</v>
      </c>
      <c r="O946" s="4">
        <v>1E-4</v>
      </c>
      <c r="P946" s="4">
        <v>125.06</v>
      </c>
      <c r="Q946" s="4">
        <v>0.08</v>
      </c>
      <c r="R946" s="113">
        <f t="shared" si="69"/>
        <v>0.2430709426627794</v>
      </c>
      <c r="S946" s="22">
        <f t="shared" si="70"/>
        <v>1.5549076773566569E-4</v>
      </c>
    </row>
    <row r="947" spans="1:19">
      <c r="A947" s="109" t="s">
        <v>894</v>
      </c>
      <c r="B947" s="113" t="s">
        <v>1191</v>
      </c>
      <c r="C947" s="113"/>
      <c r="D947" s="113">
        <v>0</v>
      </c>
      <c r="E947" s="4">
        <v>18</v>
      </c>
      <c r="F947" s="4">
        <v>9</v>
      </c>
      <c r="G947" s="4">
        <v>21</v>
      </c>
      <c r="H947" s="113">
        <v>7.0198999999999998</v>
      </c>
      <c r="I947" s="4">
        <v>1E-4</v>
      </c>
      <c r="J947" s="113">
        <v>-43.207999999999998</v>
      </c>
      <c r="K947" s="4">
        <v>8.0000000000000004E-4</v>
      </c>
      <c r="L947" s="4">
        <v>2.8000000000000001E-2</v>
      </c>
      <c r="M947" s="4">
        <v>4.0000000000000001E-3</v>
      </c>
      <c r="N947" s="4">
        <v>-4.5999999999999999E-3</v>
      </c>
      <c r="O947" s="4">
        <v>1E-4</v>
      </c>
      <c r="P947" s="4">
        <v>125.06</v>
      </c>
      <c r="Q947" s="4">
        <v>0.08</v>
      </c>
      <c r="R947" s="113">
        <f t="shared" si="69"/>
        <v>0.2430709426627794</v>
      </c>
      <c r="S947" s="22">
        <f t="shared" si="70"/>
        <v>1.5549076773566569E-4</v>
      </c>
    </row>
    <row r="948" spans="1:19">
      <c r="A948" s="109" t="s">
        <v>895</v>
      </c>
      <c r="B948" s="113" t="s">
        <v>1192</v>
      </c>
      <c r="C948" s="113"/>
      <c r="D948" s="113">
        <v>0</v>
      </c>
      <c r="E948" s="4">
        <v>18</v>
      </c>
      <c r="F948" s="4">
        <v>9</v>
      </c>
      <c r="G948" s="4">
        <v>21</v>
      </c>
      <c r="H948" s="113">
        <v>7.0198999999999998</v>
      </c>
      <c r="I948" s="4">
        <v>1E-4</v>
      </c>
      <c r="J948" s="113">
        <v>-43.207999999999998</v>
      </c>
      <c r="K948" s="4">
        <v>8.0000000000000004E-4</v>
      </c>
      <c r="L948" s="4">
        <v>2.8000000000000001E-2</v>
      </c>
      <c r="M948" s="4">
        <v>4.0000000000000001E-3</v>
      </c>
      <c r="N948" s="4">
        <v>-4.5999999999999999E-3</v>
      </c>
      <c r="O948" s="4">
        <v>1E-4</v>
      </c>
      <c r="P948" s="4">
        <v>125.06</v>
      </c>
      <c r="Q948" s="4">
        <v>0.08</v>
      </c>
      <c r="R948" s="113">
        <f t="shared" si="69"/>
        <v>0.2430709426627794</v>
      </c>
      <c r="S948" s="22">
        <f t="shared" si="70"/>
        <v>1.5549076773566569E-4</v>
      </c>
    </row>
    <row r="949" spans="1:19">
      <c r="A949" s="109" t="s">
        <v>896</v>
      </c>
      <c r="B949" s="113" t="s">
        <v>1193</v>
      </c>
      <c r="C949" s="113"/>
      <c r="D949" s="113">
        <v>0</v>
      </c>
      <c r="E949" s="4">
        <v>18</v>
      </c>
      <c r="F949" s="4">
        <v>9</v>
      </c>
      <c r="G949" s="4">
        <v>21</v>
      </c>
      <c r="H949" s="113">
        <v>7.0198999999999998</v>
      </c>
      <c r="I949" s="4">
        <v>1E-4</v>
      </c>
      <c r="J949" s="113">
        <v>-43.207999999999998</v>
      </c>
      <c r="K949" s="4">
        <v>8.0000000000000004E-4</v>
      </c>
      <c r="L949" s="4">
        <v>2.8000000000000001E-2</v>
      </c>
      <c r="M949" s="4">
        <v>4.0000000000000001E-3</v>
      </c>
      <c r="N949" s="4">
        <v>-4.5999999999999999E-3</v>
      </c>
      <c r="O949" s="4">
        <v>1E-4</v>
      </c>
      <c r="P949" s="4">
        <v>125.06</v>
      </c>
      <c r="Q949" s="4">
        <v>0.08</v>
      </c>
      <c r="R949" s="113">
        <f t="shared" si="69"/>
        <v>0.2430709426627794</v>
      </c>
      <c r="S949" s="22">
        <f t="shared" si="70"/>
        <v>1.5549076773566569E-4</v>
      </c>
    </row>
    <row r="950" spans="1:19">
      <c r="A950" s="109" t="s">
        <v>897</v>
      </c>
      <c r="B950" s="113" t="s">
        <v>1194</v>
      </c>
      <c r="C950" s="113"/>
      <c r="D950" s="113">
        <v>0</v>
      </c>
      <c r="E950" s="4">
        <v>18</v>
      </c>
      <c r="F950" s="4">
        <v>9</v>
      </c>
      <c r="G950" s="4">
        <v>21</v>
      </c>
      <c r="H950" s="113">
        <v>7.0198999999999998</v>
      </c>
      <c r="I950" s="4">
        <v>1E-4</v>
      </c>
      <c r="J950" s="113">
        <v>-43.207999999999998</v>
      </c>
      <c r="K950" s="4">
        <v>8.0000000000000004E-4</v>
      </c>
      <c r="L950" s="4">
        <v>2.8000000000000001E-2</v>
      </c>
      <c r="M950" s="4">
        <v>4.0000000000000001E-3</v>
      </c>
      <c r="N950" s="4">
        <v>-4.5999999999999999E-3</v>
      </c>
      <c r="O950" s="4">
        <v>1E-4</v>
      </c>
      <c r="P950" s="4">
        <v>125.06</v>
      </c>
      <c r="Q950" s="4">
        <v>0.08</v>
      </c>
      <c r="R950" s="113">
        <f t="shared" si="69"/>
        <v>0.2430709426627794</v>
      </c>
      <c r="S950" s="22">
        <f t="shared" si="70"/>
        <v>1.5549076773566569E-4</v>
      </c>
    </row>
    <row r="951" spans="1:19">
      <c r="A951" s="109" t="s">
        <v>898</v>
      </c>
      <c r="B951" s="113" t="s">
        <v>1195</v>
      </c>
      <c r="C951" s="113"/>
      <c r="D951" s="113">
        <v>0</v>
      </c>
      <c r="E951" s="4">
        <v>18</v>
      </c>
      <c r="F951" s="4">
        <v>9</v>
      </c>
      <c r="G951" s="4">
        <v>21</v>
      </c>
      <c r="H951" s="113">
        <v>7.0198999999999998</v>
      </c>
      <c r="I951" s="4">
        <v>1E-4</v>
      </c>
      <c r="J951" s="113">
        <v>-43.207999999999998</v>
      </c>
      <c r="K951" s="4">
        <v>8.0000000000000004E-4</v>
      </c>
      <c r="L951" s="4">
        <v>2.8000000000000001E-2</v>
      </c>
      <c r="M951" s="4">
        <v>4.0000000000000001E-3</v>
      </c>
      <c r="N951" s="4">
        <v>-4.5999999999999999E-3</v>
      </c>
      <c r="O951" s="4">
        <v>1E-4</v>
      </c>
      <c r="P951" s="4">
        <v>125.06</v>
      </c>
      <c r="Q951" s="4">
        <v>0.08</v>
      </c>
      <c r="R951" s="113">
        <f t="shared" si="69"/>
        <v>0.2430709426627794</v>
      </c>
      <c r="S951" s="22">
        <f t="shared" si="70"/>
        <v>1.5549076773566569E-4</v>
      </c>
    </row>
    <row r="952" spans="1:19">
      <c r="A952" s="109" t="s">
        <v>899</v>
      </c>
      <c r="B952" s="113" t="s">
        <v>1196</v>
      </c>
      <c r="C952" s="113"/>
      <c r="D952" s="113">
        <v>0</v>
      </c>
      <c r="E952" s="4">
        <v>18</v>
      </c>
      <c r="F952" s="4">
        <v>9</v>
      </c>
      <c r="G952" s="4">
        <v>21</v>
      </c>
      <c r="H952" s="113">
        <v>7.0198999999999998</v>
      </c>
      <c r="I952" s="4">
        <v>1E-4</v>
      </c>
      <c r="J952" s="113">
        <v>-43.207999999999998</v>
      </c>
      <c r="K952" s="4">
        <v>8.0000000000000004E-4</v>
      </c>
      <c r="L952" s="4">
        <v>2.8000000000000001E-2</v>
      </c>
      <c r="M952" s="4">
        <v>4.0000000000000001E-3</v>
      </c>
      <c r="N952" s="4">
        <v>-4.5999999999999999E-3</v>
      </c>
      <c r="O952" s="4">
        <v>1E-4</v>
      </c>
      <c r="P952" s="4">
        <v>125.06</v>
      </c>
      <c r="Q952" s="4">
        <v>0.08</v>
      </c>
      <c r="R952" s="113">
        <f t="shared" si="69"/>
        <v>0.2430709426627794</v>
      </c>
      <c r="S952" s="22">
        <f t="shared" si="70"/>
        <v>1.5549076773566569E-4</v>
      </c>
    </row>
    <row r="953" spans="1:19">
      <c r="A953" s="109" t="s">
        <v>900</v>
      </c>
      <c r="B953" s="113" t="s">
        <v>1197</v>
      </c>
      <c r="C953" s="113"/>
      <c r="D953" s="113">
        <v>0</v>
      </c>
      <c r="E953" s="4">
        <v>18</v>
      </c>
      <c r="F953" s="4">
        <v>9</v>
      </c>
      <c r="G953" s="4">
        <v>21</v>
      </c>
      <c r="H953" s="113">
        <v>7.0198999999999998</v>
      </c>
      <c r="I953" s="4">
        <v>1E-4</v>
      </c>
      <c r="J953" s="113">
        <v>-43.207999999999998</v>
      </c>
      <c r="K953" s="4">
        <v>8.0000000000000004E-4</v>
      </c>
      <c r="L953" s="4">
        <v>2.8000000000000001E-2</v>
      </c>
      <c r="M953" s="4">
        <v>4.0000000000000001E-3</v>
      </c>
      <c r="N953" s="4">
        <v>-4.5999999999999999E-3</v>
      </c>
      <c r="O953" s="4">
        <v>1E-4</v>
      </c>
      <c r="P953" s="4">
        <v>125.06</v>
      </c>
      <c r="Q953" s="4">
        <v>0.08</v>
      </c>
      <c r="R953" s="113">
        <f t="shared" si="69"/>
        <v>0.2430709426627794</v>
      </c>
      <c r="S953" s="22">
        <f t="shared" si="70"/>
        <v>1.5549076773566569E-4</v>
      </c>
    </row>
    <row r="954" spans="1:19">
      <c r="A954" s="109" t="s">
        <v>901</v>
      </c>
      <c r="B954" s="113" t="s">
        <v>1198</v>
      </c>
      <c r="C954" s="113"/>
      <c r="D954" s="113">
        <v>0</v>
      </c>
      <c r="E954" s="4">
        <v>18</v>
      </c>
      <c r="F954" s="4">
        <v>9</v>
      </c>
      <c r="G954" s="4">
        <v>21</v>
      </c>
      <c r="H954" s="113">
        <v>7.0198999999999998</v>
      </c>
      <c r="I954" s="4">
        <v>1E-4</v>
      </c>
      <c r="J954" s="113">
        <v>-43.207999999999998</v>
      </c>
      <c r="K954" s="4">
        <v>8.0000000000000004E-4</v>
      </c>
      <c r="L954" s="4">
        <v>2.8000000000000001E-2</v>
      </c>
      <c r="M954" s="4">
        <v>4.0000000000000001E-3</v>
      </c>
      <c r="N954" s="4">
        <v>-4.5999999999999999E-3</v>
      </c>
      <c r="O954" s="4">
        <v>1E-4</v>
      </c>
      <c r="P954" s="4">
        <v>125.06</v>
      </c>
      <c r="Q954" s="4">
        <v>0.08</v>
      </c>
      <c r="R954" s="113">
        <f t="shared" si="69"/>
        <v>0.2430709426627794</v>
      </c>
      <c r="S954" s="22">
        <f t="shared" si="70"/>
        <v>1.5549076773566569E-4</v>
      </c>
    </row>
    <row r="955" spans="1:19">
      <c r="A955" s="109" t="s">
        <v>902</v>
      </c>
      <c r="B955" s="113" t="s">
        <v>1199</v>
      </c>
      <c r="C955" s="113"/>
      <c r="D955" s="113">
        <v>0</v>
      </c>
      <c r="E955" s="4">
        <v>18</v>
      </c>
      <c r="F955" s="4">
        <v>9</v>
      </c>
      <c r="G955" s="4">
        <v>21</v>
      </c>
      <c r="H955" s="113">
        <v>7.0198999999999998</v>
      </c>
      <c r="I955" s="4">
        <v>1E-4</v>
      </c>
      <c r="J955" s="113">
        <v>-43.207999999999998</v>
      </c>
      <c r="K955" s="4">
        <v>8.0000000000000004E-4</v>
      </c>
      <c r="L955" s="4">
        <v>2.8000000000000001E-2</v>
      </c>
      <c r="M955" s="4">
        <v>4.0000000000000001E-3</v>
      </c>
      <c r="N955" s="4">
        <v>-4.5999999999999999E-3</v>
      </c>
      <c r="O955" s="4">
        <v>1E-4</v>
      </c>
      <c r="P955" s="4">
        <v>125.06</v>
      </c>
      <c r="Q955" s="4">
        <v>0.08</v>
      </c>
      <c r="R955" s="113">
        <f t="shared" si="69"/>
        <v>0.2430709426627794</v>
      </c>
      <c r="S955" s="22">
        <f t="shared" si="70"/>
        <v>1.5549076773566569E-4</v>
      </c>
    </row>
    <row r="956" spans="1:19">
      <c r="A956" s="109" t="s">
        <v>903</v>
      </c>
      <c r="B956" s="113" t="s">
        <v>1200</v>
      </c>
      <c r="C956" s="113"/>
      <c r="D956" s="113">
        <v>0</v>
      </c>
      <c r="E956" s="4">
        <v>18</v>
      </c>
      <c r="F956" s="4">
        <v>9</v>
      </c>
      <c r="G956" s="4">
        <v>21</v>
      </c>
      <c r="H956" s="113">
        <v>7.0198999999999998</v>
      </c>
      <c r="I956" s="4">
        <v>1E-4</v>
      </c>
      <c r="J956" s="113">
        <v>-43.207999999999998</v>
      </c>
      <c r="K956" s="4">
        <v>8.0000000000000004E-4</v>
      </c>
      <c r="L956" s="4">
        <v>2.8000000000000001E-2</v>
      </c>
      <c r="M956" s="4">
        <v>4.0000000000000001E-3</v>
      </c>
      <c r="N956" s="4">
        <v>-4.5999999999999999E-3</v>
      </c>
      <c r="O956" s="4">
        <v>1E-4</v>
      </c>
      <c r="P956" s="4">
        <v>125.06</v>
      </c>
      <c r="Q956" s="4">
        <v>0.08</v>
      </c>
      <c r="R956" s="113">
        <f t="shared" si="69"/>
        <v>0.2430709426627794</v>
      </c>
      <c r="S956" s="22">
        <f t="shared" si="70"/>
        <v>1.5549076773566569E-4</v>
      </c>
    </row>
    <row r="957" spans="1:19">
      <c r="A957" s="109" t="s">
        <v>904</v>
      </c>
      <c r="B957" s="113" t="s">
        <v>1201</v>
      </c>
      <c r="C957" s="113"/>
      <c r="D957" s="113">
        <v>0</v>
      </c>
      <c r="E957" s="4">
        <v>18</v>
      </c>
      <c r="F957" s="4">
        <v>9</v>
      </c>
      <c r="G957" s="4">
        <v>21</v>
      </c>
      <c r="H957" s="113">
        <v>7.0198999999999998</v>
      </c>
      <c r="I957" s="4">
        <v>1E-4</v>
      </c>
      <c r="J957" s="113">
        <v>-43.207999999999998</v>
      </c>
      <c r="K957" s="4">
        <v>8.0000000000000004E-4</v>
      </c>
      <c r="L957" s="4">
        <v>2.8000000000000001E-2</v>
      </c>
      <c r="M957" s="4">
        <v>4.0000000000000001E-3</v>
      </c>
      <c r="N957" s="4">
        <v>-4.5999999999999999E-3</v>
      </c>
      <c r="O957" s="4">
        <v>1E-4</v>
      </c>
      <c r="P957" s="4">
        <v>125.06</v>
      </c>
      <c r="Q957" s="4">
        <v>0.08</v>
      </c>
      <c r="R957" s="113">
        <f t="shared" si="69"/>
        <v>0.2430709426627794</v>
      </c>
      <c r="S957" s="22">
        <f t="shared" si="70"/>
        <v>1.5549076773566569E-4</v>
      </c>
    </row>
    <row r="958" spans="1:19">
      <c r="A958" s="109" t="s">
        <v>905</v>
      </c>
      <c r="B958" s="113" t="s">
        <v>1202</v>
      </c>
      <c r="C958" s="113"/>
      <c r="D958" s="113">
        <v>0</v>
      </c>
      <c r="E958" s="4">
        <v>18</v>
      </c>
      <c r="F958" s="4">
        <v>9</v>
      </c>
      <c r="G958" s="4">
        <v>21</v>
      </c>
      <c r="H958" s="113">
        <v>7.0198999999999998</v>
      </c>
      <c r="I958" s="4">
        <v>1E-4</v>
      </c>
      <c r="J958" s="113">
        <v>-43.207999999999998</v>
      </c>
      <c r="K958" s="4">
        <v>8.0000000000000004E-4</v>
      </c>
      <c r="L958" s="4">
        <v>2.8000000000000001E-2</v>
      </c>
      <c r="M958" s="4">
        <v>4.0000000000000001E-3</v>
      </c>
      <c r="N958" s="4">
        <v>-4.5999999999999999E-3</v>
      </c>
      <c r="O958" s="4">
        <v>1E-4</v>
      </c>
      <c r="P958" s="4">
        <v>125.06</v>
      </c>
      <c r="Q958" s="4">
        <v>0.08</v>
      </c>
      <c r="R958" s="113">
        <f t="shared" si="69"/>
        <v>0.2430709426627794</v>
      </c>
      <c r="S958" s="22">
        <f t="shared" si="70"/>
        <v>1.5549076773566569E-4</v>
      </c>
    </row>
    <row r="959" spans="1:19">
      <c r="A959" s="109" t="s">
        <v>906</v>
      </c>
      <c r="B959" s="113" t="s">
        <v>1203</v>
      </c>
      <c r="C959" s="113"/>
      <c r="D959" s="113">
        <v>0</v>
      </c>
      <c r="E959" s="4">
        <v>18</v>
      </c>
      <c r="F959" s="4">
        <v>9</v>
      </c>
      <c r="G959" s="4">
        <v>21</v>
      </c>
      <c r="H959" s="113">
        <v>7.0198999999999998</v>
      </c>
      <c r="I959" s="4">
        <v>1E-4</v>
      </c>
      <c r="J959" s="113">
        <v>-43.207999999999998</v>
      </c>
      <c r="K959" s="4">
        <v>8.0000000000000004E-4</v>
      </c>
      <c r="L959" s="4">
        <v>2.8000000000000001E-2</v>
      </c>
      <c r="M959" s="4">
        <v>4.0000000000000001E-3</v>
      </c>
      <c r="N959" s="4">
        <v>-4.5999999999999999E-3</v>
      </c>
      <c r="O959" s="4">
        <v>1E-4</v>
      </c>
      <c r="P959" s="4">
        <v>125.06</v>
      </c>
      <c r="Q959" s="4">
        <v>0.08</v>
      </c>
      <c r="R959" s="113">
        <f t="shared" si="69"/>
        <v>0.2430709426627794</v>
      </c>
      <c r="S959" s="22">
        <f t="shared" si="70"/>
        <v>1.5549076773566569E-4</v>
      </c>
    </row>
    <row r="960" spans="1:19">
      <c r="A960" s="109" t="s">
        <v>907</v>
      </c>
      <c r="B960" s="113" t="s">
        <v>1204</v>
      </c>
      <c r="C960" s="113"/>
      <c r="D960" s="113">
        <v>0</v>
      </c>
      <c r="E960" s="4">
        <v>18</v>
      </c>
      <c r="F960" s="4">
        <v>9</v>
      </c>
      <c r="G960" s="4">
        <v>21</v>
      </c>
      <c r="H960" s="113">
        <v>7.0198999999999998</v>
      </c>
      <c r="I960" s="4">
        <v>1E-4</v>
      </c>
      <c r="J960" s="113">
        <v>-43.207999999999998</v>
      </c>
      <c r="K960" s="4">
        <v>8.0000000000000004E-4</v>
      </c>
      <c r="L960" s="4">
        <v>2.8000000000000001E-2</v>
      </c>
      <c r="M960" s="4">
        <v>4.0000000000000001E-3</v>
      </c>
      <c r="N960" s="4">
        <v>-4.5999999999999999E-3</v>
      </c>
      <c r="O960" s="4">
        <v>1E-4</v>
      </c>
      <c r="P960" s="4">
        <v>125.06</v>
      </c>
      <c r="Q960" s="4">
        <v>0.08</v>
      </c>
      <c r="R960" s="113">
        <f t="shared" si="69"/>
        <v>0.2430709426627794</v>
      </c>
      <c r="S960" s="22">
        <f t="shared" si="70"/>
        <v>1.5549076773566569E-4</v>
      </c>
    </row>
    <row r="961" spans="1:19">
      <c r="A961" s="109" t="s">
        <v>908</v>
      </c>
      <c r="B961" s="113" t="s">
        <v>1205</v>
      </c>
      <c r="C961" s="113"/>
      <c r="D961" s="113">
        <v>0</v>
      </c>
      <c r="E961" s="4">
        <v>18</v>
      </c>
      <c r="F961" s="4">
        <v>10</v>
      </c>
      <c r="G961" s="4">
        <v>21</v>
      </c>
      <c r="H961" s="113">
        <v>7.0198999999999998</v>
      </c>
      <c r="I961" s="4">
        <v>1E-4</v>
      </c>
      <c r="J961" s="113">
        <v>-43.207999999999998</v>
      </c>
      <c r="K961" s="4">
        <v>8.0000000000000004E-4</v>
      </c>
      <c r="L961" s="4">
        <v>2.8000000000000001E-2</v>
      </c>
      <c r="M961" s="4">
        <v>4.0000000000000001E-3</v>
      </c>
      <c r="N961" s="4">
        <v>-4.5999999999999999E-3</v>
      </c>
      <c r="O961" s="4">
        <v>1E-4</v>
      </c>
      <c r="P961" s="4">
        <v>125.06</v>
      </c>
      <c r="Q961" s="4">
        <v>0.08</v>
      </c>
      <c r="R961" s="113">
        <f t="shared" si="69"/>
        <v>0.2430709426627794</v>
      </c>
      <c r="S961" s="22">
        <f t="shared" si="70"/>
        <v>1.5549076773566569E-4</v>
      </c>
    </row>
    <row r="962" spans="1:19">
      <c r="A962" s="109" t="s">
        <v>909</v>
      </c>
      <c r="B962" s="113" t="s">
        <v>1206</v>
      </c>
      <c r="C962" s="113"/>
      <c r="D962" s="113">
        <v>0</v>
      </c>
      <c r="E962" s="4">
        <v>18</v>
      </c>
      <c r="F962" s="4">
        <v>10</v>
      </c>
      <c r="G962" s="4">
        <v>21</v>
      </c>
      <c r="H962" s="113">
        <v>7.0198999999999998</v>
      </c>
      <c r="I962" s="4">
        <v>1E-4</v>
      </c>
      <c r="J962" s="113">
        <v>-43.207999999999998</v>
      </c>
      <c r="K962" s="4">
        <v>8.0000000000000004E-4</v>
      </c>
      <c r="L962" s="4">
        <v>2.8000000000000001E-2</v>
      </c>
      <c r="M962" s="4">
        <v>4.0000000000000001E-3</v>
      </c>
      <c r="N962" s="4">
        <v>-4.5999999999999999E-3</v>
      </c>
      <c r="O962" s="4">
        <v>1E-4</v>
      </c>
      <c r="P962" s="4">
        <v>125.06</v>
      </c>
      <c r="Q962" s="4">
        <v>0.08</v>
      </c>
      <c r="R962" s="113">
        <f t="shared" si="69"/>
        <v>0.2430709426627794</v>
      </c>
      <c r="S962" s="22">
        <f t="shared" si="70"/>
        <v>1.5549076773566569E-4</v>
      </c>
    </row>
    <row r="963" spans="1:19">
      <c r="A963" s="109" t="s">
        <v>910</v>
      </c>
      <c r="B963" s="113" t="s">
        <v>1207</v>
      </c>
      <c r="C963" s="113"/>
      <c r="D963" s="113">
        <v>0</v>
      </c>
      <c r="E963" s="4">
        <v>18</v>
      </c>
      <c r="F963" s="4">
        <v>10</v>
      </c>
      <c r="G963" s="4">
        <v>21</v>
      </c>
      <c r="H963" s="113">
        <v>7.0198999999999998</v>
      </c>
      <c r="I963" s="4">
        <v>1E-4</v>
      </c>
      <c r="J963" s="113">
        <v>-43.207999999999998</v>
      </c>
      <c r="K963" s="4">
        <v>8.0000000000000004E-4</v>
      </c>
      <c r="L963" s="4">
        <v>2.8000000000000001E-2</v>
      </c>
      <c r="M963" s="4">
        <v>4.0000000000000001E-3</v>
      </c>
      <c r="N963" s="4">
        <v>-4.5999999999999999E-3</v>
      </c>
      <c r="O963" s="4">
        <v>1E-4</v>
      </c>
      <c r="P963" s="4">
        <v>125.06</v>
      </c>
      <c r="Q963" s="4">
        <v>0.08</v>
      </c>
      <c r="R963" s="113">
        <f t="shared" si="69"/>
        <v>0.2430709426627794</v>
      </c>
      <c r="S963" s="22">
        <f t="shared" si="70"/>
        <v>1.5549076773566569E-4</v>
      </c>
    </row>
    <row r="964" spans="1:19">
      <c r="A964" s="109" t="s">
        <v>911</v>
      </c>
      <c r="B964" s="113" t="s">
        <v>1208</v>
      </c>
      <c r="C964" s="113"/>
      <c r="D964" s="113">
        <v>0</v>
      </c>
      <c r="E964" s="4">
        <v>18</v>
      </c>
      <c r="F964" s="4">
        <v>10</v>
      </c>
      <c r="G964" s="4">
        <v>21</v>
      </c>
      <c r="H964" s="113">
        <v>7.0198999999999998</v>
      </c>
      <c r="I964" s="4">
        <v>1E-4</v>
      </c>
      <c r="J964" s="113">
        <v>-43.207999999999998</v>
      </c>
      <c r="K964" s="4">
        <v>8.0000000000000004E-4</v>
      </c>
      <c r="L964" s="4">
        <v>2.8000000000000001E-2</v>
      </c>
      <c r="M964" s="4">
        <v>4.0000000000000001E-3</v>
      </c>
      <c r="N964" s="4">
        <v>-4.5999999999999999E-3</v>
      </c>
      <c r="O964" s="4">
        <v>1E-4</v>
      </c>
      <c r="P964" s="4">
        <v>125.06</v>
      </c>
      <c r="Q964" s="4">
        <v>0.08</v>
      </c>
      <c r="R964" s="113">
        <f t="shared" si="69"/>
        <v>0.2430709426627794</v>
      </c>
      <c r="S964" s="22">
        <f t="shared" si="70"/>
        <v>1.5549076773566569E-4</v>
      </c>
    </row>
    <row r="965" spans="1:19">
      <c r="A965" s="109" t="s">
        <v>912</v>
      </c>
      <c r="B965" s="113" t="s">
        <v>1209</v>
      </c>
      <c r="C965" s="113"/>
      <c r="D965" s="113">
        <v>0</v>
      </c>
      <c r="E965" s="4">
        <v>18</v>
      </c>
      <c r="F965" s="4">
        <v>10</v>
      </c>
      <c r="G965" s="4">
        <v>21</v>
      </c>
      <c r="H965" s="113">
        <v>7.0198999999999998</v>
      </c>
      <c r="I965" s="4">
        <v>1E-4</v>
      </c>
      <c r="J965" s="113">
        <v>-43.207999999999998</v>
      </c>
      <c r="K965" s="4">
        <v>8.0000000000000004E-4</v>
      </c>
      <c r="L965" s="4">
        <v>2.8000000000000001E-2</v>
      </c>
      <c r="M965" s="4">
        <v>4.0000000000000001E-3</v>
      </c>
      <c r="N965" s="4">
        <v>-4.5999999999999999E-3</v>
      </c>
      <c r="O965" s="4">
        <v>1E-4</v>
      </c>
      <c r="P965" s="4">
        <v>125.06</v>
      </c>
      <c r="Q965" s="4">
        <v>0.08</v>
      </c>
      <c r="R965" s="113">
        <f t="shared" si="69"/>
        <v>0.2430709426627794</v>
      </c>
      <c r="S965" s="22">
        <f t="shared" si="70"/>
        <v>1.5549076773566569E-4</v>
      </c>
    </row>
    <row r="966" spans="1:19">
      <c r="A966" s="109" t="s">
        <v>913</v>
      </c>
      <c r="B966" s="113" t="s">
        <v>1210</v>
      </c>
      <c r="C966" s="113"/>
      <c r="D966" s="113">
        <v>0</v>
      </c>
      <c r="E966" s="4">
        <v>18</v>
      </c>
      <c r="F966" s="4">
        <v>10</v>
      </c>
      <c r="G966" s="4">
        <v>21</v>
      </c>
      <c r="H966" s="113">
        <v>7.0198999999999998</v>
      </c>
      <c r="I966" s="4">
        <v>1E-4</v>
      </c>
      <c r="J966" s="113">
        <v>-43.207999999999998</v>
      </c>
      <c r="K966" s="4">
        <v>8.0000000000000004E-4</v>
      </c>
      <c r="L966" s="4">
        <v>2.8000000000000001E-2</v>
      </c>
      <c r="M966" s="4">
        <v>4.0000000000000001E-3</v>
      </c>
      <c r="N966" s="4">
        <v>-4.5999999999999999E-3</v>
      </c>
      <c r="O966" s="4">
        <v>1E-4</v>
      </c>
      <c r="P966" s="4">
        <v>125.06</v>
      </c>
      <c r="Q966" s="4">
        <v>0.08</v>
      </c>
      <c r="R966" s="113">
        <f t="shared" si="69"/>
        <v>0.2430709426627794</v>
      </c>
      <c r="S966" s="22">
        <f t="shared" si="70"/>
        <v>1.5549076773566569E-4</v>
      </c>
    </row>
    <row r="967" spans="1:19">
      <c r="A967" s="109" t="s">
        <v>914</v>
      </c>
      <c r="B967" s="113" t="s">
        <v>1211</v>
      </c>
      <c r="C967" s="113"/>
      <c r="D967" s="113">
        <v>0</v>
      </c>
      <c r="E967" s="4">
        <v>18</v>
      </c>
      <c r="F967" s="4">
        <v>10</v>
      </c>
      <c r="G967" s="4">
        <v>21</v>
      </c>
      <c r="H967" s="113">
        <v>7.0198999999999998</v>
      </c>
      <c r="I967" s="4">
        <v>1E-4</v>
      </c>
      <c r="J967" s="113">
        <v>-43.207999999999998</v>
      </c>
      <c r="K967" s="4">
        <v>8.0000000000000004E-4</v>
      </c>
      <c r="L967" s="4">
        <v>2.8000000000000001E-2</v>
      </c>
      <c r="M967" s="4">
        <v>4.0000000000000001E-3</v>
      </c>
      <c r="N967" s="4">
        <v>-4.5999999999999999E-3</v>
      </c>
      <c r="O967" s="4">
        <v>1E-4</v>
      </c>
      <c r="P967" s="4">
        <v>125.06</v>
      </c>
      <c r="Q967" s="4">
        <v>0.08</v>
      </c>
      <c r="R967" s="113">
        <f t="shared" si="69"/>
        <v>0.2430709426627794</v>
      </c>
      <c r="S967" s="22">
        <f t="shared" si="70"/>
        <v>1.5549076773566569E-4</v>
      </c>
    </row>
    <row r="968" spans="1:19">
      <c r="A968" s="109" t="s">
        <v>915</v>
      </c>
      <c r="B968" s="113" t="s">
        <v>1212</v>
      </c>
      <c r="C968" s="113"/>
      <c r="D968" s="113">
        <v>0</v>
      </c>
      <c r="E968" s="4">
        <v>18</v>
      </c>
      <c r="F968" s="4">
        <v>10</v>
      </c>
      <c r="G968" s="4">
        <v>21</v>
      </c>
      <c r="H968" s="113">
        <v>7.0198999999999998</v>
      </c>
      <c r="I968" s="4">
        <v>1E-4</v>
      </c>
      <c r="J968" s="113">
        <v>-43.207999999999998</v>
      </c>
      <c r="K968" s="4">
        <v>8.0000000000000004E-4</v>
      </c>
      <c r="L968" s="4">
        <v>2.8000000000000001E-2</v>
      </c>
      <c r="M968" s="4">
        <v>4.0000000000000001E-3</v>
      </c>
      <c r="N968" s="4">
        <v>-4.5999999999999999E-3</v>
      </c>
      <c r="O968" s="4">
        <v>1E-4</v>
      </c>
      <c r="P968" s="4">
        <v>125.06</v>
      </c>
      <c r="Q968" s="4">
        <v>0.08</v>
      </c>
      <c r="R968" s="113">
        <f t="shared" si="69"/>
        <v>0.2430709426627794</v>
      </c>
      <c r="S968" s="22">
        <f t="shared" si="70"/>
        <v>1.5549076773566569E-4</v>
      </c>
    </row>
    <row r="969" spans="1:19">
      <c r="A969" s="109" t="s">
        <v>916</v>
      </c>
      <c r="B969" s="113" t="s">
        <v>1213</v>
      </c>
      <c r="C969" s="113"/>
      <c r="D969" s="113">
        <v>0</v>
      </c>
      <c r="E969" s="4">
        <v>18</v>
      </c>
      <c r="F969" s="4">
        <v>10</v>
      </c>
      <c r="G969" s="4">
        <v>21</v>
      </c>
      <c r="H969" s="113">
        <v>7.0198999999999998</v>
      </c>
      <c r="I969" s="4">
        <v>1E-4</v>
      </c>
      <c r="J969" s="113">
        <v>-43.207999999999998</v>
      </c>
      <c r="K969" s="4">
        <v>8.0000000000000004E-4</v>
      </c>
      <c r="L969" s="4">
        <v>2.8000000000000001E-2</v>
      </c>
      <c r="M969" s="4">
        <v>4.0000000000000001E-3</v>
      </c>
      <c r="N969" s="4">
        <v>-4.5999999999999999E-3</v>
      </c>
      <c r="O969" s="4">
        <v>1E-4</v>
      </c>
      <c r="P969" s="4">
        <v>125.06</v>
      </c>
      <c r="Q969" s="4">
        <v>0.08</v>
      </c>
      <c r="R969" s="113">
        <f t="shared" si="69"/>
        <v>0.2430709426627794</v>
      </c>
      <c r="S969" s="22">
        <f t="shared" si="70"/>
        <v>1.5549076773566569E-4</v>
      </c>
    </row>
    <row r="970" spans="1:19">
      <c r="A970" s="109" t="s">
        <v>917</v>
      </c>
      <c r="B970" s="113" t="s">
        <v>1214</v>
      </c>
      <c r="C970" s="113"/>
      <c r="D970" s="113">
        <v>0</v>
      </c>
      <c r="E970" s="4">
        <v>18</v>
      </c>
      <c r="F970" s="4">
        <v>10</v>
      </c>
      <c r="G970" s="4">
        <v>21</v>
      </c>
      <c r="H970" s="113">
        <v>7.0198999999999998</v>
      </c>
      <c r="I970" s="4">
        <v>1E-4</v>
      </c>
      <c r="J970" s="113">
        <v>-43.207999999999998</v>
      </c>
      <c r="K970" s="4">
        <v>8.0000000000000004E-4</v>
      </c>
      <c r="L970" s="4">
        <v>2.8000000000000001E-2</v>
      </c>
      <c r="M970" s="4">
        <v>4.0000000000000001E-3</v>
      </c>
      <c r="N970" s="4">
        <v>-4.5999999999999999E-3</v>
      </c>
      <c r="O970" s="4">
        <v>1E-4</v>
      </c>
      <c r="P970" s="4">
        <v>125.06</v>
      </c>
      <c r="Q970" s="4">
        <v>0.08</v>
      </c>
      <c r="R970" s="113">
        <f t="shared" si="69"/>
        <v>0.2430709426627794</v>
      </c>
      <c r="S970" s="22">
        <f t="shared" si="70"/>
        <v>1.5549076773566569E-4</v>
      </c>
    </row>
    <row r="971" spans="1:19">
      <c r="A971" s="109" t="s">
        <v>918</v>
      </c>
      <c r="B971" s="113" t="s">
        <v>1215</v>
      </c>
      <c r="C971" s="113"/>
      <c r="D971" s="113">
        <v>0</v>
      </c>
      <c r="E971" s="4">
        <v>18</v>
      </c>
      <c r="F971" s="4">
        <v>10</v>
      </c>
      <c r="G971" s="4">
        <v>21</v>
      </c>
      <c r="H971" s="113">
        <v>7.0198999999999998</v>
      </c>
      <c r="I971" s="4">
        <v>1E-4</v>
      </c>
      <c r="J971" s="113">
        <v>-43.207999999999998</v>
      </c>
      <c r="K971" s="4">
        <v>8.0000000000000004E-4</v>
      </c>
      <c r="L971" s="4">
        <v>2.8000000000000001E-2</v>
      </c>
      <c r="M971" s="4">
        <v>4.0000000000000001E-3</v>
      </c>
      <c r="N971" s="4">
        <v>-4.5999999999999999E-3</v>
      </c>
      <c r="O971" s="4">
        <v>1E-4</v>
      </c>
      <c r="P971" s="4">
        <v>125.06</v>
      </c>
      <c r="Q971" s="4">
        <v>0.08</v>
      </c>
      <c r="R971" s="113">
        <f t="shared" si="69"/>
        <v>0.2430709426627794</v>
      </c>
      <c r="S971" s="22">
        <f t="shared" si="70"/>
        <v>1.5549076773566569E-4</v>
      </c>
    </row>
    <row r="972" spans="1:19">
      <c r="A972" s="109" t="s">
        <v>919</v>
      </c>
      <c r="B972" s="113" t="s">
        <v>1216</v>
      </c>
      <c r="C972" s="113"/>
      <c r="D972" s="113">
        <v>0</v>
      </c>
      <c r="E972" s="4">
        <v>18</v>
      </c>
      <c r="F972" s="4">
        <v>10</v>
      </c>
      <c r="G972" s="4">
        <v>21</v>
      </c>
      <c r="H972" s="113">
        <v>7.0198999999999998</v>
      </c>
      <c r="I972" s="4">
        <v>1E-4</v>
      </c>
      <c r="J972" s="113">
        <v>-43.207999999999998</v>
      </c>
      <c r="K972" s="4">
        <v>8.0000000000000004E-4</v>
      </c>
      <c r="L972" s="4">
        <v>2.8000000000000001E-2</v>
      </c>
      <c r="M972" s="4">
        <v>4.0000000000000001E-3</v>
      </c>
      <c r="N972" s="4">
        <v>-4.5999999999999999E-3</v>
      </c>
      <c r="O972" s="4">
        <v>1E-4</v>
      </c>
      <c r="P972" s="4">
        <v>125.06</v>
      </c>
      <c r="Q972" s="4">
        <v>0.08</v>
      </c>
      <c r="R972" s="113">
        <f t="shared" si="69"/>
        <v>0.2430709426627794</v>
      </c>
      <c r="S972" s="22">
        <f t="shared" si="70"/>
        <v>1.5549076773566569E-4</v>
      </c>
    </row>
    <row r="973" spans="1:19">
      <c r="A973" s="109" t="s">
        <v>920</v>
      </c>
      <c r="B973" s="113" t="s">
        <v>1217</v>
      </c>
      <c r="C973" s="113"/>
      <c r="D973" s="113">
        <v>0</v>
      </c>
      <c r="E973" s="4">
        <v>18</v>
      </c>
      <c r="F973" s="4">
        <v>10</v>
      </c>
      <c r="G973" s="4">
        <v>21</v>
      </c>
      <c r="H973" s="113">
        <v>7.0198999999999998</v>
      </c>
      <c r="I973" s="4">
        <v>1E-4</v>
      </c>
      <c r="J973" s="113">
        <v>-43.207999999999998</v>
      </c>
      <c r="K973" s="4">
        <v>8.0000000000000004E-4</v>
      </c>
      <c r="L973" s="4">
        <v>2.8000000000000001E-2</v>
      </c>
      <c r="M973" s="4">
        <v>4.0000000000000001E-3</v>
      </c>
      <c r="N973" s="4">
        <v>-4.5999999999999999E-3</v>
      </c>
      <c r="O973" s="4">
        <v>1E-4</v>
      </c>
      <c r="P973" s="4">
        <v>125.06</v>
      </c>
      <c r="Q973" s="4">
        <v>0.08</v>
      </c>
      <c r="R973" s="113">
        <f t="shared" si="69"/>
        <v>0.2430709426627794</v>
      </c>
      <c r="S973" s="22">
        <f t="shared" si="70"/>
        <v>1.5549076773566569E-4</v>
      </c>
    </row>
    <row r="974" spans="1:19">
      <c r="A974" s="109" t="s">
        <v>921</v>
      </c>
      <c r="B974" s="113" t="s">
        <v>1218</v>
      </c>
      <c r="C974" s="113"/>
      <c r="D974" s="113">
        <v>0</v>
      </c>
      <c r="E974" s="4">
        <v>18</v>
      </c>
      <c r="F974" s="4">
        <v>10</v>
      </c>
      <c r="G974" s="4">
        <v>21</v>
      </c>
      <c r="H974" s="113">
        <v>7.0198999999999998</v>
      </c>
      <c r="I974" s="4">
        <v>1E-4</v>
      </c>
      <c r="J974" s="113">
        <v>-43.207999999999998</v>
      </c>
      <c r="K974" s="4">
        <v>8.0000000000000004E-4</v>
      </c>
      <c r="L974" s="4">
        <v>2.8000000000000001E-2</v>
      </c>
      <c r="M974" s="4">
        <v>4.0000000000000001E-3</v>
      </c>
      <c r="N974" s="4">
        <v>-4.5999999999999999E-3</v>
      </c>
      <c r="O974" s="4">
        <v>1E-4</v>
      </c>
      <c r="P974" s="4">
        <v>125.06</v>
      </c>
      <c r="Q974" s="4">
        <v>0.08</v>
      </c>
      <c r="R974" s="113">
        <f t="shared" si="69"/>
        <v>0.2430709426627794</v>
      </c>
      <c r="S974" s="22">
        <f t="shared" si="70"/>
        <v>1.5549076773566569E-4</v>
      </c>
    </row>
    <row r="975" spans="1:19">
      <c r="A975" s="109" t="s">
        <v>922</v>
      </c>
      <c r="B975" s="113" t="s">
        <v>1219</v>
      </c>
      <c r="C975" s="113"/>
      <c r="D975" s="113">
        <v>0</v>
      </c>
      <c r="E975" s="4">
        <v>18</v>
      </c>
      <c r="F975" s="4">
        <v>10</v>
      </c>
      <c r="G975" s="4">
        <v>21</v>
      </c>
      <c r="H975" s="113">
        <v>7.0198999999999998</v>
      </c>
      <c r="I975" s="4">
        <v>1E-4</v>
      </c>
      <c r="J975" s="113">
        <v>-43.207999999999998</v>
      </c>
      <c r="K975" s="4">
        <v>8.0000000000000004E-4</v>
      </c>
      <c r="L975" s="4">
        <v>2.8000000000000001E-2</v>
      </c>
      <c r="M975" s="4">
        <v>4.0000000000000001E-3</v>
      </c>
      <c r="N975" s="4">
        <v>-4.5999999999999999E-3</v>
      </c>
      <c r="O975" s="4">
        <v>1E-4</v>
      </c>
      <c r="P975" s="4">
        <v>125.06</v>
      </c>
      <c r="Q975" s="4">
        <v>0.08</v>
      </c>
      <c r="R975" s="113">
        <f t="shared" si="69"/>
        <v>0.2430709426627794</v>
      </c>
      <c r="S975" s="22">
        <f t="shared" si="70"/>
        <v>1.5549076773566569E-4</v>
      </c>
    </row>
    <row r="976" spans="1:19">
      <c r="A976" s="109" t="s">
        <v>923</v>
      </c>
      <c r="B976" s="113" t="s">
        <v>1220</v>
      </c>
      <c r="C976" s="113"/>
      <c r="D976" s="113">
        <v>0</v>
      </c>
      <c r="E976" s="4">
        <v>18</v>
      </c>
      <c r="F976" s="4">
        <v>10</v>
      </c>
      <c r="G976" s="4">
        <v>21</v>
      </c>
      <c r="H976" s="113">
        <v>7.0198999999999998</v>
      </c>
      <c r="I976" s="4">
        <v>1E-4</v>
      </c>
      <c r="J976" s="113">
        <v>-43.207999999999998</v>
      </c>
      <c r="K976" s="4">
        <v>8.0000000000000004E-4</v>
      </c>
      <c r="L976" s="4">
        <v>2.8000000000000001E-2</v>
      </c>
      <c r="M976" s="4">
        <v>4.0000000000000001E-3</v>
      </c>
      <c r="N976" s="4">
        <v>-4.5999999999999999E-3</v>
      </c>
      <c r="O976" s="4">
        <v>1E-4</v>
      </c>
      <c r="P976" s="4">
        <v>125.06</v>
      </c>
      <c r="Q976" s="4">
        <v>0.08</v>
      </c>
      <c r="R976" s="113">
        <f t="shared" si="69"/>
        <v>0.2430709426627794</v>
      </c>
      <c r="S976" s="22">
        <f t="shared" si="70"/>
        <v>1.5549076773566569E-4</v>
      </c>
    </row>
    <row r="977" spans="1:19">
      <c r="A977" s="109" t="s">
        <v>924</v>
      </c>
      <c r="B977" s="113" t="s">
        <v>1221</v>
      </c>
      <c r="C977" s="113"/>
      <c r="D977" s="113">
        <v>0</v>
      </c>
      <c r="E977" s="4">
        <v>18</v>
      </c>
      <c r="F977" s="4">
        <v>10</v>
      </c>
      <c r="G977" s="4">
        <v>21</v>
      </c>
      <c r="H977" s="113">
        <v>7.0198999999999998</v>
      </c>
      <c r="I977" s="4">
        <v>1E-4</v>
      </c>
      <c r="J977" s="113">
        <v>-43.207999999999998</v>
      </c>
      <c r="K977" s="4">
        <v>8.0000000000000004E-4</v>
      </c>
      <c r="L977" s="4">
        <v>2.8000000000000001E-2</v>
      </c>
      <c r="M977" s="4">
        <v>4.0000000000000001E-3</v>
      </c>
      <c r="N977" s="4">
        <v>-4.5999999999999999E-3</v>
      </c>
      <c r="O977" s="4">
        <v>1E-4</v>
      </c>
      <c r="P977" s="4">
        <v>125.06</v>
      </c>
      <c r="Q977" s="4">
        <v>0.08</v>
      </c>
      <c r="R977" s="113">
        <f t="shared" si="69"/>
        <v>0.2430709426627794</v>
      </c>
      <c r="S977" s="22">
        <f t="shared" si="70"/>
        <v>1.5549076773566569E-4</v>
      </c>
    </row>
    <row r="978" spans="1:19">
      <c r="A978" s="109" t="s">
        <v>925</v>
      </c>
      <c r="B978" s="113" t="s">
        <v>1222</v>
      </c>
      <c r="C978" s="113"/>
      <c r="D978" s="113">
        <v>0</v>
      </c>
      <c r="E978" s="4">
        <v>18</v>
      </c>
      <c r="F978" s="4">
        <v>10</v>
      </c>
      <c r="G978" s="4">
        <v>21</v>
      </c>
      <c r="H978" s="113">
        <v>7.0198999999999998</v>
      </c>
      <c r="I978" s="4">
        <v>1E-4</v>
      </c>
      <c r="J978" s="113">
        <v>-43.207999999999998</v>
      </c>
      <c r="K978" s="4">
        <v>8.0000000000000004E-4</v>
      </c>
      <c r="L978" s="4">
        <v>2.8000000000000001E-2</v>
      </c>
      <c r="M978" s="4">
        <v>4.0000000000000001E-3</v>
      </c>
      <c r="N978" s="4">
        <v>-4.5999999999999999E-3</v>
      </c>
      <c r="O978" s="4">
        <v>1E-4</v>
      </c>
      <c r="P978" s="4">
        <v>125.06</v>
      </c>
      <c r="Q978" s="4">
        <v>0.08</v>
      </c>
      <c r="R978" s="113">
        <f t="shared" si="69"/>
        <v>0.2430709426627794</v>
      </c>
      <c r="S978" s="22">
        <f t="shared" si="70"/>
        <v>1.5549076773566569E-4</v>
      </c>
    </row>
    <row r="979" spans="1:19">
      <c r="A979" s="109" t="s">
        <v>926</v>
      </c>
      <c r="B979" s="113" t="s">
        <v>1223</v>
      </c>
      <c r="C979" s="113"/>
      <c r="D979" s="113">
        <v>0</v>
      </c>
      <c r="E979" s="4">
        <v>18</v>
      </c>
      <c r="F979" s="4">
        <v>10</v>
      </c>
      <c r="G979" s="4">
        <v>21</v>
      </c>
      <c r="H979" s="113">
        <v>7.0198999999999998</v>
      </c>
      <c r="I979" s="4">
        <v>1E-4</v>
      </c>
      <c r="J979" s="113">
        <v>-43.207999999999998</v>
      </c>
      <c r="K979" s="4">
        <v>8.0000000000000004E-4</v>
      </c>
      <c r="L979" s="4">
        <v>2.8000000000000001E-2</v>
      </c>
      <c r="M979" s="4">
        <v>4.0000000000000001E-3</v>
      </c>
      <c r="N979" s="4">
        <v>-4.5999999999999999E-3</v>
      </c>
      <c r="O979" s="4">
        <v>1E-4</v>
      </c>
      <c r="P979" s="4">
        <v>125.06</v>
      </c>
      <c r="Q979" s="4">
        <v>0.08</v>
      </c>
      <c r="R979" s="113">
        <f t="shared" ref="R979:R1042" si="71">P979*E979/G979^3</f>
        <v>0.2430709426627794</v>
      </c>
      <c r="S979" s="22">
        <f t="shared" ref="S979:S1042" si="72">Q979*E979/G979^3</f>
        <v>1.5549076773566569E-4</v>
      </c>
    </row>
    <row r="980" spans="1:19">
      <c r="A980" s="109" t="s">
        <v>927</v>
      </c>
      <c r="B980" s="113" t="s">
        <v>1224</v>
      </c>
      <c r="C980" s="113"/>
      <c r="D980" s="113">
        <v>0</v>
      </c>
      <c r="E980" s="4">
        <v>18</v>
      </c>
      <c r="F980" s="4">
        <v>10</v>
      </c>
      <c r="G980" s="4">
        <v>21</v>
      </c>
      <c r="H980" s="113">
        <v>7.0198999999999998</v>
      </c>
      <c r="I980" s="4">
        <v>1E-4</v>
      </c>
      <c r="J980" s="113">
        <v>-43.207999999999998</v>
      </c>
      <c r="K980" s="4">
        <v>8.0000000000000004E-4</v>
      </c>
      <c r="L980" s="4">
        <v>2.8000000000000001E-2</v>
      </c>
      <c r="M980" s="4">
        <v>4.0000000000000001E-3</v>
      </c>
      <c r="N980" s="4">
        <v>-4.5999999999999999E-3</v>
      </c>
      <c r="O980" s="4">
        <v>1E-4</v>
      </c>
      <c r="P980" s="4">
        <v>125.06</v>
      </c>
      <c r="Q980" s="4">
        <v>0.08</v>
      </c>
      <c r="R980" s="113">
        <f t="shared" si="71"/>
        <v>0.2430709426627794</v>
      </c>
      <c r="S980" s="22">
        <f t="shared" si="72"/>
        <v>1.5549076773566569E-4</v>
      </c>
    </row>
    <row r="981" spans="1:19">
      <c r="A981" s="109" t="s">
        <v>928</v>
      </c>
      <c r="B981" s="113" t="s">
        <v>1225</v>
      </c>
      <c r="C981" s="113"/>
      <c r="D981" s="113">
        <v>0</v>
      </c>
      <c r="E981" s="4">
        <v>18</v>
      </c>
      <c r="F981" s="4">
        <v>10</v>
      </c>
      <c r="G981" s="4">
        <v>21</v>
      </c>
      <c r="H981" s="113">
        <v>7.0198999999999998</v>
      </c>
      <c r="I981" s="4">
        <v>1E-4</v>
      </c>
      <c r="J981" s="113">
        <v>-43.207999999999998</v>
      </c>
      <c r="K981" s="4">
        <v>8.0000000000000004E-4</v>
      </c>
      <c r="L981" s="4">
        <v>2.8000000000000001E-2</v>
      </c>
      <c r="M981" s="4">
        <v>4.0000000000000001E-3</v>
      </c>
      <c r="N981" s="4">
        <v>-4.5999999999999999E-3</v>
      </c>
      <c r="O981" s="4">
        <v>1E-4</v>
      </c>
      <c r="P981" s="4">
        <v>125.06</v>
      </c>
      <c r="Q981" s="4">
        <v>0.08</v>
      </c>
      <c r="R981" s="113">
        <f t="shared" si="71"/>
        <v>0.2430709426627794</v>
      </c>
      <c r="S981" s="22">
        <f t="shared" si="72"/>
        <v>1.5549076773566569E-4</v>
      </c>
    </row>
    <row r="982" spans="1:19">
      <c r="A982" s="109" t="s">
        <v>929</v>
      </c>
      <c r="B982" s="113" t="s">
        <v>1226</v>
      </c>
      <c r="C982" s="113"/>
      <c r="D982" s="113">
        <v>0</v>
      </c>
      <c r="E982" s="4">
        <v>18</v>
      </c>
      <c r="F982" s="4">
        <v>10</v>
      </c>
      <c r="G982" s="4">
        <v>21</v>
      </c>
      <c r="H982" s="113">
        <v>7.0198999999999998</v>
      </c>
      <c r="I982" s="4">
        <v>1E-4</v>
      </c>
      <c r="J982" s="113">
        <v>-43.207999999999998</v>
      </c>
      <c r="K982" s="4">
        <v>8.0000000000000004E-4</v>
      </c>
      <c r="L982" s="4">
        <v>2.8000000000000001E-2</v>
      </c>
      <c r="M982" s="4">
        <v>4.0000000000000001E-3</v>
      </c>
      <c r="N982" s="4">
        <v>-4.5999999999999999E-3</v>
      </c>
      <c r="O982" s="4">
        <v>1E-4</v>
      </c>
      <c r="P982" s="4">
        <v>125.06</v>
      </c>
      <c r="Q982" s="4">
        <v>0.08</v>
      </c>
      <c r="R982" s="113">
        <f t="shared" si="71"/>
        <v>0.2430709426627794</v>
      </c>
      <c r="S982" s="22">
        <f t="shared" si="72"/>
        <v>1.5549076773566569E-4</v>
      </c>
    </row>
    <row r="983" spans="1:19">
      <c r="A983" s="109" t="s">
        <v>930</v>
      </c>
      <c r="B983" s="113" t="s">
        <v>1227</v>
      </c>
      <c r="C983" s="113"/>
      <c r="D983" s="113">
        <v>0</v>
      </c>
      <c r="E983" s="4">
        <v>18</v>
      </c>
      <c r="F983" s="4">
        <v>10</v>
      </c>
      <c r="G983" s="4">
        <v>21</v>
      </c>
      <c r="H983" s="113">
        <v>7.0198999999999998</v>
      </c>
      <c r="I983" s="4">
        <v>1E-4</v>
      </c>
      <c r="J983" s="113">
        <v>-43.207999999999998</v>
      </c>
      <c r="K983" s="4">
        <v>8.0000000000000004E-4</v>
      </c>
      <c r="L983" s="4">
        <v>2.8000000000000001E-2</v>
      </c>
      <c r="M983" s="4">
        <v>4.0000000000000001E-3</v>
      </c>
      <c r="N983" s="4">
        <v>-4.5999999999999999E-3</v>
      </c>
      <c r="O983" s="4">
        <v>1E-4</v>
      </c>
      <c r="P983" s="4">
        <v>125.06</v>
      </c>
      <c r="Q983" s="4">
        <v>0.08</v>
      </c>
      <c r="R983" s="113">
        <f t="shared" si="71"/>
        <v>0.2430709426627794</v>
      </c>
      <c r="S983" s="22">
        <f t="shared" si="72"/>
        <v>1.5549076773566569E-4</v>
      </c>
    </row>
    <row r="984" spans="1:19">
      <c r="A984" s="109" t="s">
        <v>931</v>
      </c>
      <c r="B984" s="113" t="s">
        <v>1228</v>
      </c>
      <c r="C984" s="113"/>
      <c r="D984" s="113">
        <v>0</v>
      </c>
      <c r="E984" s="4">
        <v>18</v>
      </c>
      <c r="F984" s="4">
        <v>10</v>
      </c>
      <c r="G984" s="4">
        <v>21</v>
      </c>
      <c r="H984" s="113">
        <v>7.0198999999999998</v>
      </c>
      <c r="I984" s="4">
        <v>1E-4</v>
      </c>
      <c r="J984" s="113">
        <v>-43.207999999999998</v>
      </c>
      <c r="K984" s="4">
        <v>8.0000000000000004E-4</v>
      </c>
      <c r="L984" s="4">
        <v>2.8000000000000001E-2</v>
      </c>
      <c r="M984" s="4">
        <v>4.0000000000000001E-3</v>
      </c>
      <c r="N984" s="4">
        <v>-4.5999999999999999E-3</v>
      </c>
      <c r="O984" s="4">
        <v>1E-4</v>
      </c>
      <c r="P984" s="4">
        <v>125.06</v>
      </c>
      <c r="Q984" s="4">
        <v>0.08</v>
      </c>
      <c r="R984" s="113">
        <f t="shared" si="71"/>
        <v>0.2430709426627794</v>
      </c>
      <c r="S984" s="22">
        <f t="shared" si="72"/>
        <v>1.5549076773566569E-4</v>
      </c>
    </row>
    <row r="985" spans="1:19">
      <c r="A985" s="109" t="s">
        <v>932</v>
      </c>
      <c r="B985" s="113" t="s">
        <v>1229</v>
      </c>
      <c r="C985" s="113"/>
      <c r="D985" s="113">
        <v>0</v>
      </c>
      <c r="E985" s="4">
        <v>18</v>
      </c>
      <c r="F985" s="4">
        <v>10</v>
      </c>
      <c r="G985" s="4">
        <v>21</v>
      </c>
      <c r="H985" s="113">
        <v>7.0198999999999998</v>
      </c>
      <c r="I985" s="4">
        <v>1E-4</v>
      </c>
      <c r="J985" s="113">
        <v>-43.207999999999998</v>
      </c>
      <c r="K985" s="4">
        <v>8.0000000000000004E-4</v>
      </c>
      <c r="L985" s="4">
        <v>2.8000000000000001E-2</v>
      </c>
      <c r="M985" s="4">
        <v>4.0000000000000001E-3</v>
      </c>
      <c r="N985" s="4">
        <v>-4.5999999999999999E-3</v>
      </c>
      <c r="O985" s="4">
        <v>1E-4</v>
      </c>
      <c r="P985" s="4">
        <v>125.06</v>
      </c>
      <c r="Q985" s="4">
        <v>0.08</v>
      </c>
      <c r="R985" s="113">
        <f t="shared" si="71"/>
        <v>0.2430709426627794</v>
      </c>
      <c r="S985" s="22">
        <f t="shared" si="72"/>
        <v>1.5549076773566569E-4</v>
      </c>
    </row>
    <row r="986" spans="1:19">
      <c r="A986" s="109" t="s">
        <v>933</v>
      </c>
      <c r="B986" s="113" t="s">
        <v>1230</v>
      </c>
      <c r="C986" s="113"/>
      <c r="D986" s="113">
        <v>0</v>
      </c>
      <c r="E986" s="4">
        <v>18</v>
      </c>
      <c r="F986" s="4">
        <v>10</v>
      </c>
      <c r="G986" s="4">
        <v>21</v>
      </c>
      <c r="H986" s="113">
        <v>7.0198999999999998</v>
      </c>
      <c r="I986" s="4">
        <v>1E-4</v>
      </c>
      <c r="J986" s="113">
        <v>-43.207999999999998</v>
      </c>
      <c r="K986" s="4">
        <v>8.0000000000000004E-4</v>
      </c>
      <c r="L986" s="4">
        <v>2.8000000000000001E-2</v>
      </c>
      <c r="M986" s="4">
        <v>4.0000000000000001E-3</v>
      </c>
      <c r="N986" s="4">
        <v>-4.5999999999999999E-3</v>
      </c>
      <c r="O986" s="4">
        <v>1E-4</v>
      </c>
      <c r="P986" s="4">
        <v>125.06</v>
      </c>
      <c r="Q986" s="4">
        <v>0.08</v>
      </c>
      <c r="R986" s="113">
        <f t="shared" si="71"/>
        <v>0.2430709426627794</v>
      </c>
      <c r="S986" s="22">
        <f t="shared" si="72"/>
        <v>1.5549076773566569E-4</v>
      </c>
    </row>
    <row r="987" spans="1:19">
      <c r="A987" s="109" t="s">
        <v>934</v>
      </c>
      <c r="B987" s="113" t="s">
        <v>1231</v>
      </c>
      <c r="C987" s="113"/>
      <c r="D987" s="113">
        <v>0</v>
      </c>
      <c r="E987" s="4">
        <v>18</v>
      </c>
      <c r="F987" s="4">
        <v>10</v>
      </c>
      <c r="G987" s="4">
        <v>21</v>
      </c>
      <c r="H987" s="113">
        <v>7.0198999999999998</v>
      </c>
      <c r="I987" s="4">
        <v>1E-4</v>
      </c>
      <c r="J987" s="113">
        <v>-43.207999999999998</v>
      </c>
      <c r="K987" s="4">
        <v>8.0000000000000004E-4</v>
      </c>
      <c r="L987" s="4">
        <v>2.8000000000000001E-2</v>
      </c>
      <c r="M987" s="4">
        <v>4.0000000000000001E-3</v>
      </c>
      <c r="N987" s="4">
        <v>-4.5999999999999999E-3</v>
      </c>
      <c r="O987" s="4">
        <v>1E-4</v>
      </c>
      <c r="P987" s="4">
        <v>125.06</v>
      </c>
      <c r="Q987" s="4">
        <v>0.08</v>
      </c>
      <c r="R987" s="113">
        <f t="shared" si="71"/>
        <v>0.2430709426627794</v>
      </c>
      <c r="S987" s="22">
        <f t="shared" si="72"/>
        <v>1.5549076773566569E-4</v>
      </c>
    </row>
    <row r="988" spans="1:19">
      <c r="A988" s="109" t="s">
        <v>935</v>
      </c>
      <c r="B988" s="113" t="s">
        <v>1232</v>
      </c>
      <c r="C988" s="113"/>
      <c r="D988" s="113">
        <v>0</v>
      </c>
      <c r="E988" s="4">
        <v>18</v>
      </c>
      <c r="F988" s="4">
        <v>10</v>
      </c>
      <c r="G988" s="4">
        <v>21</v>
      </c>
      <c r="H988" s="113">
        <v>7.0198999999999998</v>
      </c>
      <c r="I988" s="4">
        <v>1E-4</v>
      </c>
      <c r="J988" s="113">
        <v>-43.207999999999998</v>
      </c>
      <c r="K988" s="4">
        <v>8.0000000000000004E-4</v>
      </c>
      <c r="L988" s="4">
        <v>2.8000000000000001E-2</v>
      </c>
      <c r="M988" s="4">
        <v>4.0000000000000001E-3</v>
      </c>
      <c r="N988" s="4">
        <v>-4.5999999999999999E-3</v>
      </c>
      <c r="O988" s="4">
        <v>1E-4</v>
      </c>
      <c r="P988" s="4">
        <v>125.06</v>
      </c>
      <c r="Q988" s="4">
        <v>0.08</v>
      </c>
      <c r="R988" s="113">
        <f t="shared" si="71"/>
        <v>0.2430709426627794</v>
      </c>
      <c r="S988" s="22">
        <f t="shared" si="72"/>
        <v>1.5549076773566569E-4</v>
      </c>
    </row>
    <row r="989" spans="1:19">
      <c r="A989" s="109" t="s">
        <v>936</v>
      </c>
      <c r="B989" s="113" t="s">
        <v>1233</v>
      </c>
      <c r="C989" s="113"/>
      <c r="D989" s="113">
        <v>0</v>
      </c>
      <c r="E989" s="4">
        <v>18</v>
      </c>
      <c r="F989" s="4">
        <v>10</v>
      </c>
      <c r="G989" s="4">
        <v>21</v>
      </c>
      <c r="H989" s="113">
        <v>7.0198999999999998</v>
      </c>
      <c r="I989" s="4">
        <v>1E-4</v>
      </c>
      <c r="J989" s="113">
        <v>-43.207999999999998</v>
      </c>
      <c r="K989" s="4">
        <v>8.0000000000000004E-4</v>
      </c>
      <c r="L989" s="4">
        <v>2.8000000000000001E-2</v>
      </c>
      <c r="M989" s="4">
        <v>4.0000000000000001E-3</v>
      </c>
      <c r="N989" s="4">
        <v>-4.5999999999999999E-3</v>
      </c>
      <c r="O989" s="4">
        <v>1E-4</v>
      </c>
      <c r="P989" s="4">
        <v>125.06</v>
      </c>
      <c r="Q989" s="4">
        <v>0.08</v>
      </c>
      <c r="R989" s="113">
        <f t="shared" si="71"/>
        <v>0.2430709426627794</v>
      </c>
      <c r="S989" s="22">
        <f t="shared" si="72"/>
        <v>1.5549076773566569E-4</v>
      </c>
    </row>
    <row r="990" spans="1:19">
      <c r="A990" s="109" t="s">
        <v>937</v>
      </c>
      <c r="B990" s="113" t="s">
        <v>1234</v>
      </c>
      <c r="C990" s="113"/>
      <c r="D990" s="113">
        <v>0</v>
      </c>
      <c r="E990" s="4">
        <v>18</v>
      </c>
      <c r="F990" s="4">
        <v>10</v>
      </c>
      <c r="G990" s="4">
        <v>21</v>
      </c>
      <c r="H990" s="113">
        <v>7.0198999999999998</v>
      </c>
      <c r="I990" s="4">
        <v>1E-4</v>
      </c>
      <c r="J990" s="113">
        <v>-43.207999999999998</v>
      </c>
      <c r="K990" s="4">
        <v>8.0000000000000004E-4</v>
      </c>
      <c r="L990" s="4">
        <v>2.8000000000000001E-2</v>
      </c>
      <c r="M990" s="4">
        <v>4.0000000000000001E-3</v>
      </c>
      <c r="N990" s="4">
        <v>-4.5999999999999999E-3</v>
      </c>
      <c r="O990" s="4">
        <v>1E-4</v>
      </c>
      <c r="P990" s="4">
        <v>125.06</v>
      </c>
      <c r="Q990" s="4">
        <v>0.08</v>
      </c>
      <c r="R990" s="113">
        <f t="shared" si="71"/>
        <v>0.2430709426627794</v>
      </c>
      <c r="S990" s="22">
        <f t="shared" si="72"/>
        <v>1.5549076773566569E-4</v>
      </c>
    </row>
    <row r="991" spans="1:19">
      <c r="A991" s="109" t="s">
        <v>938</v>
      </c>
      <c r="B991" s="113" t="s">
        <v>1235</v>
      </c>
      <c r="C991" s="113"/>
      <c r="D991" s="113">
        <v>0</v>
      </c>
      <c r="E991" s="4">
        <v>18</v>
      </c>
      <c r="F991" s="4">
        <v>10</v>
      </c>
      <c r="G991" s="4">
        <v>21</v>
      </c>
      <c r="H991" s="113">
        <v>7.0198999999999998</v>
      </c>
      <c r="I991" s="4">
        <v>1E-4</v>
      </c>
      <c r="J991" s="113">
        <v>-43.207999999999998</v>
      </c>
      <c r="K991" s="4">
        <v>8.0000000000000004E-4</v>
      </c>
      <c r="L991" s="4">
        <v>2.8000000000000001E-2</v>
      </c>
      <c r="M991" s="4">
        <v>4.0000000000000001E-3</v>
      </c>
      <c r="N991" s="4">
        <v>-4.5999999999999999E-3</v>
      </c>
      <c r="O991" s="4">
        <v>1E-4</v>
      </c>
      <c r="P991" s="4">
        <v>125.06</v>
      </c>
      <c r="Q991" s="4">
        <v>0.08</v>
      </c>
      <c r="R991" s="113">
        <f t="shared" si="71"/>
        <v>0.2430709426627794</v>
      </c>
      <c r="S991" s="22">
        <f t="shared" si="72"/>
        <v>1.5549076773566569E-4</v>
      </c>
    </row>
    <row r="992" spans="1:19">
      <c r="A992" s="109" t="s">
        <v>939</v>
      </c>
      <c r="B992" s="113" t="s">
        <v>1236</v>
      </c>
      <c r="C992" s="113"/>
      <c r="D992" s="113">
        <v>0</v>
      </c>
      <c r="E992" s="4">
        <v>18</v>
      </c>
      <c r="F992" s="4">
        <v>10</v>
      </c>
      <c r="G992" s="4">
        <v>21</v>
      </c>
      <c r="H992" s="113">
        <v>7.0198999999999998</v>
      </c>
      <c r="I992" s="4">
        <v>1E-4</v>
      </c>
      <c r="J992" s="113">
        <v>-43.207999999999998</v>
      </c>
      <c r="K992" s="4">
        <v>8.0000000000000004E-4</v>
      </c>
      <c r="L992" s="4">
        <v>2.8000000000000001E-2</v>
      </c>
      <c r="M992" s="4">
        <v>4.0000000000000001E-3</v>
      </c>
      <c r="N992" s="4">
        <v>-4.5999999999999999E-3</v>
      </c>
      <c r="O992" s="4">
        <v>1E-4</v>
      </c>
      <c r="P992" s="4">
        <v>125.06</v>
      </c>
      <c r="Q992" s="4">
        <v>0.08</v>
      </c>
      <c r="R992" s="113">
        <f t="shared" si="71"/>
        <v>0.2430709426627794</v>
      </c>
      <c r="S992" s="22">
        <f t="shared" si="72"/>
        <v>1.5549076773566569E-4</v>
      </c>
    </row>
    <row r="993" spans="1:19">
      <c r="A993" s="109" t="s">
        <v>940</v>
      </c>
      <c r="B993" s="113" t="s">
        <v>1237</v>
      </c>
      <c r="C993" s="113"/>
      <c r="D993" s="113">
        <v>0</v>
      </c>
      <c r="E993" s="4">
        <v>18</v>
      </c>
      <c r="F993" s="4">
        <v>10</v>
      </c>
      <c r="G993" s="4">
        <v>21</v>
      </c>
      <c r="H993" s="113">
        <v>7.0198999999999998</v>
      </c>
      <c r="I993" s="4">
        <v>1E-4</v>
      </c>
      <c r="J993" s="113">
        <v>-43.207999999999998</v>
      </c>
      <c r="K993" s="4">
        <v>8.0000000000000004E-4</v>
      </c>
      <c r="L993" s="4">
        <v>2.8000000000000001E-2</v>
      </c>
      <c r="M993" s="4">
        <v>4.0000000000000001E-3</v>
      </c>
      <c r="N993" s="4">
        <v>-4.5999999999999999E-3</v>
      </c>
      <c r="O993" s="4">
        <v>1E-4</v>
      </c>
      <c r="P993" s="4">
        <v>125.06</v>
      </c>
      <c r="Q993" s="4">
        <v>0.08</v>
      </c>
      <c r="R993" s="113">
        <f t="shared" si="71"/>
        <v>0.2430709426627794</v>
      </c>
      <c r="S993" s="22">
        <f t="shared" si="72"/>
        <v>1.5549076773566569E-4</v>
      </c>
    </row>
    <row r="994" spans="1:19">
      <c r="A994" s="109" t="s">
        <v>941</v>
      </c>
      <c r="B994" s="113" t="s">
        <v>1238</v>
      </c>
      <c r="C994" s="113"/>
      <c r="D994" s="113">
        <v>0</v>
      </c>
      <c r="E994" s="4">
        <v>18</v>
      </c>
      <c r="F994" s="4">
        <v>10</v>
      </c>
      <c r="G994" s="4">
        <v>21</v>
      </c>
      <c r="H994" s="113">
        <v>7.0198999999999998</v>
      </c>
      <c r="I994" s="4">
        <v>1E-4</v>
      </c>
      <c r="J994" s="113">
        <v>-43.207999999999998</v>
      </c>
      <c r="K994" s="4">
        <v>8.0000000000000004E-4</v>
      </c>
      <c r="L994" s="4">
        <v>2.8000000000000001E-2</v>
      </c>
      <c r="M994" s="4">
        <v>4.0000000000000001E-3</v>
      </c>
      <c r="N994" s="4">
        <v>-4.5999999999999999E-3</v>
      </c>
      <c r="O994" s="4">
        <v>1E-4</v>
      </c>
      <c r="P994" s="4">
        <v>125.06</v>
      </c>
      <c r="Q994" s="4">
        <v>0.08</v>
      </c>
      <c r="R994" s="113">
        <f t="shared" si="71"/>
        <v>0.2430709426627794</v>
      </c>
      <c r="S994" s="22">
        <f t="shared" si="72"/>
        <v>1.5549076773566569E-4</v>
      </c>
    </row>
    <row r="995" spans="1:19">
      <c r="A995" s="109" t="s">
        <v>942</v>
      </c>
      <c r="B995" s="113" t="s">
        <v>1239</v>
      </c>
      <c r="C995" s="113"/>
      <c r="D995" s="113">
        <v>0</v>
      </c>
      <c r="E995" s="4">
        <v>18</v>
      </c>
      <c r="F995" s="4">
        <v>10</v>
      </c>
      <c r="G995" s="4">
        <v>21</v>
      </c>
      <c r="H995" s="113">
        <v>7.0198999999999998</v>
      </c>
      <c r="I995" s="4">
        <v>1E-4</v>
      </c>
      <c r="J995" s="113">
        <v>-43.207999999999998</v>
      </c>
      <c r="K995" s="4">
        <v>8.0000000000000004E-4</v>
      </c>
      <c r="L995" s="4">
        <v>2.8000000000000001E-2</v>
      </c>
      <c r="M995" s="4">
        <v>4.0000000000000001E-3</v>
      </c>
      <c r="N995" s="4">
        <v>-4.5999999999999999E-3</v>
      </c>
      <c r="O995" s="4">
        <v>1E-4</v>
      </c>
      <c r="P995" s="4">
        <v>125.06</v>
      </c>
      <c r="Q995" s="4">
        <v>0.08</v>
      </c>
      <c r="R995" s="113">
        <f t="shared" si="71"/>
        <v>0.2430709426627794</v>
      </c>
      <c r="S995" s="22">
        <f t="shared" si="72"/>
        <v>1.5549076773566569E-4</v>
      </c>
    </row>
    <row r="996" spans="1:19">
      <c r="A996" s="109" t="s">
        <v>943</v>
      </c>
      <c r="B996" s="113" t="s">
        <v>1240</v>
      </c>
      <c r="C996" s="113"/>
      <c r="D996" s="113">
        <v>0</v>
      </c>
      <c r="E996" s="4">
        <v>18</v>
      </c>
      <c r="F996" s="4">
        <v>10</v>
      </c>
      <c r="G996" s="4">
        <v>21</v>
      </c>
      <c r="H996" s="113">
        <v>7.0198999999999998</v>
      </c>
      <c r="I996" s="4">
        <v>1E-4</v>
      </c>
      <c r="J996" s="113">
        <v>-43.207999999999998</v>
      </c>
      <c r="K996" s="4">
        <v>8.0000000000000004E-4</v>
      </c>
      <c r="L996" s="4">
        <v>2.8000000000000001E-2</v>
      </c>
      <c r="M996" s="4">
        <v>4.0000000000000001E-3</v>
      </c>
      <c r="N996" s="4">
        <v>-4.5999999999999999E-3</v>
      </c>
      <c r="O996" s="4">
        <v>1E-4</v>
      </c>
      <c r="P996" s="4">
        <v>125.06</v>
      </c>
      <c r="Q996" s="4">
        <v>0.08</v>
      </c>
      <c r="R996" s="113">
        <f t="shared" si="71"/>
        <v>0.2430709426627794</v>
      </c>
      <c r="S996" s="22">
        <f t="shared" si="72"/>
        <v>1.5549076773566569E-4</v>
      </c>
    </row>
    <row r="997" spans="1:19">
      <c r="A997" s="109" t="s">
        <v>944</v>
      </c>
      <c r="B997" s="113" t="s">
        <v>1241</v>
      </c>
      <c r="C997" s="113"/>
      <c r="D997" s="113">
        <v>0</v>
      </c>
      <c r="E997" s="4">
        <v>18</v>
      </c>
      <c r="F997" s="4">
        <v>10</v>
      </c>
      <c r="G997" s="4">
        <v>21</v>
      </c>
      <c r="H997" s="113">
        <v>7.0198999999999998</v>
      </c>
      <c r="I997" s="4">
        <v>1E-4</v>
      </c>
      <c r="J997" s="113">
        <v>-43.207999999999998</v>
      </c>
      <c r="K997" s="4">
        <v>8.0000000000000004E-4</v>
      </c>
      <c r="L997" s="4">
        <v>2.8000000000000001E-2</v>
      </c>
      <c r="M997" s="4">
        <v>4.0000000000000001E-3</v>
      </c>
      <c r="N997" s="4">
        <v>-4.5999999999999999E-3</v>
      </c>
      <c r="O997" s="4">
        <v>1E-4</v>
      </c>
      <c r="P997" s="4">
        <v>125.06</v>
      </c>
      <c r="Q997" s="4">
        <v>0.08</v>
      </c>
      <c r="R997" s="113">
        <f t="shared" si="71"/>
        <v>0.2430709426627794</v>
      </c>
      <c r="S997" s="22">
        <f t="shared" si="72"/>
        <v>1.5549076773566569E-4</v>
      </c>
    </row>
    <row r="998" spans="1:19">
      <c r="A998" s="109" t="s">
        <v>945</v>
      </c>
      <c r="B998" s="113" t="s">
        <v>1242</v>
      </c>
      <c r="C998" s="113"/>
      <c r="D998" s="113">
        <v>0</v>
      </c>
      <c r="E998" s="4">
        <v>18</v>
      </c>
      <c r="F998" s="4">
        <v>10</v>
      </c>
      <c r="G998" s="4">
        <v>21</v>
      </c>
      <c r="H998" s="113">
        <v>7.0198999999999998</v>
      </c>
      <c r="I998" s="4">
        <v>1E-4</v>
      </c>
      <c r="J998" s="113">
        <v>-43.207999999999998</v>
      </c>
      <c r="K998" s="4">
        <v>8.0000000000000004E-4</v>
      </c>
      <c r="L998" s="4">
        <v>2.8000000000000001E-2</v>
      </c>
      <c r="M998" s="4">
        <v>4.0000000000000001E-3</v>
      </c>
      <c r="N998" s="4">
        <v>-4.5999999999999999E-3</v>
      </c>
      <c r="O998" s="4">
        <v>1E-4</v>
      </c>
      <c r="P998" s="4">
        <v>125.06</v>
      </c>
      <c r="Q998" s="4">
        <v>0.08</v>
      </c>
      <c r="R998" s="113">
        <f t="shared" si="71"/>
        <v>0.2430709426627794</v>
      </c>
      <c r="S998" s="22">
        <f t="shared" si="72"/>
        <v>1.5549076773566569E-4</v>
      </c>
    </row>
    <row r="999" spans="1:19">
      <c r="A999" s="109" t="s">
        <v>946</v>
      </c>
      <c r="B999" s="113" t="s">
        <v>1243</v>
      </c>
      <c r="C999" s="113"/>
      <c r="D999" s="113">
        <v>0</v>
      </c>
      <c r="E999" s="4">
        <v>18</v>
      </c>
      <c r="F999" s="4">
        <v>10</v>
      </c>
      <c r="G999" s="4">
        <v>21</v>
      </c>
      <c r="H999" s="113">
        <v>7.0198999999999998</v>
      </c>
      <c r="I999" s="4">
        <v>1E-4</v>
      </c>
      <c r="J999" s="113">
        <v>-43.207999999999998</v>
      </c>
      <c r="K999" s="4">
        <v>8.0000000000000004E-4</v>
      </c>
      <c r="L999" s="4">
        <v>2.8000000000000001E-2</v>
      </c>
      <c r="M999" s="4">
        <v>4.0000000000000001E-3</v>
      </c>
      <c r="N999" s="4">
        <v>-4.5999999999999999E-3</v>
      </c>
      <c r="O999" s="4">
        <v>1E-4</v>
      </c>
      <c r="P999" s="4">
        <v>125.06</v>
      </c>
      <c r="Q999" s="4">
        <v>0.08</v>
      </c>
      <c r="R999" s="113">
        <f t="shared" si="71"/>
        <v>0.2430709426627794</v>
      </c>
      <c r="S999" s="22">
        <f t="shared" si="72"/>
        <v>1.5549076773566569E-4</v>
      </c>
    </row>
    <row r="1000" spans="1:19">
      <c r="A1000" s="109" t="s">
        <v>947</v>
      </c>
      <c r="B1000" s="113" t="s">
        <v>1244</v>
      </c>
      <c r="C1000" s="113"/>
      <c r="D1000" s="113">
        <v>0</v>
      </c>
      <c r="E1000" s="4">
        <v>18</v>
      </c>
      <c r="F1000" s="4">
        <v>10</v>
      </c>
      <c r="G1000" s="4">
        <v>21</v>
      </c>
      <c r="H1000" s="113">
        <v>7.0198999999999998</v>
      </c>
      <c r="I1000" s="4">
        <v>1E-4</v>
      </c>
      <c r="J1000" s="113">
        <v>-43.207999999999998</v>
      </c>
      <c r="K1000" s="4">
        <v>8.0000000000000004E-4</v>
      </c>
      <c r="L1000" s="4">
        <v>2.8000000000000001E-2</v>
      </c>
      <c r="M1000" s="4">
        <v>4.0000000000000001E-3</v>
      </c>
      <c r="N1000" s="4">
        <v>-4.5999999999999999E-3</v>
      </c>
      <c r="O1000" s="4">
        <v>1E-4</v>
      </c>
      <c r="P1000" s="4">
        <v>125.06</v>
      </c>
      <c r="Q1000" s="4">
        <v>0.08</v>
      </c>
      <c r="R1000" s="113">
        <f t="shared" si="71"/>
        <v>0.2430709426627794</v>
      </c>
      <c r="S1000" s="22">
        <f t="shared" si="72"/>
        <v>1.5549076773566569E-4</v>
      </c>
    </row>
    <row r="1001" spans="1:19">
      <c r="A1001" s="109" t="s">
        <v>948</v>
      </c>
      <c r="B1001" s="113" t="s">
        <v>1245</v>
      </c>
      <c r="C1001" s="113"/>
      <c r="D1001" s="113">
        <v>0</v>
      </c>
      <c r="E1001" s="4">
        <v>18</v>
      </c>
      <c r="F1001" s="4">
        <v>10</v>
      </c>
      <c r="G1001" s="4">
        <v>21</v>
      </c>
      <c r="H1001" s="113">
        <v>7.0198999999999998</v>
      </c>
      <c r="I1001" s="4">
        <v>1E-4</v>
      </c>
      <c r="J1001" s="113">
        <v>-43.207999999999998</v>
      </c>
      <c r="K1001" s="4">
        <v>8.0000000000000004E-4</v>
      </c>
      <c r="L1001" s="4">
        <v>2.8000000000000001E-2</v>
      </c>
      <c r="M1001" s="4">
        <v>4.0000000000000001E-3</v>
      </c>
      <c r="N1001" s="4">
        <v>-4.5999999999999999E-3</v>
      </c>
      <c r="O1001" s="4">
        <v>1E-4</v>
      </c>
      <c r="P1001" s="4">
        <v>125.06</v>
      </c>
      <c r="Q1001" s="4">
        <v>0.08</v>
      </c>
      <c r="R1001" s="113">
        <f t="shared" si="71"/>
        <v>0.2430709426627794</v>
      </c>
      <c r="S1001" s="22">
        <f t="shared" si="72"/>
        <v>1.5549076773566569E-4</v>
      </c>
    </row>
    <row r="1002" spans="1:19">
      <c r="A1002" s="109" t="s">
        <v>949</v>
      </c>
      <c r="B1002" s="113" t="s">
        <v>1246</v>
      </c>
      <c r="C1002" s="113"/>
      <c r="D1002" s="113">
        <v>0</v>
      </c>
      <c r="E1002" s="4">
        <v>18</v>
      </c>
      <c r="F1002" s="4">
        <v>10</v>
      </c>
      <c r="G1002" s="4">
        <v>21</v>
      </c>
      <c r="H1002" s="113">
        <v>7.0198999999999998</v>
      </c>
      <c r="I1002" s="4">
        <v>1E-4</v>
      </c>
      <c r="J1002" s="113">
        <v>-43.207999999999998</v>
      </c>
      <c r="K1002" s="4">
        <v>8.0000000000000004E-4</v>
      </c>
      <c r="L1002" s="4">
        <v>2.8000000000000001E-2</v>
      </c>
      <c r="M1002" s="4">
        <v>4.0000000000000001E-3</v>
      </c>
      <c r="N1002" s="4">
        <v>-4.5999999999999999E-3</v>
      </c>
      <c r="O1002" s="4">
        <v>1E-4</v>
      </c>
      <c r="P1002" s="4">
        <v>125.06</v>
      </c>
      <c r="Q1002" s="4">
        <v>0.08</v>
      </c>
      <c r="R1002" s="113">
        <f t="shared" si="71"/>
        <v>0.2430709426627794</v>
      </c>
      <c r="S1002" s="22">
        <f t="shared" si="72"/>
        <v>1.5549076773566569E-4</v>
      </c>
    </row>
    <row r="1003" spans="1:19">
      <c r="A1003" s="109" t="s">
        <v>950</v>
      </c>
      <c r="B1003" s="113" t="s">
        <v>1247</v>
      </c>
      <c r="C1003" s="113"/>
      <c r="D1003" s="113">
        <v>0</v>
      </c>
      <c r="E1003" s="4">
        <v>18</v>
      </c>
      <c r="F1003" s="4">
        <v>10</v>
      </c>
      <c r="G1003" s="4">
        <v>21</v>
      </c>
      <c r="H1003" s="113">
        <v>7.0198999999999998</v>
      </c>
      <c r="I1003" s="4">
        <v>1E-4</v>
      </c>
      <c r="J1003" s="113">
        <v>-43.207999999999998</v>
      </c>
      <c r="K1003" s="4">
        <v>8.0000000000000004E-4</v>
      </c>
      <c r="L1003" s="4">
        <v>2.8000000000000001E-2</v>
      </c>
      <c r="M1003" s="4">
        <v>4.0000000000000001E-3</v>
      </c>
      <c r="N1003" s="4">
        <v>-4.5999999999999999E-3</v>
      </c>
      <c r="O1003" s="4">
        <v>1E-4</v>
      </c>
      <c r="P1003" s="4">
        <v>125.06</v>
      </c>
      <c r="Q1003" s="4">
        <v>0.08</v>
      </c>
      <c r="R1003" s="113">
        <f t="shared" si="71"/>
        <v>0.2430709426627794</v>
      </c>
      <c r="S1003" s="22">
        <f t="shared" si="72"/>
        <v>1.5549076773566569E-4</v>
      </c>
    </row>
    <row r="1004" spans="1:19">
      <c r="A1004" s="109" t="s">
        <v>951</v>
      </c>
      <c r="B1004" s="113" t="s">
        <v>1248</v>
      </c>
      <c r="C1004" s="113"/>
      <c r="D1004" s="113">
        <v>0</v>
      </c>
      <c r="E1004" s="4">
        <v>18</v>
      </c>
      <c r="F1004" s="4">
        <v>11</v>
      </c>
      <c r="G1004" s="4">
        <v>21</v>
      </c>
      <c r="H1004" s="113">
        <v>7.0198999999999998</v>
      </c>
      <c r="I1004" s="4">
        <v>1E-4</v>
      </c>
      <c r="J1004" s="113">
        <v>-43.207999999999998</v>
      </c>
      <c r="K1004" s="4">
        <v>8.0000000000000004E-4</v>
      </c>
      <c r="L1004" s="4">
        <v>2.8000000000000001E-2</v>
      </c>
      <c r="M1004" s="4">
        <v>4.0000000000000001E-3</v>
      </c>
      <c r="N1004" s="4">
        <v>-4.5999999999999999E-3</v>
      </c>
      <c r="O1004" s="4">
        <v>1E-4</v>
      </c>
      <c r="P1004" s="4">
        <v>125.06</v>
      </c>
      <c r="Q1004" s="4">
        <v>0.08</v>
      </c>
      <c r="R1004" s="113">
        <f t="shared" si="71"/>
        <v>0.2430709426627794</v>
      </c>
      <c r="S1004" s="22">
        <f t="shared" si="72"/>
        <v>1.5549076773566569E-4</v>
      </c>
    </row>
    <row r="1005" spans="1:19">
      <c r="A1005" s="109" t="s">
        <v>952</v>
      </c>
      <c r="B1005" s="113" t="s">
        <v>1249</v>
      </c>
      <c r="C1005" s="113"/>
      <c r="D1005" s="113">
        <v>0</v>
      </c>
      <c r="E1005" s="4">
        <v>18</v>
      </c>
      <c r="F1005" s="4">
        <v>11</v>
      </c>
      <c r="G1005" s="4">
        <v>21</v>
      </c>
      <c r="H1005" s="113">
        <v>7.0198999999999998</v>
      </c>
      <c r="I1005" s="4">
        <v>1E-4</v>
      </c>
      <c r="J1005" s="113">
        <v>-43.207999999999998</v>
      </c>
      <c r="K1005" s="4">
        <v>8.0000000000000004E-4</v>
      </c>
      <c r="L1005" s="4">
        <v>2.8000000000000001E-2</v>
      </c>
      <c r="M1005" s="4">
        <v>4.0000000000000001E-3</v>
      </c>
      <c r="N1005" s="4">
        <v>-4.5999999999999999E-3</v>
      </c>
      <c r="O1005" s="4">
        <v>1E-4</v>
      </c>
      <c r="P1005" s="4">
        <v>125.06</v>
      </c>
      <c r="Q1005" s="4">
        <v>0.08</v>
      </c>
      <c r="R1005" s="113">
        <f t="shared" si="71"/>
        <v>0.2430709426627794</v>
      </c>
      <c r="S1005" s="22">
        <f t="shared" si="72"/>
        <v>1.5549076773566569E-4</v>
      </c>
    </row>
    <row r="1006" spans="1:19">
      <c r="A1006" s="109" t="s">
        <v>953</v>
      </c>
      <c r="B1006" s="113" t="s">
        <v>1250</v>
      </c>
      <c r="C1006" s="113"/>
      <c r="D1006" s="113">
        <v>0</v>
      </c>
      <c r="E1006" s="4">
        <v>18</v>
      </c>
      <c r="F1006" s="4">
        <v>11</v>
      </c>
      <c r="G1006" s="4">
        <v>21</v>
      </c>
      <c r="H1006" s="113">
        <v>7.0198999999999998</v>
      </c>
      <c r="I1006" s="4">
        <v>1E-4</v>
      </c>
      <c r="J1006" s="113">
        <v>-43.207999999999998</v>
      </c>
      <c r="K1006" s="4">
        <v>8.0000000000000004E-4</v>
      </c>
      <c r="L1006" s="4">
        <v>2.8000000000000001E-2</v>
      </c>
      <c r="M1006" s="4">
        <v>4.0000000000000001E-3</v>
      </c>
      <c r="N1006" s="4">
        <v>-4.5999999999999999E-3</v>
      </c>
      <c r="O1006" s="4">
        <v>1E-4</v>
      </c>
      <c r="P1006" s="4">
        <v>125.06</v>
      </c>
      <c r="Q1006" s="4">
        <v>0.08</v>
      </c>
      <c r="R1006" s="113">
        <f t="shared" si="71"/>
        <v>0.2430709426627794</v>
      </c>
      <c r="S1006" s="22">
        <f t="shared" si="72"/>
        <v>1.5549076773566569E-4</v>
      </c>
    </row>
    <row r="1007" spans="1:19">
      <c r="A1007" s="109" t="s">
        <v>954</v>
      </c>
      <c r="B1007" s="113" t="s">
        <v>1251</v>
      </c>
      <c r="C1007" s="113"/>
      <c r="D1007" s="113">
        <v>0</v>
      </c>
      <c r="E1007" s="4">
        <v>18</v>
      </c>
      <c r="F1007" s="4">
        <v>11</v>
      </c>
      <c r="G1007" s="4">
        <v>21</v>
      </c>
      <c r="H1007" s="113">
        <v>7.0198999999999998</v>
      </c>
      <c r="I1007" s="4">
        <v>1E-4</v>
      </c>
      <c r="J1007" s="113">
        <v>-43.207999999999998</v>
      </c>
      <c r="K1007" s="4">
        <v>8.0000000000000004E-4</v>
      </c>
      <c r="L1007" s="4">
        <v>2.8000000000000001E-2</v>
      </c>
      <c r="M1007" s="4">
        <v>4.0000000000000001E-3</v>
      </c>
      <c r="N1007" s="4">
        <v>-4.5999999999999999E-3</v>
      </c>
      <c r="O1007" s="4">
        <v>1E-4</v>
      </c>
      <c r="P1007" s="4">
        <v>125.06</v>
      </c>
      <c r="Q1007" s="4">
        <v>0.08</v>
      </c>
      <c r="R1007" s="113">
        <f t="shared" si="71"/>
        <v>0.2430709426627794</v>
      </c>
      <c r="S1007" s="22">
        <f t="shared" si="72"/>
        <v>1.5549076773566569E-4</v>
      </c>
    </row>
    <row r="1008" spans="1:19">
      <c r="A1008" s="109" t="s">
        <v>955</v>
      </c>
      <c r="B1008" s="113" t="s">
        <v>1252</v>
      </c>
      <c r="C1008" s="113"/>
      <c r="D1008" s="113">
        <v>0</v>
      </c>
      <c r="E1008" s="4">
        <v>18</v>
      </c>
      <c r="F1008" s="4">
        <v>11</v>
      </c>
      <c r="G1008" s="4">
        <v>21</v>
      </c>
      <c r="H1008" s="113">
        <v>7.0198999999999998</v>
      </c>
      <c r="I1008" s="4">
        <v>1E-4</v>
      </c>
      <c r="J1008" s="113">
        <v>-43.207999999999998</v>
      </c>
      <c r="K1008" s="4">
        <v>8.0000000000000004E-4</v>
      </c>
      <c r="L1008" s="4">
        <v>2.8000000000000001E-2</v>
      </c>
      <c r="M1008" s="4">
        <v>4.0000000000000001E-3</v>
      </c>
      <c r="N1008" s="4">
        <v>-4.5999999999999999E-3</v>
      </c>
      <c r="O1008" s="4">
        <v>1E-4</v>
      </c>
      <c r="P1008" s="4">
        <v>125.06</v>
      </c>
      <c r="Q1008" s="4">
        <v>0.08</v>
      </c>
      <c r="R1008" s="113">
        <f t="shared" si="71"/>
        <v>0.2430709426627794</v>
      </c>
      <c r="S1008" s="22">
        <f t="shared" si="72"/>
        <v>1.5549076773566569E-4</v>
      </c>
    </row>
    <row r="1009" spans="1:19">
      <c r="A1009" s="109" t="s">
        <v>956</v>
      </c>
      <c r="B1009" s="113" t="s">
        <v>1253</v>
      </c>
      <c r="C1009" s="113"/>
      <c r="D1009" s="113">
        <v>0</v>
      </c>
      <c r="E1009" s="4">
        <v>18</v>
      </c>
      <c r="F1009" s="4">
        <v>11</v>
      </c>
      <c r="G1009" s="4">
        <v>21</v>
      </c>
      <c r="H1009" s="113">
        <v>7.0198999999999998</v>
      </c>
      <c r="I1009" s="4">
        <v>1E-4</v>
      </c>
      <c r="J1009" s="113">
        <v>-43.207999999999998</v>
      </c>
      <c r="K1009" s="4">
        <v>8.0000000000000004E-4</v>
      </c>
      <c r="L1009" s="4">
        <v>2.8000000000000001E-2</v>
      </c>
      <c r="M1009" s="4">
        <v>4.0000000000000001E-3</v>
      </c>
      <c r="N1009" s="4">
        <v>-4.5999999999999999E-3</v>
      </c>
      <c r="O1009" s="4">
        <v>1E-4</v>
      </c>
      <c r="P1009" s="4">
        <v>125.06</v>
      </c>
      <c r="Q1009" s="4">
        <v>0.08</v>
      </c>
      <c r="R1009" s="113">
        <f t="shared" si="71"/>
        <v>0.2430709426627794</v>
      </c>
      <c r="S1009" s="22">
        <f t="shared" si="72"/>
        <v>1.5549076773566569E-4</v>
      </c>
    </row>
    <row r="1010" spans="1:19">
      <c r="A1010" s="109" t="s">
        <v>957</v>
      </c>
      <c r="B1010" s="113" t="s">
        <v>1254</v>
      </c>
      <c r="C1010" s="113"/>
      <c r="D1010" s="113">
        <v>0</v>
      </c>
      <c r="E1010" s="4">
        <v>18</v>
      </c>
      <c r="F1010" s="4">
        <v>11</v>
      </c>
      <c r="G1010" s="4">
        <v>21</v>
      </c>
      <c r="H1010" s="113">
        <v>7.0198999999999998</v>
      </c>
      <c r="I1010" s="4">
        <v>1E-4</v>
      </c>
      <c r="J1010" s="113">
        <v>-43.207999999999998</v>
      </c>
      <c r="K1010" s="4">
        <v>8.0000000000000004E-4</v>
      </c>
      <c r="L1010" s="4">
        <v>2.8000000000000001E-2</v>
      </c>
      <c r="M1010" s="4">
        <v>4.0000000000000001E-3</v>
      </c>
      <c r="N1010" s="4">
        <v>-4.5999999999999999E-3</v>
      </c>
      <c r="O1010" s="4">
        <v>1E-4</v>
      </c>
      <c r="P1010" s="4">
        <v>125.06</v>
      </c>
      <c r="Q1010" s="4">
        <v>0.08</v>
      </c>
      <c r="R1010" s="113">
        <f t="shared" si="71"/>
        <v>0.2430709426627794</v>
      </c>
      <c r="S1010" s="22">
        <f t="shared" si="72"/>
        <v>1.5549076773566569E-4</v>
      </c>
    </row>
    <row r="1011" spans="1:19">
      <c r="A1011" s="109" t="s">
        <v>958</v>
      </c>
      <c r="B1011" s="113" t="s">
        <v>1255</v>
      </c>
      <c r="C1011" s="113"/>
      <c r="D1011" s="113">
        <v>0</v>
      </c>
      <c r="E1011" s="4">
        <v>18</v>
      </c>
      <c r="F1011" s="4">
        <v>11</v>
      </c>
      <c r="G1011" s="4">
        <v>21</v>
      </c>
      <c r="H1011" s="113">
        <v>7.0198999999999998</v>
      </c>
      <c r="I1011" s="4">
        <v>1E-4</v>
      </c>
      <c r="J1011" s="113">
        <v>-43.207999999999998</v>
      </c>
      <c r="K1011" s="4">
        <v>8.0000000000000004E-4</v>
      </c>
      <c r="L1011" s="4">
        <v>2.8000000000000001E-2</v>
      </c>
      <c r="M1011" s="4">
        <v>4.0000000000000001E-3</v>
      </c>
      <c r="N1011" s="4">
        <v>-4.5999999999999999E-3</v>
      </c>
      <c r="O1011" s="4">
        <v>1E-4</v>
      </c>
      <c r="P1011" s="4">
        <v>125.06</v>
      </c>
      <c r="Q1011" s="4">
        <v>0.08</v>
      </c>
      <c r="R1011" s="113">
        <f t="shared" si="71"/>
        <v>0.2430709426627794</v>
      </c>
      <c r="S1011" s="22">
        <f t="shared" si="72"/>
        <v>1.5549076773566569E-4</v>
      </c>
    </row>
    <row r="1012" spans="1:19">
      <c r="A1012" s="109" t="s">
        <v>959</v>
      </c>
      <c r="B1012" s="113" t="s">
        <v>1256</v>
      </c>
      <c r="C1012" s="113"/>
      <c r="D1012" s="113">
        <v>0</v>
      </c>
      <c r="E1012" s="4">
        <v>18</v>
      </c>
      <c r="F1012" s="4">
        <v>11</v>
      </c>
      <c r="G1012" s="4">
        <v>21</v>
      </c>
      <c r="H1012" s="113">
        <v>7.0198999999999998</v>
      </c>
      <c r="I1012" s="4">
        <v>1E-4</v>
      </c>
      <c r="J1012" s="113">
        <v>-43.207999999999998</v>
      </c>
      <c r="K1012" s="4">
        <v>8.0000000000000004E-4</v>
      </c>
      <c r="L1012" s="4">
        <v>2.8000000000000001E-2</v>
      </c>
      <c r="M1012" s="4">
        <v>4.0000000000000001E-3</v>
      </c>
      <c r="N1012" s="4">
        <v>-4.5999999999999999E-3</v>
      </c>
      <c r="O1012" s="4">
        <v>1E-4</v>
      </c>
      <c r="P1012" s="4">
        <v>125.06</v>
      </c>
      <c r="Q1012" s="4">
        <v>0.08</v>
      </c>
      <c r="R1012" s="113">
        <f t="shared" si="71"/>
        <v>0.2430709426627794</v>
      </c>
      <c r="S1012" s="22">
        <f t="shared" si="72"/>
        <v>1.5549076773566569E-4</v>
      </c>
    </row>
    <row r="1013" spans="1:19">
      <c r="A1013" s="109" t="s">
        <v>960</v>
      </c>
      <c r="B1013" s="113" t="s">
        <v>1257</v>
      </c>
      <c r="C1013" s="113"/>
      <c r="D1013" s="113">
        <v>0</v>
      </c>
      <c r="E1013" s="4">
        <v>18</v>
      </c>
      <c r="F1013" s="4">
        <v>11</v>
      </c>
      <c r="G1013" s="4">
        <v>21</v>
      </c>
      <c r="H1013" s="113">
        <v>7.0198999999999998</v>
      </c>
      <c r="I1013" s="4">
        <v>1E-4</v>
      </c>
      <c r="J1013" s="113">
        <v>-43.207999999999998</v>
      </c>
      <c r="K1013" s="4">
        <v>8.0000000000000004E-4</v>
      </c>
      <c r="L1013" s="4">
        <v>2.8000000000000001E-2</v>
      </c>
      <c r="M1013" s="4">
        <v>4.0000000000000001E-3</v>
      </c>
      <c r="N1013" s="4">
        <v>-4.5999999999999999E-3</v>
      </c>
      <c r="O1013" s="4">
        <v>1E-4</v>
      </c>
      <c r="P1013" s="4">
        <v>125.06</v>
      </c>
      <c r="Q1013" s="4">
        <v>0.08</v>
      </c>
      <c r="R1013" s="113">
        <f t="shared" si="71"/>
        <v>0.2430709426627794</v>
      </c>
      <c r="S1013" s="22">
        <f t="shared" si="72"/>
        <v>1.5549076773566569E-4</v>
      </c>
    </row>
    <row r="1014" spans="1:19">
      <c r="A1014" s="109" t="s">
        <v>961</v>
      </c>
      <c r="B1014" s="113" t="s">
        <v>1258</v>
      </c>
      <c r="C1014" s="113"/>
      <c r="D1014" s="113">
        <v>0</v>
      </c>
      <c r="E1014" s="4">
        <v>18</v>
      </c>
      <c r="F1014" s="4">
        <v>11</v>
      </c>
      <c r="G1014" s="4">
        <v>21</v>
      </c>
      <c r="H1014" s="113">
        <v>7.0198999999999998</v>
      </c>
      <c r="I1014" s="4">
        <v>1E-4</v>
      </c>
      <c r="J1014" s="113">
        <v>-43.207999999999998</v>
      </c>
      <c r="K1014" s="4">
        <v>8.0000000000000004E-4</v>
      </c>
      <c r="L1014" s="4">
        <v>2.8000000000000001E-2</v>
      </c>
      <c r="M1014" s="4">
        <v>4.0000000000000001E-3</v>
      </c>
      <c r="N1014" s="4">
        <v>-4.5999999999999999E-3</v>
      </c>
      <c r="O1014" s="4">
        <v>1E-4</v>
      </c>
      <c r="P1014" s="4">
        <v>125.06</v>
      </c>
      <c r="Q1014" s="4">
        <v>0.08</v>
      </c>
      <c r="R1014" s="113">
        <f t="shared" si="71"/>
        <v>0.2430709426627794</v>
      </c>
      <c r="S1014" s="22">
        <f t="shared" si="72"/>
        <v>1.5549076773566569E-4</v>
      </c>
    </row>
    <row r="1015" spans="1:19">
      <c r="A1015" s="109" t="s">
        <v>962</v>
      </c>
      <c r="B1015" s="113" t="s">
        <v>1259</v>
      </c>
      <c r="C1015" s="113"/>
      <c r="D1015" s="113">
        <v>0</v>
      </c>
      <c r="E1015" s="4">
        <v>18</v>
      </c>
      <c r="F1015" s="4">
        <v>11</v>
      </c>
      <c r="G1015" s="4">
        <v>21</v>
      </c>
      <c r="H1015" s="113">
        <v>7.0198999999999998</v>
      </c>
      <c r="I1015" s="4">
        <v>1E-4</v>
      </c>
      <c r="J1015" s="113">
        <v>-43.207999999999998</v>
      </c>
      <c r="K1015" s="4">
        <v>8.0000000000000004E-4</v>
      </c>
      <c r="L1015" s="4">
        <v>2.8000000000000001E-2</v>
      </c>
      <c r="M1015" s="4">
        <v>4.0000000000000001E-3</v>
      </c>
      <c r="N1015" s="4">
        <v>-4.5999999999999999E-3</v>
      </c>
      <c r="O1015" s="4">
        <v>1E-4</v>
      </c>
      <c r="P1015" s="4">
        <v>125.06</v>
      </c>
      <c r="Q1015" s="4">
        <v>0.08</v>
      </c>
      <c r="R1015" s="113">
        <f t="shared" si="71"/>
        <v>0.2430709426627794</v>
      </c>
      <c r="S1015" s="22">
        <f t="shared" si="72"/>
        <v>1.5549076773566569E-4</v>
      </c>
    </row>
    <row r="1016" spans="1:19">
      <c r="A1016" s="109" t="s">
        <v>963</v>
      </c>
      <c r="B1016" s="113" t="s">
        <v>1260</v>
      </c>
      <c r="C1016" s="113"/>
      <c r="D1016" s="113">
        <v>0</v>
      </c>
      <c r="E1016" s="4">
        <v>18</v>
      </c>
      <c r="F1016" s="4">
        <v>11</v>
      </c>
      <c r="G1016" s="4">
        <v>21</v>
      </c>
      <c r="H1016" s="113">
        <v>7.0198999999999998</v>
      </c>
      <c r="I1016" s="4">
        <v>1E-4</v>
      </c>
      <c r="J1016" s="113">
        <v>-43.207999999999998</v>
      </c>
      <c r="K1016" s="4">
        <v>8.0000000000000004E-4</v>
      </c>
      <c r="L1016" s="4">
        <v>2.8000000000000001E-2</v>
      </c>
      <c r="M1016" s="4">
        <v>4.0000000000000001E-3</v>
      </c>
      <c r="N1016" s="4">
        <v>-4.5999999999999999E-3</v>
      </c>
      <c r="O1016" s="4">
        <v>1E-4</v>
      </c>
      <c r="P1016" s="4">
        <v>125.06</v>
      </c>
      <c r="Q1016" s="4">
        <v>0.08</v>
      </c>
      <c r="R1016" s="113">
        <f t="shared" si="71"/>
        <v>0.2430709426627794</v>
      </c>
      <c r="S1016" s="22">
        <f t="shared" si="72"/>
        <v>1.5549076773566569E-4</v>
      </c>
    </row>
    <row r="1017" spans="1:19">
      <c r="A1017" s="109" t="s">
        <v>964</v>
      </c>
      <c r="B1017" s="113" t="s">
        <v>1261</v>
      </c>
      <c r="C1017" s="113"/>
      <c r="D1017" s="113">
        <v>0</v>
      </c>
      <c r="E1017" s="4">
        <v>18</v>
      </c>
      <c r="F1017" s="4">
        <v>11</v>
      </c>
      <c r="G1017" s="4">
        <v>21</v>
      </c>
      <c r="H1017" s="113">
        <v>7.0198999999999998</v>
      </c>
      <c r="I1017" s="4">
        <v>1E-4</v>
      </c>
      <c r="J1017" s="113">
        <v>-43.207999999999998</v>
      </c>
      <c r="K1017" s="4">
        <v>8.0000000000000004E-4</v>
      </c>
      <c r="L1017" s="4">
        <v>2.8000000000000001E-2</v>
      </c>
      <c r="M1017" s="4">
        <v>4.0000000000000001E-3</v>
      </c>
      <c r="N1017" s="4">
        <v>-4.5999999999999999E-3</v>
      </c>
      <c r="O1017" s="4">
        <v>1E-4</v>
      </c>
      <c r="P1017" s="4">
        <v>125.06</v>
      </c>
      <c r="Q1017" s="4">
        <v>0.08</v>
      </c>
      <c r="R1017" s="113">
        <f t="shared" si="71"/>
        <v>0.2430709426627794</v>
      </c>
      <c r="S1017" s="22">
        <f t="shared" si="72"/>
        <v>1.5549076773566569E-4</v>
      </c>
    </row>
    <row r="1018" spans="1:19">
      <c r="A1018" s="109" t="s">
        <v>965</v>
      </c>
      <c r="B1018" s="113" t="s">
        <v>1262</v>
      </c>
      <c r="C1018" s="113"/>
      <c r="D1018" s="113">
        <v>0</v>
      </c>
      <c r="E1018" s="4">
        <v>18</v>
      </c>
      <c r="F1018" s="4">
        <v>11</v>
      </c>
      <c r="G1018" s="4">
        <v>21</v>
      </c>
      <c r="H1018" s="113">
        <v>7.0198999999999998</v>
      </c>
      <c r="I1018" s="4">
        <v>1E-4</v>
      </c>
      <c r="J1018" s="113">
        <v>-43.207999999999998</v>
      </c>
      <c r="K1018" s="4">
        <v>8.0000000000000004E-4</v>
      </c>
      <c r="L1018" s="4">
        <v>2.8000000000000001E-2</v>
      </c>
      <c r="M1018" s="4">
        <v>4.0000000000000001E-3</v>
      </c>
      <c r="N1018" s="4">
        <v>-4.5999999999999999E-3</v>
      </c>
      <c r="O1018" s="4">
        <v>1E-4</v>
      </c>
      <c r="P1018" s="4">
        <v>125.06</v>
      </c>
      <c r="Q1018" s="4">
        <v>0.08</v>
      </c>
      <c r="R1018" s="113">
        <f t="shared" si="71"/>
        <v>0.2430709426627794</v>
      </c>
      <c r="S1018" s="22">
        <f t="shared" si="72"/>
        <v>1.5549076773566569E-4</v>
      </c>
    </row>
    <row r="1019" spans="1:19">
      <c r="A1019" s="109" t="s">
        <v>966</v>
      </c>
      <c r="B1019" s="113" t="s">
        <v>1263</v>
      </c>
      <c r="C1019" s="113"/>
      <c r="D1019" s="113">
        <v>0</v>
      </c>
      <c r="E1019" s="4">
        <v>18</v>
      </c>
      <c r="F1019" s="4">
        <v>11</v>
      </c>
      <c r="G1019" s="4">
        <v>21</v>
      </c>
      <c r="H1019" s="113">
        <v>7.0198999999999998</v>
      </c>
      <c r="I1019" s="4">
        <v>1E-4</v>
      </c>
      <c r="J1019" s="113">
        <v>-43.207999999999998</v>
      </c>
      <c r="K1019" s="4">
        <v>8.0000000000000004E-4</v>
      </c>
      <c r="L1019" s="4">
        <v>2.8000000000000001E-2</v>
      </c>
      <c r="M1019" s="4">
        <v>4.0000000000000001E-3</v>
      </c>
      <c r="N1019" s="4">
        <v>-4.5999999999999999E-3</v>
      </c>
      <c r="O1019" s="4">
        <v>1E-4</v>
      </c>
      <c r="P1019" s="4">
        <v>125.06</v>
      </c>
      <c r="Q1019" s="4">
        <v>0.08</v>
      </c>
      <c r="R1019" s="113">
        <f t="shared" si="71"/>
        <v>0.2430709426627794</v>
      </c>
      <c r="S1019" s="22">
        <f t="shared" si="72"/>
        <v>1.5549076773566569E-4</v>
      </c>
    </row>
    <row r="1020" spans="1:19">
      <c r="A1020" s="109" t="s">
        <v>967</v>
      </c>
      <c r="B1020" s="113" t="s">
        <v>1264</v>
      </c>
      <c r="C1020" s="113"/>
      <c r="D1020" s="113">
        <v>0</v>
      </c>
      <c r="E1020" s="4">
        <v>18</v>
      </c>
      <c r="F1020" s="4">
        <v>11</v>
      </c>
      <c r="G1020" s="4">
        <v>21</v>
      </c>
      <c r="H1020" s="113">
        <v>7.0198999999999998</v>
      </c>
      <c r="I1020" s="4">
        <v>1E-4</v>
      </c>
      <c r="J1020" s="113">
        <v>-43.207999999999998</v>
      </c>
      <c r="K1020" s="4">
        <v>8.0000000000000004E-4</v>
      </c>
      <c r="L1020" s="4">
        <v>2.8000000000000001E-2</v>
      </c>
      <c r="M1020" s="4">
        <v>4.0000000000000001E-3</v>
      </c>
      <c r="N1020" s="4">
        <v>-4.5999999999999999E-3</v>
      </c>
      <c r="O1020" s="4">
        <v>1E-4</v>
      </c>
      <c r="P1020" s="4">
        <v>125.06</v>
      </c>
      <c r="Q1020" s="4">
        <v>0.08</v>
      </c>
      <c r="R1020" s="113">
        <f t="shared" si="71"/>
        <v>0.2430709426627794</v>
      </c>
      <c r="S1020" s="22">
        <f t="shared" si="72"/>
        <v>1.5549076773566569E-4</v>
      </c>
    </row>
    <row r="1021" spans="1:19">
      <c r="A1021" s="109" t="s">
        <v>968</v>
      </c>
      <c r="B1021" s="113" t="s">
        <v>1265</v>
      </c>
      <c r="C1021" s="113"/>
      <c r="D1021" s="113">
        <v>0</v>
      </c>
      <c r="E1021" s="4">
        <v>18</v>
      </c>
      <c r="F1021" s="4">
        <v>11</v>
      </c>
      <c r="G1021" s="4">
        <v>21</v>
      </c>
      <c r="H1021" s="113">
        <v>7.0198999999999998</v>
      </c>
      <c r="I1021" s="4">
        <v>1E-4</v>
      </c>
      <c r="J1021" s="113">
        <v>-43.207999999999998</v>
      </c>
      <c r="K1021" s="4">
        <v>8.0000000000000004E-4</v>
      </c>
      <c r="L1021" s="4">
        <v>2.8000000000000001E-2</v>
      </c>
      <c r="M1021" s="4">
        <v>4.0000000000000001E-3</v>
      </c>
      <c r="N1021" s="4">
        <v>-4.5999999999999999E-3</v>
      </c>
      <c r="O1021" s="4">
        <v>1E-4</v>
      </c>
      <c r="P1021" s="4">
        <v>125.06</v>
      </c>
      <c r="Q1021" s="4">
        <v>0.08</v>
      </c>
      <c r="R1021" s="113">
        <f t="shared" si="71"/>
        <v>0.2430709426627794</v>
      </c>
      <c r="S1021" s="22">
        <f t="shared" si="72"/>
        <v>1.5549076773566569E-4</v>
      </c>
    </row>
    <row r="1022" spans="1:19">
      <c r="A1022" s="109" t="s">
        <v>969</v>
      </c>
      <c r="B1022" s="113" t="s">
        <v>1266</v>
      </c>
      <c r="C1022" s="113"/>
      <c r="D1022" s="113">
        <v>0</v>
      </c>
      <c r="E1022" s="4">
        <v>18</v>
      </c>
      <c r="F1022" s="4">
        <v>11</v>
      </c>
      <c r="G1022" s="4">
        <v>21</v>
      </c>
      <c r="H1022" s="113">
        <v>7.0198999999999998</v>
      </c>
      <c r="I1022" s="4">
        <v>1E-4</v>
      </c>
      <c r="J1022" s="113">
        <v>-43.207999999999998</v>
      </c>
      <c r="K1022" s="4">
        <v>8.0000000000000004E-4</v>
      </c>
      <c r="L1022" s="4">
        <v>2.8000000000000001E-2</v>
      </c>
      <c r="M1022" s="4">
        <v>4.0000000000000001E-3</v>
      </c>
      <c r="N1022" s="4">
        <v>-4.5999999999999999E-3</v>
      </c>
      <c r="O1022" s="4">
        <v>1E-4</v>
      </c>
      <c r="P1022" s="4">
        <v>125.06</v>
      </c>
      <c r="Q1022" s="4">
        <v>0.08</v>
      </c>
      <c r="R1022" s="113">
        <f t="shared" si="71"/>
        <v>0.2430709426627794</v>
      </c>
      <c r="S1022" s="22">
        <f t="shared" si="72"/>
        <v>1.5549076773566569E-4</v>
      </c>
    </row>
    <row r="1023" spans="1:19">
      <c r="A1023" s="109" t="s">
        <v>970</v>
      </c>
      <c r="B1023" s="113" t="s">
        <v>1267</v>
      </c>
      <c r="C1023" s="113"/>
      <c r="D1023" s="113">
        <v>0</v>
      </c>
      <c r="E1023" s="4">
        <v>18</v>
      </c>
      <c r="F1023" s="4">
        <v>11</v>
      </c>
      <c r="G1023" s="4">
        <v>21</v>
      </c>
      <c r="H1023" s="113">
        <v>7.0198999999999998</v>
      </c>
      <c r="I1023" s="4">
        <v>1E-4</v>
      </c>
      <c r="J1023" s="113">
        <v>-43.207999999999998</v>
      </c>
      <c r="K1023" s="4">
        <v>8.0000000000000004E-4</v>
      </c>
      <c r="L1023" s="4">
        <v>2.8000000000000001E-2</v>
      </c>
      <c r="M1023" s="4">
        <v>4.0000000000000001E-3</v>
      </c>
      <c r="N1023" s="4">
        <v>-4.5999999999999999E-3</v>
      </c>
      <c r="O1023" s="4">
        <v>1E-4</v>
      </c>
      <c r="P1023" s="4">
        <v>125.06</v>
      </c>
      <c r="Q1023" s="4">
        <v>0.08</v>
      </c>
      <c r="R1023" s="113">
        <f t="shared" si="71"/>
        <v>0.2430709426627794</v>
      </c>
      <c r="S1023" s="22">
        <f t="shared" si="72"/>
        <v>1.5549076773566569E-4</v>
      </c>
    </row>
    <row r="1024" spans="1:19">
      <c r="A1024" s="109" t="s">
        <v>971</v>
      </c>
      <c r="B1024" s="113" t="s">
        <v>1268</v>
      </c>
      <c r="C1024" s="113"/>
      <c r="D1024" s="113">
        <v>0</v>
      </c>
      <c r="E1024" s="4">
        <v>18</v>
      </c>
      <c r="F1024" s="4">
        <v>11</v>
      </c>
      <c r="G1024" s="4">
        <v>21</v>
      </c>
      <c r="H1024" s="113">
        <v>7.0198999999999998</v>
      </c>
      <c r="I1024" s="4">
        <v>1E-4</v>
      </c>
      <c r="J1024" s="113">
        <v>-43.207999999999998</v>
      </c>
      <c r="K1024" s="4">
        <v>8.0000000000000004E-4</v>
      </c>
      <c r="L1024" s="4">
        <v>2.8000000000000001E-2</v>
      </c>
      <c r="M1024" s="4">
        <v>4.0000000000000001E-3</v>
      </c>
      <c r="N1024" s="4">
        <v>-4.5999999999999999E-3</v>
      </c>
      <c r="O1024" s="4">
        <v>1E-4</v>
      </c>
      <c r="P1024" s="4">
        <v>125.06</v>
      </c>
      <c r="Q1024" s="4">
        <v>0.08</v>
      </c>
      <c r="R1024" s="113">
        <f t="shared" si="71"/>
        <v>0.2430709426627794</v>
      </c>
      <c r="S1024" s="22">
        <f t="shared" si="72"/>
        <v>1.5549076773566569E-4</v>
      </c>
    </row>
    <row r="1025" spans="1:19">
      <c r="A1025" s="109" t="s">
        <v>972</v>
      </c>
      <c r="B1025" s="113" t="s">
        <v>1269</v>
      </c>
      <c r="C1025" s="113"/>
      <c r="D1025" s="113">
        <v>0</v>
      </c>
      <c r="E1025" s="4">
        <v>18</v>
      </c>
      <c r="F1025" s="4">
        <v>11</v>
      </c>
      <c r="G1025" s="4">
        <v>21</v>
      </c>
      <c r="H1025" s="113">
        <v>7.0198999999999998</v>
      </c>
      <c r="I1025" s="4">
        <v>1E-4</v>
      </c>
      <c r="J1025" s="113">
        <v>-43.207999999999998</v>
      </c>
      <c r="K1025" s="4">
        <v>8.0000000000000004E-4</v>
      </c>
      <c r="L1025" s="4">
        <v>2.8000000000000001E-2</v>
      </c>
      <c r="M1025" s="4">
        <v>4.0000000000000001E-3</v>
      </c>
      <c r="N1025" s="4">
        <v>-4.5999999999999999E-3</v>
      </c>
      <c r="O1025" s="4">
        <v>1E-4</v>
      </c>
      <c r="P1025" s="4">
        <v>125.06</v>
      </c>
      <c r="Q1025" s="4">
        <v>0.08</v>
      </c>
      <c r="R1025" s="113">
        <f t="shared" si="71"/>
        <v>0.2430709426627794</v>
      </c>
      <c r="S1025" s="22">
        <f t="shared" si="72"/>
        <v>1.5549076773566569E-4</v>
      </c>
    </row>
    <row r="1026" spans="1:19">
      <c r="A1026" s="109" t="s">
        <v>973</v>
      </c>
      <c r="B1026" s="113" t="s">
        <v>1270</v>
      </c>
      <c r="C1026" s="113"/>
      <c r="D1026" s="113">
        <v>0</v>
      </c>
      <c r="E1026" s="4">
        <v>18</v>
      </c>
      <c r="F1026" s="4">
        <v>11</v>
      </c>
      <c r="G1026" s="4">
        <v>21</v>
      </c>
      <c r="H1026" s="113">
        <v>7.0198999999999998</v>
      </c>
      <c r="I1026" s="4">
        <v>1E-4</v>
      </c>
      <c r="J1026" s="113">
        <v>-43.207999999999998</v>
      </c>
      <c r="K1026" s="4">
        <v>8.0000000000000004E-4</v>
      </c>
      <c r="L1026" s="4">
        <v>2.8000000000000001E-2</v>
      </c>
      <c r="M1026" s="4">
        <v>4.0000000000000001E-3</v>
      </c>
      <c r="N1026" s="4">
        <v>-4.5999999999999999E-3</v>
      </c>
      <c r="O1026" s="4">
        <v>1E-4</v>
      </c>
      <c r="P1026" s="4">
        <v>125.06</v>
      </c>
      <c r="Q1026" s="4">
        <v>0.08</v>
      </c>
      <c r="R1026" s="113">
        <f t="shared" si="71"/>
        <v>0.2430709426627794</v>
      </c>
      <c r="S1026" s="22">
        <f t="shared" si="72"/>
        <v>1.5549076773566569E-4</v>
      </c>
    </row>
    <row r="1027" spans="1:19">
      <c r="A1027" s="109" t="s">
        <v>974</v>
      </c>
      <c r="B1027" s="113" t="s">
        <v>1271</v>
      </c>
      <c r="C1027" s="113"/>
      <c r="D1027" s="113">
        <v>0</v>
      </c>
      <c r="E1027" s="4">
        <v>18</v>
      </c>
      <c r="F1027" s="4">
        <v>11</v>
      </c>
      <c r="G1027" s="4">
        <v>21</v>
      </c>
      <c r="H1027" s="113">
        <v>7.0198999999999998</v>
      </c>
      <c r="I1027" s="4">
        <v>1E-4</v>
      </c>
      <c r="J1027" s="113">
        <v>-43.207999999999998</v>
      </c>
      <c r="K1027" s="4">
        <v>8.0000000000000004E-4</v>
      </c>
      <c r="L1027" s="4">
        <v>2.8000000000000001E-2</v>
      </c>
      <c r="M1027" s="4">
        <v>4.0000000000000001E-3</v>
      </c>
      <c r="N1027" s="4">
        <v>-4.5999999999999999E-3</v>
      </c>
      <c r="O1027" s="4">
        <v>1E-4</v>
      </c>
      <c r="P1027" s="4">
        <v>125.06</v>
      </c>
      <c r="Q1027" s="4">
        <v>0.08</v>
      </c>
      <c r="R1027" s="113">
        <f t="shared" si="71"/>
        <v>0.2430709426627794</v>
      </c>
      <c r="S1027" s="22">
        <f t="shared" si="72"/>
        <v>1.5549076773566569E-4</v>
      </c>
    </row>
    <row r="1028" spans="1:19">
      <c r="A1028" s="109" t="s">
        <v>975</v>
      </c>
      <c r="B1028" s="113" t="s">
        <v>1272</v>
      </c>
      <c r="C1028" s="113"/>
      <c r="D1028" s="113">
        <v>0</v>
      </c>
      <c r="E1028" s="4">
        <v>18</v>
      </c>
      <c r="F1028" s="4">
        <v>11</v>
      </c>
      <c r="G1028" s="4">
        <v>21</v>
      </c>
      <c r="H1028" s="113">
        <v>7.0198999999999998</v>
      </c>
      <c r="I1028" s="4">
        <v>1E-4</v>
      </c>
      <c r="J1028" s="113">
        <v>-43.207999999999998</v>
      </c>
      <c r="K1028" s="4">
        <v>8.0000000000000004E-4</v>
      </c>
      <c r="L1028" s="4">
        <v>2.8000000000000001E-2</v>
      </c>
      <c r="M1028" s="4">
        <v>4.0000000000000001E-3</v>
      </c>
      <c r="N1028" s="4">
        <v>-4.5999999999999999E-3</v>
      </c>
      <c r="O1028" s="4">
        <v>1E-4</v>
      </c>
      <c r="P1028" s="4">
        <v>125.06</v>
      </c>
      <c r="Q1028" s="4">
        <v>0.08</v>
      </c>
      <c r="R1028" s="113">
        <f t="shared" si="71"/>
        <v>0.2430709426627794</v>
      </c>
      <c r="S1028" s="22">
        <f t="shared" si="72"/>
        <v>1.5549076773566569E-4</v>
      </c>
    </row>
    <row r="1029" spans="1:19">
      <c r="A1029" s="109" t="s">
        <v>976</v>
      </c>
      <c r="B1029" s="113" t="s">
        <v>1273</v>
      </c>
      <c r="C1029" s="113"/>
      <c r="D1029" s="113">
        <v>0</v>
      </c>
      <c r="E1029" s="4">
        <v>18</v>
      </c>
      <c r="F1029" s="4">
        <v>11</v>
      </c>
      <c r="G1029" s="4">
        <v>21</v>
      </c>
      <c r="H1029" s="113">
        <v>7.0198999999999998</v>
      </c>
      <c r="I1029" s="4">
        <v>1E-4</v>
      </c>
      <c r="J1029" s="113">
        <v>-43.207999999999998</v>
      </c>
      <c r="K1029" s="4">
        <v>8.0000000000000004E-4</v>
      </c>
      <c r="L1029" s="4">
        <v>2.8000000000000001E-2</v>
      </c>
      <c r="M1029" s="4">
        <v>4.0000000000000001E-3</v>
      </c>
      <c r="N1029" s="4">
        <v>-4.5999999999999999E-3</v>
      </c>
      <c r="O1029" s="4">
        <v>1E-4</v>
      </c>
      <c r="P1029" s="4">
        <v>125.06</v>
      </c>
      <c r="Q1029" s="4">
        <v>0.08</v>
      </c>
      <c r="R1029" s="113">
        <f t="shared" si="71"/>
        <v>0.2430709426627794</v>
      </c>
      <c r="S1029" s="22">
        <f t="shared" si="72"/>
        <v>1.5549076773566569E-4</v>
      </c>
    </row>
    <row r="1030" spans="1:19">
      <c r="A1030" s="109" t="s">
        <v>977</v>
      </c>
      <c r="B1030" s="113" t="s">
        <v>1274</v>
      </c>
      <c r="C1030" s="113"/>
      <c r="D1030" s="113">
        <v>0</v>
      </c>
      <c r="E1030" s="4">
        <v>18</v>
      </c>
      <c r="F1030" s="4">
        <v>11</v>
      </c>
      <c r="G1030" s="4">
        <v>21</v>
      </c>
      <c r="H1030" s="113">
        <v>7.0198999999999998</v>
      </c>
      <c r="I1030" s="4">
        <v>1E-4</v>
      </c>
      <c r="J1030" s="113">
        <v>-43.207999999999998</v>
      </c>
      <c r="K1030" s="4">
        <v>8.0000000000000004E-4</v>
      </c>
      <c r="L1030" s="4">
        <v>2.8000000000000001E-2</v>
      </c>
      <c r="M1030" s="4">
        <v>4.0000000000000001E-3</v>
      </c>
      <c r="N1030" s="4">
        <v>-4.5999999999999999E-3</v>
      </c>
      <c r="O1030" s="4">
        <v>1E-4</v>
      </c>
      <c r="P1030" s="4">
        <v>125.06</v>
      </c>
      <c r="Q1030" s="4">
        <v>0.08</v>
      </c>
      <c r="R1030" s="113">
        <f t="shared" si="71"/>
        <v>0.2430709426627794</v>
      </c>
      <c r="S1030" s="22">
        <f t="shared" si="72"/>
        <v>1.5549076773566569E-4</v>
      </c>
    </row>
    <row r="1031" spans="1:19">
      <c r="A1031" s="109" t="s">
        <v>978</v>
      </c>
      <c r="B1031" s="113" t="s">
        <v>1275</v>
      </c>
      <c r="C1031" s="113"/>
      <c r="D1031" s="113">
        <v>0</v>
      </c>
      <c r="E1031" s="4">
        <v>18</v>
      </c>
      <c r="F1031" s="4">
        <v>11</v>
      </c>
      <c r="G1031" s="4">
        <v>21</v>
      </c>
      <c r="H1031" s="113">
        <v>7.0198999999999998</v>
      </c>
      <c r="I1031" s="4">
        <v>1E-4</v>
      </c>
      <c r="J1031" s="113">
        <v>-43.207999999999998</v>
      </c>
      <c r="K1031" s="4">
        <v>8.0000000000000004E-4</v>
      </c>
      <c r="L1031" s="4">
        <v>2.8000000000000001E-2</v>
      </c>
      <c r="M1031" s="4">
        <v>4.0000000000000001E-3</v>
      </c>
      <c r="N1031" s="4">
        <v>-4.5999999999999999E-3</v>
      </c>
      <c r="O1031" s="4">
        <v>1E-4</v>
      </c>
      <c r="P1031" s="4">
        <v>125.06</v>
      </c>
      <c r="Q1031" s="4">
        <v>0.08</v>
      </c>
      <c r="R1031" s="113">
        <f t="shared" si="71"/>
        <v>0.2430709426627794</v>
      </c>
      <c r="S1031" s="22">
        <f t="shared" si="72"/>
        <v>1.5549076773566569E-4</v>
      </c>
    </row>
    <row r="1032" spans="1:19">
      <c r="A1032" s="109" t="s">
        <v>979</v>
      </c>
      <c r="B1032" s="113" t="s">
        <v>1276</v>
      </c>
      <c r="C1032" s="113"/>
      <c r="D1032" s="113">
        <v>0</v>
      </c>
      <c r="E1032" s="4">
        <v>18</v>
      </c>
      <c r="F1032" s="4">
        <v>11</v>
      </c>
      <c r="G1032" s="4">
        <v>21</v>
      </c>
      <c r="H1032" s="113">
        <v>7.0198999999999998</v>
      </c>
      <c r="I1032" s="4">
        <v>1E-4</v>
      </c>
      <c r="J1032" s="113">
        <v>-43.207999999999998</v>
      </c>
      <c r="K1032" s="4">
        <v>8.0000000000000004E-4</v>
      </c>
      <c r="L1032" s="4">
        <v>2.8000000000000001E-2</v>
      </c>
      <c r="M1032" s="4">
        <v>4.0000000000000001E-3</v>
      </c>
      <c r="N1032" s="4">
        <v>-4.5999999999999999E-3</v>
      </c>
      <c r="O1032" s="4">
        <v>1E-4</v>
      </c>
      <c r="P1032" s="4">
        <v>125.06</v>
      </c>
      <c r="Q1032" s="4">
        <v>0.08</v>
      </c>
      <c r="R1032" s="113">
        <f t="shared" si="71"/>
        <v>0.2430709426627794</v>
      </c>
      <c r="S1032" s="22">
        <f t="shared" si="72"/>
        <v>1.5549076773566569E-4</v>
      </c>
    </row>
    <row r="1033" spans="1:19">
      <c r="A1033" s="109" t="s">
        <v>980</v>
      </c>
      <c r="B1033" s="113" t="s">
        <v>1277</v>
      </c>
      <c r="C1033" s="113"/>
      <c r="D1033" s="113">
        <v>0</v>
      </c>
      <c r="E1033" s="4">
        <v>18</v>
      </c>
      <c r="F1033" s="4">
        <v>11</v>
      </c>
      <c r="G1033" s="4">
        <v>21</v>
      </c>
      <c r="H1033" s="113">
        <v>7.0198999999999998</v>
      </c>
      <c r="I1033" s="4">
        <v>1E-4</v>
      </c>
      <c r="J1033" s="113">
        <v>-43.207999999999998</v>
      </c>
      <c r="K1033" s="4">
        <v>8.0000000000000004E-4</v>
      </c>
      <c r="L1033" s="4">
        <v>2.8000000000000001E-2</v>
      </c>
      <c r="M1033" s="4">
        <v>4.0000000000000001E-3</v>
      </c>
      <c r="N1033" s="4">
        <v>-4.5999999999999999E-3</v>
      </c>
      <c r="O1033" s="4">
        <v>1E-4</v>
      </c>
      <c r="P1033" s="4">
        <v>125.06</v>
      </c>
      <c r="Q1033" s="4">
        <v>0.08</v>
      </c>
      <c r="R1033" s="113">
        <f t="shared" si="71"/>
        <v>0.2430709426627794</v>
      </c>
      <c r="S1033" s="22">
        <f t="shared" si="72"/>
        <v>1.5549076773566569E-4</v>
      </c>
    </row>
    <row r="1034" spans="1:19">
      <c r="A1034" s="109" t="s">
        <v>981</v>
      </c>
      <c r="B1034" s="113" t="s">
        <v>1278</v>
      </c>
      <c r="C1034" s="113"/>
      <c r="D1034" s="113">
        <v>0</v>
      </c>
      <c r="E1034" s="4">
        <v>18</v>
      </c>
      <c r="F1034" s="4">
        <v>11</v>
      </c>
      <c r="G1034" s="4">
        <v>21</v>
      </c>
      <c r="H1034" s="113">
        <v>7.0198999999999998</v>
      </c>
      <c r="I1034" s="4">
        <v>1E-4</v>
      </c>
      <c r="J1034" s="113">
        <v>-43.207999999999998</v>
      </c>
      <c r="K1034" s="4">
        <v>8.0000000000000004E-4</v>
      </c>
      <c r="L1034" s="4">
        <v>2.8000000000000001E-2</v>
      </c>
      <c r="M1034" s="4">
        <v>4.0000000000000001E-3</v>
      </c>
      <c r="N1034" s="4">
        <v>-4.5999999999999999E-3</v>
      </c>
      <c r="O1034" s="4">
        <v>1E-4</v>
      </c>
      <c r="P1034" s="4">
        <v>125.06</v>
      </c>
      <c r="Q1034" s="4">
        <v>0.08</v>
      </c>
      <c r="R1034" s="113">
        <f t="shared" si="71"/>
        <v>0.2430709426627794</v>
      </c>
      <c r="S1034" s="22">
        <f t="shared" si="72"/>
        <v>1.5549076773566569E-4</v>
      </c>
    </row>
    <row r="1035" spans="1:19">
      <c r="A1035" s="109" t="s">
        <v>982</v>
      </c>
      <c r="B1035" s="113" t="s">
        <v>1279</v>
      </c>
      <c r="C1035" s="113"/>
      <c r="D1035" s="113">
        <v>0</v>
      </c>
      <c r="E1035" s="4">
        <v>18</v>
      </c>
      <c r="F1035" s="4">
        <v>12</v>
      </c>
      <c r="G1035" s="4">
        <v>21</v>
      </c>
      <c r="H1035" s="113">
        <v>7.0198999999999998</v>
      </c>
      <c r="I1035" s="4">
        <v>1E-4</v>
      </c>
      <c r="J1035" s="113">
        <v>-43.207999999999998</v>
      </c>
      <c r="K1035" s="4">
        <v>8.0000000000000004E-4</v>
      </c>
      <c r="L1035" s="4">
        <v>2.8000000000000001E-2</v>
      </c>
      <c r="M1035" s="4">
        <v>4.0000000000000001E-3</v>
      </c>
      <c r="N1035" s="4">
        <v>-4.5999999999999999E-3</v>
      </c>
      <c r="O1035" s="4">
        <v>1E-4</v>
      </c>
      <c r="P1035" s="4">
        <v>125.06</v>
      </c>
      <c r="Q1035" s="4">
        <v>0.08</v>
      </c>
      <c r="R1035" s="113">
        <f t="shared" si="71"/>
        <v>0.2430709426627794</v>
      </c>
      <c r="S1035" s="22">
        <f t="shared" si="72"/>
        <v>1.5549076773566569E-4</v>
      </c>
    </row>
    <row r="1036" spans="1:19">
      <c r="A1036" s="109" t="s">
        <v>983</v>
      </c>
      <c r="B1036" s="113" t="s">
        <v>91</v>
      </c>
      <c r="C1036" s="113"/>
      <c r="D1036" s="113">
        <v>0</v>
      </c>
      <c r="E1036" s="4">
        <v>18</v>
      </c>
      <c r="F1036" s="4">
        <v>12</v>
      </c>
      <c r="G1036" s="4">
        <v>21</v>
      </c>
      <c r="H1036" s="113">
        <v>7.0198999999999998</v>
      </c>
      <c r="I1036" s="4">
        <v>1E-4</v>
      </c>
      <c r="J1036" s="113">
        <v>-43.207999999999998</v>
      </c>
      <c r="K1036" s="4">
        <v>8.0000000000000004E-4</v>
      </c>
      <c r="L1036" s="4">
        <v>2.8000000000000001E-2</v>
      </c>
      <c r="M1036" s="4">
        <v>4.0000000000000001E-3</v>
      </c>
      <c r="N1036" s="4">
        <v>-4.5999999999999999E-3</v>
      </c>
      <c r="O1036" s="4">
        <v>1E-4</v>
      </c>
      <c r="P1036" s="4">
        <v>125.06</v>
      </c>
      <c r="Q1036" s="4">
        <v>0.08</v>
      </c>
      <c r="R1036" s="113">
        <f t="shared" si="71"/>
        <v>0.2430709426627794</v>
      </c>
      <c r="S1036" s="22">
        <f t="shared" si="72"/>
        <v>1.5549076773566569E-4</v>
      </c>
    </row>
    <row r="1037" spans="1:19">
      <c r="A1037" s="109" t="s">
        <v>984</v>
      </c>
      <c r="B1037" s="113" t="s">
        <v>93</v>
      </c>
      <c r="C1037" s="113"/>
      <c r="D1037" s="113">
        <v>0</v>
      </c>
      <c r="E1037" s="4">
        <v>18</v>
      </c>
      <c r="F1037" s="4">
        <v>12</v>
      </c>
      <c r="G1037" s="4">
        <v>21</v>
      </c>
      <c r="H1037" s="113">
        <v>7.0198999999999998</v>
      </c>
      <c r="I1037" s="4">
        <v>1E-4</v>
      </c>
      <c r="J1037" s="113">
        <v>-43.207999999999998</v>
      </c>
      <c r="K1037" s="4">
        <v>8.0000000000000004E-4</v>
      </c>
      <c r="L1037" s="4">
        <v>2.8000000000000001E-2</v>
      </c>
      <c r="M1037" s="4">
        <v>4.0000000000000001E-3</v>
      </c>
      <c r="N1037" s="4">
        <v>-4.5999999999999999E-3</v>
      </c>
      <c r="O1037" s="4">
        <v>1E-4</v>
      </c>
      <c r="P1037" s="4">
        <v>125.06</v>
      </c>
      <c r="Q1037" s="4">
        <v>0.08</v>
      </c>
      <c r="R1037" s="113">
        <f t="shared" si="71"/>
        <v>0.2430709426627794</v>
      </c>
      <c r="S1037" s="22">
        <f t="shared" si="72"/>
        <v>1.5549076773566569E-4</v>
      </c>
    </row>
    <row r="1038" spans="1:19">
      <c r="A1038" s="109" t="s">
        <v>985</v>
      </c>
      <c r="B1038" s="113" t="s">
        <v>1280</v>
      </c>
      <c r="C1038" s="113"/>
      <c r="D1038" s="113">
        <v>0</v>
      </c>
      <c r="E1038" s="4">
        <v>18</v>
      </c>
      <c r="F1038" s="4">
        <v>12</v>
      </c>
      <c r="G1038" s="4">
        <v>21</v>
      </c>
      <c r="H1038" s="113">
        <v>7.0198999999999998</v>
      </c>
      <c r="I1038" s="4">
        <v>1E-4</v>
      </c>
      <c r="J1038" s="113">
        <v>-43.207999999999998</v>
      </c>
      <c r="K1038" s="4">
        <v>8.0000000000000004E-4</v>
      </c>
      <c r="L1038" s="4">
        <v>2.8000000000000001E-2</v>
      </c>
      <c r="M1038" s="4">
        <v>4.0000000000000001E-3</v>
      </c>
      <c r="N1038" s="4">
        <v>-4.5999999999999999E-3</v>
      </c>
      <c r="O1038" s="4">
        <v>1E-4</v>
      </c>
      <c r="P1038" s="4">
        <v>125.06</v>
      </c>
      <c r="Q1038" s="4">
        <v>0.08</v>
      </c>
      <c r="R1038" s="113">
        <f t="shared" si="71"/>
        <v>0.2430709426627794</v>
      </c>
      <c r="S1038" s="22">
        <f t="shared" si="72"/>
        <v>1.5549076773566569E-4</v>
      </c>
    </row>
    <row r="1039" spans="1:19">
      <c r="A1039" s="109" t="s">
        <v>986</v>
      </c>
      <c r="B1039" s="113" t="s">
        <v>1281</v>
      </c>
      <c r="C1039" s="113"/>
      <c r="D1039" s="113">
        <v>0</v>
      </c>
      <c r="E1039" s="4">
        <v>18</v>
      </c>
      <c r="F1039" s="4">
        <v>12</v>
      </c>
      <c r="G1039" s="4">
        <v>21</v>
      </c>
      <c r="H1039" s="113">
        <v>7.0198999999999998</v>
      </c>
      <c r="I1039" s="4">
        <v>1E-4</v>
      </c>
      <c r="J1039" s="113">
        <v>-43.207999999999998</v>
      </c>
      <c r="K1039" s="4">
        <v>8.0000000000000004E-4</v>
      </c>
      <c r="L1039" s="4">
        <v>2.8000000000000001E-2</v>
      </c>
      <c r="M1039" s="4">
        <v>4.0000000000000001E-3</v>
      </c>
      <c r="N1039" s="4">
        <v>-4.5999999999999999E-3</v>
      </c>
      <c r="O1039" s="4">
        <v>1E-4</v>
      </c>
      <c r="P1039" s="4">
        <v>125.06</v>
      </c>
      <c r="Q1039" s="4">
        <v>0.08</v>
      </c>
      <c r="R1039" s="113">
        <f t="shared" si="71"/>
        <v>0.2430709426627794</v>
      </c>
      <c r="S1039" s="22">
        <f t="shared" si="72"/>
        <v>1.5549076773566569E-4</v>
      </c>
    </row>
    <row r="1040" spans="1:19">
      <c r="A1040" s="109" t="s">
        <v>987</v>
      </c>
      <c r="B1040" s="113" t="s">
        <v>1282</v>
      </c>
      <c r="C1040" s="113"/>
      <c r="D1040" s="113">
        <v>0</v>
      </c>
      <c r="E1040" s="4">
        <v>18</v>
      </c>
      <c r="F1040" s="4">
        <v>12</v>
      </c>
      <c r="G1040" s="4">
        <v>21</v>
      </c>
      <c r="H1040" s="113">
        <v>7.0198999999999998</v>
      </c>
      <c r="I1040" s="4">
        <v>1E-4</v>
      </c>
      <c r="J1040" s="113">
        <v>-43.207999999999998</v>
      </c>
      <c r="K1040" s="4">
        <v>8.0000000000000004E-4</v>
      </c>
      <c r="L1040" s="4">
        <v>2.8000000000000001E-2</v>
      </c>
      <c r="M1040" s="4">
        <v>4.0000000000000001E-3</v>
      </c>
      <c r="N1040" s="4">
        <v>-4.5999999999999999E-3</v>
      </c>
      <c r="O1040" s="4">
        <v>1E-4</v>
      </c>
      <c r="P1040" s="4">
        <v>125.06</v>
      </c>
      <c r="Q1040" s="4">
        <v>0.08</v>
      </c>
      <c r="R1040" s="113">
        <f t="shared" si="71"/>
        <v>0.2430709426627794</v>
      </c>
      <c r="S1040" s="22">
        <f t="shared" si="72"/>
        <v>1.5549076773566569E-4</v>
      </c>
    </row>
    <row r="1041" spans="1:19">
      <c r="A1041" s="109" t="s">
        <v>988</v>
      </c>
      <c r="B1041" s="113" t="s">
        <v>1283</v>
      </c>
      <c r="C1041" s="113"/>
      <c r="D1041" s="113">
        <v>0</v>
      </c>
      <c r="E1041" s="4">
        <v>18</v>
      </c>
      <c r="F1041" s="4">
        <v>12</v>
      </c>
      <c r="G1041" s="4">
        <v>21</v>
      </c>
      <c r="H1041" s="113">
        <v>7.0198999999999998</v>
      </c>
      <c r="I1041" s="4">
        <v>1E-4</v>
      </c>
      <c r="J1041" s="113">
        <v>-43.207999999999998</v>
      </c>
      <c r="K1041" s="4">
        <v>8.0000000000000004E-4</v>
      </c>
      <c r="L1041" s="4">
        <v>2.8000000000000001E-2</v>
      </c>
      <c r="M1041" s="4">
        <v>4.0000000000000001E-3</v>
      </c>
      <c r="N1041" s="4">
        <v>-4.5999999999999999E-3</v>
      </c>
      <c r="O1041" s="4">
        <v>1E-4</v>
      </c>
      <c r="P1041" s="4">
        <v>125.06</v>
      </c>
      <c r="Q1041" s="4">
        <v>0.08</v>
      </c>
      <c r="R1041" s="113">
        <f t="shared" si="71"/>
        <v>0.2430709426627794</v>
      </c>
      <c r="S1041" s="22">
        <f t="shared" si="72"/>
        <v>1.5549076773566569E-4</v>
      </c>
    </row>
    <row r="1042" spans="1:19">
      <c r="A1042" s="109" t="s">
        <v>989</v>
      </c>
      <c r="B1042" s="113" t="s">
        <v>1284</v>
      </c>
      <c r="C1042" s="113"/>
      <c r="D1042" s="113">
        <v>0</v>
      </c>
      <c r="E1042" s="4">
        <v>18</v>
      </c>
      <c r="F1042" s="4">
        <v>12</v>
      </c>
      <c r="G1042" s="4">
        <v>21</v>
      </c>
      <c r="H1042" s="113">
        <v>7.0198999999999998</v>
      </c>
      <c r="I1042" s="4">
        <v>1E-4</v>
      </c>
      <c r="J1042" s="113">
        <v>-43.207999999999998</v>
      </c>
      <c r="K1042" s="4">
        <v>8.0000000000000004E-4</v>
      </c>
      <c r="L1042" s="4">
        <v>2.8000000000000001E-2</v>
      </c>
      <c r="M1042" s="4">
        <v>4.0000000000000001E-3</v>
      </c>
      <c r="N1042" s="4">
        <v>-4.5999999999999999E-3</v>
      </c>
      <c r="O1042" s="4">
        <v>1E-4</v>
      </c>
      <c r="P1042" s="4">
        <v>125.06</v>
      </c>
      <c r="Q1042" s="4">
        <v>0.08</v>
      </c>
      <c r="R1042" s="113">
        <f t="shared" si="71"/>
        <v>0.2430709426627794</v>
      </c>
      <c r="S1042" s="22">
        <f t="shared" si="72"/>
        <v>1.5549076773566569E-4</v>
      </c>
    </row>
    <row r="1043" spans="1:19">
      <c r="A1043" s="109" t="s">
        <v>990</v>
      </c>
      <c r="B1043" s="113" t="s">
        <v>1285</v>
      </c>
      <c r="C1043" s="113"/>
      <c r="D1043" s="113">
        <v>0</v>
      </c>
      <c r="E1043" s="4">
        <v>18</v>
      </c>
      <c r="F1043" s="4">
        <v>12</v>
      </c>
      <c r="G1043" s="4">
        <v>21</v>
      </c>
      <c r="H1043" s="113">
        <v>7.0198999999999998</v>
      </c>
      <c r="I1043" s="4">
        <v>1E-4</v>
      </c>
      <c r="J1043" s="113">
        <v>-43.207999999999998</v>
      </c>
      <c r="K1043" s="4">
        <v>8.0000000000000004E-4</v>
      </c>
      <c r="L1043" s="4">
        <v>2.8000000000000001E-2</v>
      </c>
      <c r="M1043" s="4">
        <v>4.0000000000000001E-3</v>
      </c>
      <c r="N1043" s="4">
        <v>-4.5999999999999999E-3</v>
      </c>
      <c r="O1043" s="4">
        <v>1E-4</v>
      </c>
      <c r="P1043" s="4">
        <v>125.06</v>
      </c>
      <c r="Q1043" s="4">
        <v>0.08</v>
      </c>
      <c r="R1043" s="113">
        <f t="shared" ref="R1043:R1081" si="73">P1043*E1043/G1043^3</f>
        <v>0.2430709426627794</v>
      </c>
      <c r="S1043" s="22">
        <f t="shared" ref="S1043:S1081" si="74">Q1043*E1043/G1043^3</f>
        <v>1.5549076773566569E-4</v>
      </c>
    </row>
    <row r="1044" spans="1:19">
      <c r="A1044" s="109" t="s">
        <v>991</v>
      </c>
      <c r="B1044" s="113" t="s">
        <v>1286</v>
      </c>
      <c r="C1044" s="113"/>
      <c r="D1044" s="113">
        <v>0</v>
      </c>
      <c r="E1044" s="4">
        <v>18</v>
      </c>
      <c r="F1044" s="4">
        <v>12</v>
      </c>
      <c r="G1044" s="4">
        <v>21</v>
      </c>
      <c r="H1044" s="113">
        <v>7.0198999999999998</v>
      </c>
      <c r="I1044" s="4">
        <v>1E-4</v>
      </c>
      <c r="J1044" s="113">
        <v>-43.207999999999998</v>
      </c>
      <c r="K1044" s="4">
        <v>8.0000000000000004E-4</v>
      </c>
      <c r="L1044" s="4">
        <v>2.8000000000000001E-2</v>
      </c>
      <c r="M1044" s="4">
        <v>4.0000000000000001E-3</v>
      </c>
      <c r="N1044" s="4">
        <v>-4.5999999999999999E-3</v>
      </c>
      <c r="O1044" s="4">
        <v>1E-4</v>
      </c>
      <c r="P1044" s="4">
        <v>125.06</v>
      </c>
      <c r="Q1044" s="4">
        <v>0.08</v>
      </c>
      <c r="R1044" s="113">
        <f t="shared" si="73"/>
        <v>0.2430709426627794</v>
      </c>
      <c r="S1044" s="22">
        <f t="shared" si="74"/>
        <v>1.5549076773566569E-4</v>
      </c>
    </row>
    <row r="1045" spans="1:19">
      <c r="A1045" s="109" t="s">
        <v>992</v>
      </c>
      <c r="B1045" s="113" t="s">
        <v>1287</v>
      </c>
      <c r="C1045" s="113"/>
      <c r="D1045" s="113">
        <v>0</v>
      </c>
      <c r="E1045" s="4">
        <v>18</v>
      </c>
      <c r="F1045" s="4">
        <v>12</v>
      </c>
      <c r="G1045" s="4">
        <v>21</v>
      </c>
      <c r="H1045" s="113">
        <v>7.0198999999999998</v>
      </c>
      <c r="I1045" s="4">
        <v>1E-4</v>
      </c>
      <c r="J1045" s="113">
        <v>-43.207999999999998</v>
      </c>
      <c r="K1045" s="4">
        <v>8.0000000000000004E-4</v>
      </c>
      <c r="L1045" s="4">
        <v>2.8000000000000001E-2</v>
      </c>
      <c r="M1045" s="4">
        <v>4.0000000000000001E-3</v>
      </c>
      <c r="N1045" s="4">
        <v>-4.5999999999999999E-3</v>
      </c>
      <c r="O1045" s="4">
        <v>1E-4</v>
      </c>
      <c r="P1045" s="4">
        <v>125.06</v>
      </c>
      <c r="Q1045" s="4">
        <v>0.08</v>
      </c>
      <c r="R1045" s="113">
        <f t="shared" si="73"/>
        <v>0.2430709426627794</v>
      </c>
      <c r="S1045" s="22">
        <f t="shared" si="74"/>
        <v>1.5549076773566569E-4</v>
      </c>
    </row>
    <row r="1046" spans="1:19">
      <c r="A1046" s="109" t="s">
        <v>993</v>
      </c>
      <c r="B1046" s="113" t="s">
        <v>1288</v>
      </c>
      <c r="C1046" s="113"/>
      <c r="D1046" s="113">
        <v>0</v>
      </c>
      <c r="E1046" s="4">
        <v>18</v>
      </c>
      <c r="F1046" s="4">
        <v>12</v>
      </c>
      <c r="G1046" s="4">
        <v>21</v>
      </c>
      <c r="H1046" s="113">
        <v>7.0198999999999998</v>
      </c>
      <c r="I1046" s="4">
        <v>1E-4</v>
      </c>
      <c r="J1046" s="113">
        <v>-43.207999999999998</v>
      </c>
      <c r="K1046" s="4">
        <v>8.0000000000000004E-4</v>
      </c>
      <c r="L1046" s="4">
        <v>2.8000000000000001E-2</v>
      </c>
      <c r="M1046" s="4">
        <v>4.0000000000000001E-3</v>
      </c>
      <c r="N1046" s="4">
        <v>-4.5999999999999999E-3</v>
      </c>
      <c r="O1046" s="4">
        <v>1E-4</v>
      </c>
      <c r="P1046" s="4">
        <v>125.06</v>
      </c>
      <c r="Q1046" s="4">
        <v>0.08</v>
      </c>
      <c r="R1046" s="113">
        <f t="shared" si="73"/>
        <v>0.2430709426627794</v>
      </c>
      <c r="S1046" s="22">
        <f t="shared" si="74"/>
        <v>1.5549076773566569E-4</v>
      </c>
    </row>
    <row r="1047" spans="1:19">
      <c r="A1047" s="109" t="s">
        <v>994</v>
      </c>
      <c r="B1047" s="113" t="s">
        <v>1289</v>
      </c>
      <c r="C1047" s="113"/>
      <c r="D1047" s="113">
        <v>0</v>
      </c>
      <c r="E1047" s="4">
        <v>18</v>
      </c>
      <c r="F1047" s="4">
        <v>12</v>
      </c>
      <c r="G1047" s="4">
        <v>21</v>
      </c>
      <c r="H1047" s="113">
        <v>7.0198999999999998</v>
      </c>
      <c r="I1047" s="4">
        <v>1E-4</v>
      </c>
      <c r="J1047" s="113">
        <v>-43.207999999999998</v>
      </c>
      <c r="K1047" s="4">
        <v>8.0000000000000004E-4</v>
      </c>
      <c r="L1047" s="4">
        <v>2.8000000000000001E-2</v>
      </c>
      <c r="M1047" s="4">
        <v>4.0000000000000001E-3</v>
      </c>
      <c r="N1047" s="4">
        <v>-4.5999999999999999E-3</v>
      </c>
      <c r="O1047" s="4">
        <v>1E-4</v>
      </c>
      <c r="P1047" s="4">
        <v>125.06</v>
      </c>
      <c r="Q1047" s="4">
        <v>0.08</v>
      </c>
      <c r="R1047" s="113">
        <f t="shared" si="73"/>
        <v>0.2430709426627794</v>
      </c>
      <c r="S1047" s="22">
        <f t="shared" si="74"/>
        <v>1.5549076773566569E-4</v>
      </c>
    </row>
    <row r="1048" spans="1:19">
      <c r="A1048" s="109" t="s">
        <v>995</v>
      </c>
      <c r="B1048" s="113" t="s">
        <v>1290</v>
      </c>
      <c r="C1048" s="113"/>
      <c r="D1048" s="113">
        <v>0</v>
      </c>
      <c r="E1048" s="4">
        <v>18</v>
      </c>
      <c r="F1048" s="4">
        <v>12</v>
      </c>
      <c r="G1048" s="4">
        <v>21</v>
      </c>
      <c r="H1048" s="113">
        <v>7.0198999999999998</v>
      </c>
      <c r="I1048" s="4">
        <v>1E-4</v>
      </c>
      <c r="J1048" s="113">
        <v>-43.207999999999998</v>
      </c>
      <c r="K1048" s="4">
        <v>8.0000000000000004E-4</v>
      </c>
      <c r="L1048" s="4">
        <v>2.8000000000000001E-2</v>
      </c>
      <c r="M1048" s="4">
        <v>4.0000000000000001E-3</v>
      </c>
      <c r="N1048" s="4">
        <v>-4.5999999999999999E-3</v>
      </c>
      <c r="O1048" s="4">
        <v>1E-4</v>
      </c>
      <c r="P1048" s="4">
        <v>125.06</v>
      </c>
      <c r="Q1048" s="4">
        <v>0.08</v>
      </c>
      <c r="R1048" s="113">
        <f t="shared" si="73"/>
        <v>0.2430709426627794</v>
      </c>
      <c r="S1048" s="22">
        <f t="shared" si="74"/>
        <v>1.5549076773566569E-4</v>
      </c>
    </row>
    <row r="1049" spans="1:19">
      <c r="A1049" s="109" t="s">
        <v>996</v>
      </c>
      <c r="B1049" s="113" t="s">
        <v>1291</v>
      </c>
      <c r="C1049" s="113"/>
      <c r="D1049" s="113">
        <v>0</v>
      </c>
      <c r="E1049" s="4">
        <v>18</v>
      </c>
      <c r="F1049" s="4">
        <v>12</v>
      </c>
      <c r="G1049" s="4">
        <v>21</v>
      </c>
      <c r="H1049" s="113">
        <v>7.0198999999999998</v>
      </c>
      <c r="I1049" s="4">
        <v>1E-4</v>
      </c>
      <c r="J1049" s="113">
        <v>-43.207999999999998</v>
      </c>
      <c r="K1049" s="4">
        <v>8.0000000000000004E-4</v>
      </c>
      <c r="L1049" s="4">
        <v>2.8000000000000001E-2</v>
      </c>
      <c r="M1049" s="4">
        <v>4.0000000000000001E-3</v>
      </c>
      <c r="N1049" s="4">
        <v>-4.5999999999999999E-3</v>
      </c>
      <c r="O1049" s="4">
        <v>1E-4</v>
      </c>
      <c r="P1049" s="4">
        <v>125.06</v>
      </c>
      <c r="Q1049" s="4">
        <v>0.08</v>
      </c>
      <c r="R1049" s="113">
        <f t="shared" si="73"/>
        <v>0.2430709426627794</v>
      </c>
      <c r="S1049" s="22">
        <f t="shared" si="74"/>
        <v>1.5549076773566569E-4</v>
      </c>
    </row>
    <row r="1050" spans="1:19">
      <c r="A1050" s="109" t="s">
        <v>997</v>
      </c>
      <c r="B1050" s="113" t="s">
        <v>1292</v>
      </c>
      <c r="C1050" s="113"/>
      <c r="D1050" s="113">
        <v>0</v>
      </c>
      <c r="E1050" s="4">
        <v>18</v>
      </c>
      <c r="F1050" s="4">
        <v>12</v>
      </c>
      <c r="G1050" s="4">
        <v>21</v>
      </c>
      <c r="H1050" s="113">
        <v>7.0198999999999998</v>
      </c>
      <c r="I1050" s="4">
        <v>1E-4</v>
      </c>
      <c r="J1050" s="113">
        <v>-43.207999999999998</v>
      </c>
      <c r="K1050" s="4">
        <v>8.0000000000000004E-4</v>
      </c>
      <c r="L1050" s="4">
        <v>2.8000000000000001E-2</v>
      </c>
      <c r="M1050" s="4">
        <v>4.0000000000000001E-3</v>
      </c>
      <c r="N1050" s="4">
        <v>-4.5999999999999999E-3</v>
      </c>
      <c r="O1050" s="4">
        <v>1E-4</v>
      </c>
      <c r="P1050" s="4">
        <v>125.06</v>
      </c>
      <c r="Q1050" s="4">
        <v>0.08</v>
      </c>
      <c r="R1050" s="113">
        <f t="shared" si="73"/>
        <v>0.2430709426627794</v>
      </c>
      <c r="S1050" s="22">
        <f t="shared" si="74"/>
        <v>1.5549076773566569E-4</v>
      </c>
    </row>
    <row r="1051" spans="1:19">
      <c r="A1051" s="109" t="s">
        <v>998</v>
      </c>
      <c r="B1051" s="113" t="s">
        <v>1293</v>
      </c>
      <c r="C1051" s="113"/>
      <c r="D1051" s="113">
        <v>0</v>
      </c>
      <c r="E1051" s="4">
        <v>18</v>
      </c>
      <c r="F1051" s="4">
        <v>12</v>
      </c>
      <c r="G1051" s="4">
        <v>21</v>
      </c>
      <c r="H1051" s="113">
        <v>7.0198999999999998</v>
      </c>
      <c r="I1051" s="4">
        <v>1E-4</v>
      </c>
      <c r="J1051" s="113">
        <v>-43.207999999999998</v>
      </c>
      <c r="K1051" s="4">
        <v>8.0000000000000004E-4</v>
      </c>
      <c r="L1051" s="4">
        <v>2.8000000000000001E-2</v>
      </c>
      <c r="M1051" s="4">
        <v>4.0000000000000001E-3</v>
      </c>
      <c r="N1051" s="4">
        <v>-4.5999999999999999E-3</v>
      </c>
      <c r="O1051" s="4">
        <v>1E-4</v>
      </c>
      <c r="P1051" s="4">
        <v>125.06</v>
      </c>
      <c r="Q1051" s="4">
        <v>0.08</v>
      </c>
      <c r="R1051" s="113">
        <f t="shared" si="73"/>
        <v>0.2430709426627794</v>
      </c>
      <c r="S1051" s="22">
        <f t="shared" si="74"/>
        <v>1.5549076773566569E-4</v>
      </c>
    </row>
    <row r="1052" spans="1:19">
      <c r="A1052" s="109" t="s">
        <v>999</v>
      </c>
      <c r="B1052" s="113" t="s">
        <v>1294</v>
      </c>
      <c r="C1052" s="113"/>
      <c r="D1052" s="113">
        <v>0</v>
      </c>
      <c r="E1052" s="4">
        <v>18</v>
      </c>
      <c r="F1052" s="4">
        <v>12</v>
      </c>
      <c r="G1052" s="4">
        <v>21</v>
      </c>
      <c r="H1052" s="113">
        <v>7.0198999999999998</v>
      </c>
      <c r="I1052" s="4">
        <v>1E-4</v>
      </c>
      <c r="J1052" s="113">
        <v>-43.207999999999998</v>
      </c>
      <c r="K1052" s="4">
        <v>8.0000000000000004E-4</v>
      </c>
      <c r="L1052" s="4">
        <v>2.8000000000000001E-2</v>
      </c>
      <c r="M1052" s="4">
        <v>4.0000000000000001E-3</v>
      </c>
      <c r="N1052" s="4">
        <v>-4.5999999999999999E-3</v>
      </c>
      <c r="O1052" s="4">
        <v>1E-4</v>
      </c>
      <c r="P1052" s="4">
        <v>125.06</v>
      </c>
      <c r="Q1052" s="4">
        <v>0.08</v>
      </c>
      <c r="R1052" s="113">
        <f t="shared" si="73"/>
        <v>0.2430709426627794</v>
      </c>
      <c r="S1052" s="22">
        <f t="shared" si="74"/>
        <v>1.5549076773566569E-4</v>
      </c>
    </row>
    <row r="1053" spans="1:19">
      <c r="A1053" s="109" t="s">
        <v>1000</v>
      </c>
      <c r="B1053" s="113" t="s">
        <v>1295</v>
      </c>
      <c r="C1053" s="113"/>
      <c r="D1053" s="113">
        <v>0</v>
      </c>
      <c r="E1053" s="4">
        <v>18</v>
      </c>
      <c r="F1053" s="4">
        <v>12</v>
      </c>
      <c r="G1053" s="4">
        <v>21</v>
      </c>
      <c r="H1053" s="113">
        <v>7.0198999999999998</v>
      </c>
      <c r="I1053" s="4">
        <v>1E-4</v>
      </c>
      <c r="J1053" s="113">
        <v>-43.207999999999998</v>
      </c>
      <c r="K1053" s="4">
        <v>8.0000000000000004E-4</v>
      </c>
      <c r="L1053" s="4">
        <v>2.8000000000000001E-2</v>
      </c>
      <c r="M1053" s="4">
        <v>4.0000000000000001E-3</v>
      </c>
      <c r="N1053" s="4">
        <v>-4.5999999999999999E-3</v>
      </c>
      <c r="O1053" s="4">
        <v>1E-4</v>
      </c>
      <c r="P1053" s="4">
        <v>125.06</v>
      </c>
      <c r="Q1053" s="4">
        <v>0.08</v>
      </c>
      <c r="R1053" s="113">
        <f t="shared" si="73"/>
        <v>0.2430709426627794</v>
      </c>
      <c r="S1053" s="22">
        <f t="shared" si="74"/>
        <v>1.5549076773566569E-4</v>
      </c>
    </row>
    <row r="1054" spans="1:19">
      <c r="A1054" s="109" t="s">
        <v>1001</v>
      </c>
      <c r="B1054" s="113" t="s">
        <v>1296</v>
      </c>
      <c r="C1054" s="113"/>
      <c r="D1054" s="113">
        <v>0</v>
      </c>
      <c r="E1054" s="4">
        <v>18</v>
      </c>
      <c r="F1054" s="4">
        <v>13</v>
      </c>
      <c r="G1054" s="4">
        <v>21</v>
      </c>
      <c r="H1054" s="113">
        <v>7.0198999999999998</v>
      </c>
      <c r="I1054" s="4">
        <v>1E-4</v>
      </c>
      <c r="J1054" s="113">
        <v>-43.207999999999998</v>
      </c>
      <c r="K1054" s="4">
        <v>8.0000000000000004E-4</v>
      </c>
      <c r="L1054" s="4">
        <v>2.8000000000000001E-2</v>
      </c>
      <c r="M1054" s="4">
        <v>4.0000000000000001E-3</v>
      </c>
      <c r="N1054" s="4">
        <v>-4.5999999999999999E-3</v>
      </c>
      <c r="O1054" s="4">
        <v>1E-4</v>
      </c>
      <c r="P1054" s="4">
        <v>125.06</v>
      </c>
      <c r="Q1054" s="4">
        <v>0.08</v>
      </c>
      <c r="R1054" s="113">
        <f t="shared" si="73"/>
        <v>0.2430709426627794</v>
      </c>
      <c r="S1054" s="22">
        <f t="shared" si="74"/>
        <v>1.5549076773566569E-4</v>
      </c>
    </row>
    <row r="1055" spans="1:19">
      <c r="A1055" s="109" t="s">
        <v>1002</v>
      </c>
      <c r="B1055" s="113" t="s">
        <v>1297</v>
      </c>
      <c r="C1055" s="113"/>
      <c r="D1055" s="113">
        <v>0</v>
      </c>
      <c r="E1055" s="4">
        <v>18</v>
      </c>
      <c r="F1055" s="4">
        <v>13</v>
      </c>
      <c r="G1055" s="4">
        <v>21</v>
      </c>
      <c r="H1055" s="113">
        <v>7.0198999999999998</v>
      </c>
      <c r="I1055" s="4">
        <v>1E-4</v>
      </c>
      <c r="J1055" s="113">
        <v>-43.207999999999998</v>
      </c>
      <c r="K1055" s="4">
        <v>8.0000000000000004E-4</v>
      </c>
      <c r="L1055" s="4">
        <v>2.8000000000000001E-2</v>
      </c>
      <c r="M1055" s="4">
        <v>4.0000000000000001E-3</v>
      </c>
      <c r="N1055" s="4">
        <v>-4.5999999999999999E-3</v>
      </c>
      <c r="O1055" s="4">
        <v>1E-4</v>
      </c>
      <c r="P1055" s="4">
        <v>125.06</v>
      </c>
      <c r="Q1055" s="4">
        <v>0.08</v>
      </c>
      <c r="R1055" s="113">
        <f t="shared" si="73"/>
        <v>0.2430709426627794</v>
      </c>
      <c r="S1055" s="22">
        <f t="shared" si="74"/>
        <v>1.5549076773566569E-4</v>
      </c>
    </row>
    <row r="1056" spans="1:19">
      <c r="A1056" s="109" t="s">
        <v>1003</v>
      </c>
      <c r="B1056" s="113" t="s">
        <v>1298</v>
      </c>
      <c r="C1056" s="113"/>
      <c r="D1056" s="113">
        <v>0</v>
      </c>
      <c r="E1056" s="4">
        <v>18</v>
      </c>
      <c r="F1056" s="4">
        <v>13</v>
      </c>
      <c r="G1056" s="4">
        <v>21</v>
      </c>
      <c r="H1056" s="113">
        <v>7.0198999999999998</v>
      </c>
      <c r="I1056" s="4">
        <v>1E-4</v>
      </c>
      <c r="J1056" s="113">
        <v>-43.207999999999998</v>
      </c>
      <c r="K1056" s="4">
        <v>8.0000000000000004E-4</v>
      </c>
      <c r="L1056" s="4">
        <v>2.8000000000000001E-2</v>
      </c>
      <c r="M1056" s="4">
        <v>4.0000000000000001E-3</v>
      </c>
      <c r="N1056" s="4">
        <v>-4.5999999999999999E-3</v>
      </c>
      <c r="O1056" s="4">
        <v>1E-4</v>
      </c>
      <c r="P1056" s="4">
        <v>125.06</v>
      </c>
      <c r="Q1056" s="4">
        <v>0.08</v>
      </c>
      <c r="R1056" s="113">
        <f t="shared" si="73"/>
        <v>0.2430709426627794</v>
      </c>
      <c r="S1056" s="22">
        <f t="shared" si="74"/>
        <v>1.5549076773566569E-4</v>
      </c>
    </row>
    <row r="1057" spans="1:19">
      <c r="A1057" s="109" t="s">
        <v>1004</v>
      </c>
      <c r="B1057" s="113" t="s">
        <v>1299</v>
      </c>
      <c r="C1057" s="113"/>
      <c r="D1057" s="113">
        <v>0</v>
      </c>
      <c r="E1057" s="4">
        <v>18</v>
      </c>
      <c r="F1057" s="4">
        <v>13</v>
      </c>
      <c r="G1057" s="4">
        <v>21</v>
      </c>
      <c r="H1057" s="113">
        <v>7.0198999999999998</v>
      </c>
      <c r="I1057" s="4">
        <v>1E-4</v>
      </c>
      <c r="J1057" s="113">
        <v>-43.207999999999998</v>
      </c>
      <c r="K1057" s="4">
        <v>8.0000000000000004E-4</v>
      </c>
      <c r="L1057" s="4">
        <v>2.8000000000000001E-2</v>
      </c>
      <c r="M1057" s="4">
        <v>4.0000000000000001E-3</v>
      </c>
      <c r="N1057" s="4">
        <v>-4.5999999999999999E-3</v>
      </c>
      <c r="O1057" s="4">
        <v>1E-4</v>
      </c>
      <c r="P1057" s="4">
        <v>125.06</v>
      </c>
      <c r="Q1057" s="4">
        <v>0.08</v>
      </c>
      <c r="R1057" s="113">
        <f t="shared" si="73"/>
        <v>0.2430709426627794</v>
      </c>
      <c r="S1057" s="22">
        <f t="shared" si="74"/>
        <v>1.5549076773566569E-4</v>
      </c>
    </row>
    <row r="1058" spans="1:19">
      <c r="A1058" s="109" t="s">
        <v>1005</v>
      </c>
      <c r="B1058" s="113" t="s">
        <v>1300</v>
      </c>
      <c r="C1058" s="113"/>
      <c r="D1058" s="113">
        <v>0</v>
      </c>
      <c r="E1058" s="4">
        <v>18</v>
      </c>
      <c r="F1058" s="4">
        <v>13</v>
      </c>
      <c r="G1058" s="4">
        <v>21</v>
      </c>
      <c r="H1058" s="113">
        <v>7.0198999999999998</v>
      </c>
      <c r="I1058" s="4">
        <v>1E-4</v>
      </c>
      <c r="J1058" s="113">
        <v>-43.207999999999998</v>
      </c>
      <c r="K1058" s="4">
        <v>8.0000000000000004E-4</v>
      </c>
      <c r="L1058" s="4">
        <v>2.8000000000000001E-2</v>
      </c>
      <c r="M1058" s="4">
        <v>4.0000000000000001E-3</v>
      </c>
      <c r="N1058" s="4">
        <v>-4.5999999999999999E-3</v>
      </c>
      <c r="O1058" s="4">
        <v>1E-4</v>
      </c>
      <c r="P1058" s="4">
        <v>125.06</v>
      </c>
      <c r="Q1058" s="4">
        <v>0.08</v>
      </c>
      <c r="R1058" s="113">
        <f t="shared" si="73"/>
        <v>0.2430709426627794</v>
      </c>
      <c r="S1058" s="22">
        <f t="shared" si="74"/>
        <v>1.5549076773566569E-4</v>
      </c>
    </row>
    <row r="1059" spans="1:19">
      <c r="A1059" s="109" t="s">
        <v>1006</v>
      </c>
      <c r="B1059" s="113" t="s">
        <v>1301</v>
      </c>
      <c r="C1059" s="113"/>
      <c r="D1059" s="113">
        <v>0</v>
      </c>
      <c r="E1059" s="4">
        <v>18</v>
      </c>
      <c r="F1059" s="4">
        <v>13</v>
      </c>
      <c r="G1059" s="4">
        <v>21</v>
      </c>
      <c r="H1059" s="113">
        <v>7.0198999999999998</v>
      </c>
      <c r="I1059" s="4">
        <v>1E-4</v>
      </c>
      <c r="J1059" s="113">
        <v>-43.207999999999998</v>
      </c>
      <c r="K1059" s="4">
        <v>8.0000000000000004E-4</v>
      </c>
      <c r="L1059" s="4">
        <v>2.8000000000000001E-2</v>
      </c>
      <c r="M1059" s="4">
        <v>4.0000000000000001E-3</v>
      </c>
      <c r="N1059" s="4">
        <v>-4.5999999999999999E-3</v>
      </c>
      <c r="O1059" s="4">
        <v>1E-4</v>
      </c>
      <c r="P1059" s="4">
        <v>125.06</v>
      </c>
      <c r="Q1059" s="4">
        <v>0.08</v>
      </c>
      <c r="R1059" s="113">
        <f t="shared" si="73"/>
        <v>0.2430709426627794</v>
      </c>
      <c r="S1059" s="22">
        <f t="shared" si="74"/>
        <v>1.5549076773566569E-4</v>
      </c>
    </row>
    <row r="1060" spans="1:19">
      <c r="A1060" s="109" t="s">
        <v>1007</v>
      </c>
      <c r="B1060" s="113" t="s">
        <v>1302</v>
      </c>
      <c r="C1060" s="113"/>
      <c r="D1060" s="113">
        <v>0</v>
      </c>
      <c r="E1060" s="4">
        <v>18</v>
      </c>
      <c r="F1060" s="4">
        <v>13</v>
      </c>
      <c r="G1060" s="4">
        <v>21</v>
      </c>
      <c r="H1060" s="113">
        <v>7.0198999999999998</v>
      </c>
      <c r="I1060" s="4">
        <v>1E-4</v>
      </c>
      <c r="J1060" s="113">
        <v>-43.207999999999998</v>
      </c>
      <c r="K1060" s="4">
        <v>8.0000000000000004E-4</v>
      </c>
      <c r="L1060" s="4">
        <v>2.8000000000000001E-2</v>
      </c>
      <c r="M1060" s="4">
        <v>4.0000000000000001E-3</v>
      </c>
      <c r="N1060" s="4">
        <v>-4.5999999999999999E-3</v>
      </c>
      <c r="O1060" s="4">
        <v>1E-4</v>
      </c>
      <c r="P1060" s="4">
        <v>125.06</v>
      </c>
      <c r="Q1060" s="4">
        <v>0.08</v>
      </c>
      <c r="R1060" s="113">
        <f t="shared" si="73"/>
        <v>0.2430709426627794</v>
      </c>
      <c r="S1060" s="22">
        <f t="shared" si="74"/>
        <v>1.5549076773566569E-4</v>
      </c>
    </row>
    <row r="1061" spans="1:19">
      <c r="A1061" s="109" t="s">
        <v>1008</v>
      </c>
      <c r="B1061" s="113" t="s">
        <v>1303</v>
      </c>
      <c r="C1061" s="113"/>
      <c r="D1061" s="113">
        <v>0</v>
      </c>
      <c r="E1061" s="4">
        <v>18</v>
      </c>
      <c r="F1061" s="4">
        <v>13</v>
      </c>
      <c r="G1061" s="4">
        <v>21</v>
      </c>
      <c r="H1061" s="113">
        <v>7.0198999999999998</v>
      </c>
      <c r="I1061" s="4">
        <v>1E-4</v>
      </c>
      <c r="J1061" s="113">
        <v>-43.207999999999998</v>
      </c>
      <c r="K1061" s="4">
        <v>8.0000000000000004E-4</v>
      </c>
      <c r="L1061" s="4">
        <v>2.8000000000000001E-2</v>
      </c>
      <c r="M1061" s="4">
        <v>4.0000000000000001E-3</v>
      </c>
      <c r="N1061" s="4">
        <v>-4.5999999999999999E-3</v>
      </c>
      <c r="O1061" s="4">
        <v>1E-4</v>
      </c>
      <c r="P1061" s="4">
        <v>125.06</v>
      </c>
      <c r="Q1061" s="4">
        <v>0.08</v>
      </c>
      <c r="R1061" s="113">
        <f t="shared" si="73"/>
        <v>0.2430709426627794</v>
      </c>
      <c r="S1061" s="22">
        <f t="shared" si="74"/>
        <v>1.5549076773566569E-4</v>
      </c>
    </row>
    <row r="1062" spans="1:19">
      <c r="A1062" s="109" t="s">
        <v>1009</v>
      </c>
      <c r="B1062" s="113" t="s">
        <v>1304</v>
      </c>
      <c r="C1062" s="113"/>
      <c r="D1062" s="113">
        <v>0</v>
      </c>
      <c r="E1062" s="4">
        <v>18</v>
      </c>
      <c r="F1062" s="4">
        <v>13</v>
      </c>
      <c r="G1062" s="4">
        <v>21</v>
      </c>
      <c r="H1062" s="113">
        <v>7.0198999999999998</v>
      </c>
      <c r="I1062" s="4">
        <v>1E-4</v>
      </c>
      <c r="J1062" s="113">
        <v>-43.207999999999998</v>
      </c>
      <c r="K1062" s="4">
        <v>8.0000000000000004E-4</v>
      </c>
      <c r="L1062" s="4">
        <v>2.8000000000000001E-2</v>
      </c>
      <c r="M1062" s="4">
        <v>4.0000000000000001E-3</v>
      </c>
      <c r="N1062" s="4">
        <v>-4.5999999999999999E-3</v>
      </c>
      <c r="O1062" s="4">
        <v>1E-4</v>
      </c>
      <c r="P1062" s="4">
        <v>125.06</v>
      </c>
      <c r="Q1062" s="4">
        <v>0.08</v>
      </c>
      <c r="R1062" s="113">
        <f t="shared" si="73"/>
        <v>0.2430709426627794</v>
      </c>
      <c r="S1062" s="22">
        <f t="shared" si="74"/>
        <v>1.5549076773566569E-4</v>
      </c>
    </row>
    <row r="1063" spans="1:19">
      <c r="A1063" s="109" t="s">
        <v>1010</v>
      </c>
      <c r="B1063" s="113" t="s">
        <v>1305</v>
      </c>
      <c r="C1063" s="113"/>
      <c r="D1063" s="113">
        <v>0</v>
      </c>
      <c r="E1063" s="4">
        <v>18</v>
      </c>
      <c r="F1063" s="4">
        <v>14</v>
      </c>
      <c r="G1063" s="4">
        <v>21</v>
      </c>
      <c r="H1063" s="113">
        <v>7.0198999999999998</v>
      </c>
      <c r="I1063" s="4">
        <v>1E-4</v>
      </c>
      <c r="J1063" s="113">
        <v>-43.207999999999998</v>
      </c>
      <c r="K1063" s="4">
        <v>8.0000000000000004E-4</v>
      </c>
      <c r="L1063" s="4">
        <v>2.8000000000000001E-2</v>
      </c>
      <c r="M1063" s="4">
        <v>4.0000000000000001E-3</v>
      </c>
      <c r="N1063" s="4">
        <v>-4.5999999999999999E-3</v>
      </c>
      <c r="O1063" s="4">
        <v>1E-4</v>
      </c>
      <c r="P1063" s="4">
        <v>125.06</v>
      </c>
      <c r="Q1063" s="4">
        <v>0.08</v>
      </c>
      <c r="R1063" s="113">
        <f t="shared" si="73"/>
        <v>0.2430709426627794</v>
      </c>
      <c r="S1063" s="22">
        <f t="shared" si="74"/>
        <v>1.5549076773566569E-4</v>
      </c>
    </row>
    <row r="1064" spans="1:19">
      <c r="A1064" s="109" t="s">
        <v>1011</v>
      </c>
      <c r="B1064" s="113" t="s">
        <v>1306</v>
      </c>
      <c r="C1064" s="113"/>
      <c r="D1064" s="113">
        <v>0</v>
      </c>
      <c r="E1064" s="4">
        <v>18</v>
      </c>
      <c r="F1064" s="4">
        <v>14</v>
      </c>
      <c r="G1064" s="4">
        <v>21</v>
      </c>
      <c r="H1064" s="113">
        <v>7.0198999999999998</v>
      </c>
      <c r="I1064" s="4">
        <v>1E-4</v>
      </c>
      <c r="J1064" s="113">
        <v>-43.207999999999998</v>
      </c>
      <c r="K1064" s="4">
        <v>8.0000000000000004E-4</v>
      </c>
      <c r="L1064" s="4">
        <v>2.8000000000000001E-2</v>
      </c>
      <c r="M1064" s="4">
        <v>4.0000000000000001E-3</v>
      </c>
      <c r="N1064" s="4">
        <v>-4.5999999999999999E-3</v>
      </c>
      <c r="O1064" s="4">
        <v>1E-4</v>
      </c>
      <c r="P1064" s="4">
        <v>125.06</v>
      </c>
      <c r="Q1064" s="4">
        <v>0.08</v>
      </c>
      <c r="R1064" s="113">
        <f t="shared" si="73"/>
        <v>0.2430709426627794</v>
      </c>
      <c r="S1064" s="22">
        <f t="shared" si="74"/>
        <v>1.5549076773566569E-4</v>
      </c>
    </row>
    <row r="1065" spans="1:19">
      <c r="A1065" s="109" t="s">
        <v>1012</v>
      </c>
      <c r="B1065" s="113" t="s">
        <v>1307</v>
      </c>
      <c r="C1065" s="113"/>
      <c r="D1065" s="113">
        <v>0</v>
      </c>
      <c r="E1065" s="4">
        <v>18</v>
      </c>
      <c r="F1065" s="4">
        <v>14</v>
      </c>
      <c r="G1065" s="4">
        <v>21</v>
      </c>
      <c r="H1065" s="113">
        <v>7.0198999999999998</v>
      </c>
      <c r="I1065" s="4">
        <v>1E-4</v>
      </c>
      <c r="J1065" s="113">
        <v>-43.207999999999998</v>
      </c>
      <c r="K1065" s="4">
        <v>8.0000000000000004E-4</v>
      </c>
      <c r="L1065" s="4">
        <v>2.8000000000000001E-2</v>
      </c>
      <c r="M1065" s="4">
        <v>4.0000000000000001E-3</v>
      </c>
      <c r="N1065" s="4">
        <v>-4.5999999999999999E-3</v>
      </c>
      <c r="O1065" s="4">
        <v>1E-4</v>
      </c>
      <c r="P1065" s="4">
        <v>125.06</v>
      </c>
      <c r="Q1065" s="4">
        <v>0.08</v>
      </c>
      <c r="R1065" s="113">
        <f t="shared" si="73"/>
        <v>0.2430709426627794</v>
      </c>
      <c r="S1065" s="22">
        <f t="shared" si="74"/>
        <v>1.5549076773566569E-4</v>
      </c>
    </row>
    <row r="1066" spans="1:19">
      <c r="A1066" s="109" t="s">
        <v>1013</v>
      </c>
      <c r="B1066" s="113" t="s">
        <v>1308</v>
      </c>
      <c r="C1066" s="113"/>
      <c r="D1066" s="113">
        <v>0</v>
      </c>
      <c r="E1066" s="4">
        <v>18</v>
      </c>
      <c r="F1066" s="4">
        <v>14</v>
      </c>
      <c r="G1066" s="4">
        <v>21</v>
      </c>
      <c r="H1066" s="113">
        <v>7.0198999999999998</v>
      </c>
      <c r="I1066" s="4">
        <v>1E-4</v>
      </c>
      <c r="J1066" s="113">
        <v>-43.207999999999998</v>
      </c>
      <c r="K1066" s="4">
        <v>8.0000000000000004E-4</v>
      </c>
      <c r="L1066" s="4">
        <v>2.8000000000000001E-2</v>
      </c>
      <c r="M1066" s="4">
        <v>4.0000000000000001E-3</v>
      </c>
      <c r="N1066" s="4">
        <v>-4.5999999999999999E-3</v>
      </c>
      <c r="O1066" s="4">
        <v>1E-4</v>
      </c>
      <c r="P1066" s="4">
        <v>125.06</v>
      </c>
      <c r="Q1066" s="4">
        <v>0.08</v>
      </c>
      <c r="R1066" s="113">
        <f t="shared" si="73"/>
        <v>0.2430709426627794</v>
      </c>
      <c r="S1066" s="22">
        <f t="shared" si="74"/>
        <v>1.5549076773566569E-4</v>
      </c>
    </row>
    <row r="1067" spans="1:19">
      <c r="A1067" s="109" t="s">
        <v>1014</v>
      </c>
      <c r="B1067" s="113" t="s">
        <v>1309</v>
      </c>
      <c r="C1067" s="113"/>
      <c r="D1067" s="113">
        <v>0</v>
      </c>
      <c r="E1067" s="4">
        <v>18</v>
      </c>
      <c r="F1067" s="4">
        <v>14</v>
      </c>
      <c r="G1067" s="4">
        <v>21</v>
      </c>
      <c r="H1067" s="113">
        <v>7.0198999999999998</v>
      </c>
      <c r="I1067" s="4">
        <v>1E-4</v>
      </c>
      <c r="J1067" s="113">
        <v>-43.207999999999998</v>
      </c>
      <c r="K1067" s="4">
        <v>8.0000000000000004E-4</v>
      </c>
      <c r="L1067" s="4">
        <v>2.8000000000000001E-2</v>
      </c>
      <c r="M1067" s="4">
        <v>4.0000000000000001E-3</v>
      </c>
      <c r="N1067" s="4">
        <v>-4.5999999999999999E-3</v>
      </c>
      <c r="O1067" s="4">
        <v>1E-4</v>
      </c>
      <c r="P1067" s="4">
        <v>125.06</v>
      </c>
      <c r="Q1067" s="4">
        <v>0.08</v>
      </c>
      <c r="R1067" s="113">
        <f t="shared" si="73"/>
        <v>0.2430709426627794</v>
      </c>
      <c r="S1067" s="22">
        <f t="shared" si="74"/>
        <v>1.5549076773566569E-4</v>
      </c>
    </row>
    <row r="1068" spans="1:19">
      <c r="A1068" s="109" t="s">
        <v>1015</v>
      </c>
      <c r="B1068" s="113" t="s">
        <v>1310</v>
      </c>
      <c r="C1068" s="113"/>
      <c r="D1068" s="113">
        <v>0</v>
      </c>
      <c r="E1068" s="4">
        <v>18</v>
      </c>
      <c r="F1068" s="4">
        <v>15</v>
      </c>
      <c r="G1068" s="4">
        <v>21</v>
      </c>
      <c r="H1068" s="113">
        <v>7.0198999999999998</v>
      </c>
      <c r="I1068" s="4">
        <v>1E-4</v>
      </c>
      <c r="J1068" s="113">
        <v>-43.207999999999998</v>
      </c>
      <c r="K1068" s="4">
        <v>8.0000000000000004E-4</v>
      </c>
      <c r="L1068" s="4">
        <v>2.8000000000000001E-2</v>
      </c>
      <c r="M1068" s="4">
        <v>4.0000000000000001E-3</v>
      </c>
      <c r="N1068" s="4">
        <v>-4.5999999999999999E-3</v>
      </c>
      <c r="O1068" s="4">
        <v>1E-4</v>
      </c>
      <c r="P1068" s="4">
        <v>125.06</v>
      </c>
      <c r="Q1068" s="4">
        <v>0.08</v>
      </c>
      <c r="R1068" s="113">
        <f t="shared" si="73"/>
        <v>0.2430709426627794</v>
      </c>
      <c r="S1068" s="22">
        <f t="shared" si="74"/>
        <v>1.5549076773566569E-4</v>
      </c>
    </row>
    <row r="1069" spans="1:19">
      <c r="A1069" s="109" t="s">
        <v>1016</v>
      </c>
      <c r="B1069" s="113" t="s">
        <v>1311</v>
      </c>
      <c r="C1069" s="113"/>
      <c r="D1069" s="113">
        <v>0</v>
      </c>
      <c r="E1069" s="4">
        <v>18</v>
      </c>
      <c r="F1069" s="4">
        <v>15</v>
      </c>
      <c r="G1069" s="4">
        <v>21</v>
      </c>
      <c r="H1069" s="113">
        <v>7.0198999999999998</v>
      </c>
      <c r="I1069" s="4">
        <v>1E-4</v>
      </c>
      <c r="J1069" s="113">
        <v>-43.207999999999998</v>
      </c>
      <c r="K1069" s="4">
        <v>8.0000000000000004E-4</v>
      </c>
      <c r="L1069" s="4">
        <v>2.8000000000000001E-2</v>
      </c>
      <c r="M1069" s="4">
        <v>4.0000000000000001E-3</v>
      </c>
      <c r="N1069" s="4">
        <v>-4.5999999999999999E-3</v>
      </c>
      <c r="O1069" s="4">
        <v>1E-4</v>
      </c>
      <c r="P1069" s="4">
        <v>125.06</v>
      </c>
      <c r="Q1069" s="4">
        <v>0.08</v>
      </c>
      <c r="R1069" s="113">
        <f t="shared" si="73"/>
        <v>0.2430709426627794</v>
      </c>
      <c r="S1069" s="22">
        <f t="shared" si="74"/>
        <v>1.5549076773566569E-4</v>
      </c>
    </row>
    <row r="1070" spans="1:19">
      <c r="A1070" s="109" t="s">
        <v>1017</v>
      </c>
      <c r="B1070" s="113" t="s">
        <v>1312</v>
      </c>
      <c r="C1070" s="113"/>
      <c r="D1070" s="113">
        <v>0</v>
      </c>
      <c r="E1070" s="4">
        <v>18</v>
      </c>
      <c r="F1070" s="4">
        <v>15</v>
      </c>
      <c r="G1070" s="4">
        <v>21</v>
      </c>
      <c r="H1070" s="113">
        <v>7.0198999999999998</v>
      </c>
      <c r="I1070" s="4">
        <v>1E-4</v>
      </c>
      <c r="J1070" s="113">
        <v>-43.207999999999998</v>
      </c>
      <c r="K1070" s="4">
        <v>8.0000000000000004E-4</v>
      </c>
      <c r="L1070" s="4">
        <v>2.8000000000000001E-2</v>
      </c>
      <c r="M1070" s="4">
        <v>4.0000000000000001E-3</v>
      </c>
      <c r="N1070" s="4">
        <v>-4.5999999999999999E-3</v>
      </c>
      <c r="O1070" s="4">
        <v>1E-4</v>
      </c>
      <c r="P1070" s="4">
        <v>125.06</v>
      </c>
      <c r="Q1070" s="4">
        <v>0.08</v>
      </c>
      <c r="R1070" s="113">
        <f t="shared" si="73"/>
        <v>0.2430709426627794</v>
      </c>
      <c r="S1070" s="22">
        <f t="shared" si="74"/>
        <v>1.5549076773566569E-4</v>
      </c>
    </row>
    <row r="1071" spans="1:19">
      <c r="A1071" s="109" t="s">
        <v>1018</v>
      </c>
      <c r="B1071" s="113" t="s">
        <v>1313</v>
      </c>
      <c r="C1071" s="113"/>
      <c r="D1071" s="113">
        <v>0</v>
      </c>
      <c r="E1071" s="4">
        <v>18</v>
      </c>
      <c r="F1071" s="4">
        <v>15</v>
      </c>
      <c r="G1071" s="4">
        <v>21</v>
      </c>
      <c r="H1071" s="113">
        <v>7.0198999999999998</v>
      </c>
      <c r="I1071" s="4">
        <v>1E-4</v>
      </c>
      <c r="J1071" s="113">
        <v>-43.207999999999998</v>
      </c>
      <c r="K1071" s="4">
        <v>8.0000000000000004E-4</v>
      </c>
      <c r="L1071" s="4">
        <v>2.8000000000000001E-2</v>
      </c>
      <c r="M1071" s="4">
        <v>4.0000000000000001E-3</v>
      </c>
      <c r="N1071" s="4">
        <v>-4.5999999999999999E-3</v>
      </c>
      <c r="O1071" s="4">
        <v>1E-4</v>
      </c>
      <c r="P1071" s="4">
        <v>125.06</v>
      </c>
      <c r="Q1071" s="4">
        <v>0.08</v>
      </c>
      <c r="R1071" s="113">
        <f t="shared" si="73"/>
        <v>0.2430709426627794</v>
      </c>
      <c r="S1071" s="22">
        <f t="shared" si="74"/>
        <v>1.5549076773566569E-4</v>
      </c>
    </row>
    <row r="1072" spans="1:19">
      <c r="A1072" s="109" t="s">
        <v>1019</v>
      </c>
      <c r="B1072" s="113" t="s">
        <v>1314</v>
      </c>
      <c r="C1072" s="113"/>
      <c r="D1072" s="113">
        <v>0</v>
      </c>
      <c r="E1072" s="4">
        <v>18</v>
      </c>
      <c r="F1072" s="4">
        <v>15</v>
      </c>
      <c r="G1072" s="4">
        <v>21</v>
      </c>
      <c r="H1072" s="113">
        <v>7.0198999999999998</v>
      </c>
      <c r="I1072" s="4">
        <v>1E-4</v>
      </c>
      <c r="J1072" s="113">
        <v>-43.207999999999998</v>
      </c>
      <c r="K1072" s="4">
        <v>8.0000000000000004E-4</v>
      </c>
      <c r="L1072" s="4">
        <v>2.8000000000000001E-2</v>
      </c>
      <c r="M1072" s="4">
        <v>4.0000000000000001E-3</v>
      </c>
      <c r="N1072" s="4">
        <v>-4.5999999999999999E-3</v>
      </c>
      <c r="O1072" s="4">
        <v>1E-4</v>
      </c>
      <c r="P1072" s="4">
        <v>125.06</v>
      </c>
      <c r="Q1072" s="4">
        <v>0.08</v>
      </c>
      <c r="R1072" s="113">
        <f t="shared" si="73"/>
        <v>0.2430709426627794</v>
      </c>
      <c r="S1072" s="22">
        <f t="shared" si="74"/>
        <v>1.5549076773566569E-4</v>
      </c>
    </row>
    <row r="1073" spans="1:19">
      <c r="A1073" s="109" t="s">
        <v>1020</v>
      </c>
      <c r="B1073" s="113" t="s">
        <v>1315</v>
      </c>
      <c r="C1073" s="113"/>
      <c r="D1073" s="113">
        <v>0</v>
      </c>
      <c r="E1073" s="4">
        <v>18</v>
      </c>
      <c r="F1073" s="4">
        <v>16</v>
      </c>
      <c r="G1073" s="4">
        <v>21</v>
      </c>
      <c r="H1073" s="113">
        <v>7.0198999999999998</v>
      </c>
      <c r="I1073" s="4">
        <v>1E-4</v>
      </c>
      <c r="J1073" s="113">
        <v>-43.207999999999998</v>
      </c>
      <c r="K1073" s="4">
        <v>8.0000000000000004E-4</v>
      </c>
      <c r="L1073" s="4">
        <v>2.8000000000000001E-2</v>
      </c>
      <c r="M1073" s="4">
        <v>4.0000000000000001E-3</v>
      </c>
      <c r="N1073" s="4">
        <v>-4.5999999999999999E-3</v>
      </c>
      <c r="O1073" s="4">
        <v>1E-4</v>
      </c>
      <c r="P1073" s="4">
        <v>125.06</v>
      </c>
      <c r="Q1073" s="4">
        <v>0.08</v>
      </c>
      <c r="R1073" s="113">
        <f t="shared" si="73"/>
        <v>0.2430709426627794</v>
      </c>
      <c r="S1073" s="22">
        <f t="shared" si="74"/>
        <v>1.5549076773566569E-4</v>
      </c>
    </row>
    <row r="1074" spans="1:19">
      <c r="A1074" s="109" t="s">
        <v>1021</v>
      </c>
      <c r="B1074" s="113" t="s">
        <v>1316</v>
      </c>
      <c r="C1074" s="113"/>
      <c r="D1074" s="113">
        <v>0</v>
      </c>
      <c r="E1074" s="4">
        <v>18</v>
      </c>
      <c r="F1074" s="4">
        <v>16</v>
      </c>
      <c r="G1074" s="4">
        <v>21</v>
      </c>
      <c r="H1074" s="113">
        <v>7.0198999999999998</v>
      </c>
      <c r="I1074" s="4">
        <v>1E-4</v>
      </c>
      <c r="J1074" s="113">
        <v>-43.207999999999998</v>
      </c>
      <c r="K1074" s="4">
        <v>8.0000000000000004E-4</v>
      </c>
      <c r="L1074" s="4">
        <v>2.8000000000000001E-2</v>
      </c>
      <c r="M1074" s="4">
        <v>4.0000000000000001E-3</v>
      </c>
      <c r="N1074" s="4">
        <v>-4.5999999999999999E-3</v>
      </c>
      <c r="O1074" s="4">
        <v>1E-4</v>
      </c>
      <c r="P1074" s="4">
        <v>125.06</v>
      </c>
      <c r="Q1074" s="4">
        <v>0.08</v>
      </c>
      <c r="R1074" s="113">
        <f t="shared" si="73"/>
        <v>0.2430709426627794</v>
      </c>
      <c r="S1074" s="22">
        <f t="shared" si="74"/>
        <v>1.5549076773566569E-4</v>
      </c>
    </row>
    <row r="1075" spans="1:19">
      <c r="A1075" s="109" t="s">
        <v>1022</v>
      </c>
      <c r="B1075" s="113" t="s">
        <v>1317</v>
      </c>
      <c r="C1075" s="113"/>
      <c r="D1075" s="113">
        <v>0</v>
      </c>
      <c r="E1075" s="4">
        <v>18</v>
      </c>
      <c r="F1075" s="4">
        <v>16</v>
      </c>
      <c r="G1075" s="4">
        <v>21</v>
      </c>
      <c r="H1075" s="113">
        <v>7.0198999999999998</v>
      </c>
      <c r="I1075" s="4">
        <v>1E-4</v>
      </c>
      <c r="J1075" s="113">
        <v>-43.207999999999998</v>
      </c>
      <c r="K1075" s="4">
        <v>8.0000000000000004E-4</v>
      </c>
      <c r="L1075" s="4">
        <v>2.8000000000000001E-2</v>
      </c>
      <c r="M1075" s="4">
        <v>4.0000000000000001E-3</v>
      </c>
      <c r="N1075" s="4">
        <v>-4.5999999999999999E-3</v>
      </c>
      <c r="O1075" s="4">
        <v>1E-4</v>
      </c>
      <c r="P1075" s="4">
        <v>125.06</v>
      </c>
      <c r="Q1075" s="4">
        <v>0.08</v>
      </c>
      <c r="R1075" s="113">
        <f t="shared" si="73"/>
        <v>0.2430709426627794</v>
      </c>
      <c r="S1075" s="22">
        <f t="shared" si="74"/>
        <v>1.5549076773566569E-4</v>
      </c>
    </row>
    <row r="1076" spans="1:19">
      <c r="A1076" s="109" t="s">
        <v>1023</v>
      </c>
      <c r="B1076" s="113" t="s">
        <v>1318</v>
      </c>
      <c r="C1076" s="113"/>
      <c r="D1076" s="113">
        <v>0</v>
      </c>
      <c r="E1076" s="4">
        <v>18</v>
      </c>
      <c r="F1076" s="4">
        <v>16</v>
      </c>
      <c r="G1076" s="4">
        <v>21</v>
      </c>
      <c r="H1076" s="113">
        <v>7.0198999999999998</v>
      </c>
      <c r="I1076" s="4">
        <v>1E-4</v>
      </c>
      <c r="J1076" s="113">
        <v>-43.207999999999998</v>
      </c>
      <c r="K1076" s="4">
        <v>8.0000000000000004E-4</v>
      </c>
      <c r="L1076" s="4">
        <v>2.8000000000000001E-2</v>
      </c>
      <c r="M1076" s="4">
        <v>4.0000000000000001E-3</v>
      </c>
      <c r="N1076" s="4">
        <v>-4.5999999999999999E-3</v>
      </c>
      <c r="O1076" s="4">
        <v>1E-4</v>
      </c>
      <c r="P1076" s="4">
        <v>125.06</v>
      </c>
      <c r="Q1076" s="4">
        <v>0.08</v>
      </c>
      <c r="R1076" s="113">
        <f t="shared" si="73"/>
        <v>0.2430709426627794</v>
      </c>
      <c r="S1076" s="22">
        <f t="shared" si="74"/>
        <v>1.5549076773566569E-4</v>
      </c>
    </row>
    <row r="1077" spans="1:19">
      <c r="A1077" s="109" t="s">
        <v>1024</v>
      </c>
      <c r="B1077" s="113" t="s">
        <v>1319</v>
      </c>
      <c r="C1077" s="113"/>
      <c r="D1077" s="113">
        <v>0</v>
      </c>
      <c r="E1077" s="4">
        <v>18</v>
      </c>
      <c r="F1077" s="4">
        <v>16</v>
      </c>
      <c r="G1077" s="4">
        <v>21</v>
      </c>
      <c r="H1077" s="113">
        <v>7.0198999999999998</v>
      </c>
      <c r="I1077" s="4">
        <v>1E-4</v>
      </c>
      <c r="J1077" s="113">
        <v>-43.207999999999998</v>
      </c>
      <c r="K1077" s="4">
        <v>8.0000000000000004E-4</v>
      </c>
      <c r="L1077" s="4">
        <v>2.8000000000000001E-2</v>
      </c>
      <c r="M1077" s="4">
        <v>4.0000000000000001E-3</v>
      </c>
      <c r="N1077" s="4">
        <v>-4.5999999999999999E-3</v>
      </c>
      <c r="O1077" s="4">
        <v>1E-4</v>
      </c>
      <c r="P1077" s="4">
        <v>125.06</v>
      </c>
      <c r="Q1077" s="4">
        <v>0.08</v>
      </c>
      <c r="R1077" s="113">
        <f t="shared" si="73"/>
        <v>0.2430709426627794</v>
      </c>
      <c r="S1077" s="22">
        <f t="shared" si="74"/>
        <v>1.5549076773566569E-4</v>
      </c>
    </row>
    <row r="1078" spans="1:19">
      <c r="A1078" s="109" t="s">
        <v>1025</v>
      </c>
      <c r="B1078" s="113" t="s">
        <v>1320</v>
      </c>
      <c r="C1078" s="113"/>
      <c r="D1078" s="113">
        <v>0</v>
      </c>
      <c r="E1078" s="4">
        <v>18</v>
      </c>
      <c r="F1078" s="4">
        <v>17</v>
      </c>
      <c r="G1078" s="4">
        <v>21</v>
      </c>
      <c r="H1078" s="113">
        <v>7.0198999999999998</v>
      </c>
      <c r="I1078" s="4">
        <v>1E-4</v>
      </c>
      <c r="J1078" s="113">
        <v>-43.207999999999998</v>
      </c>
      <c r="K1078" s="4">
        <v>8.0000000000000004E-4</v>
      </c>
      <c r="L1078" s="4">
        <v>2.8000000000000001E-2</v>
      </c>
      <c r="M1078" s="4">
        <v>4.0000000000000001E-3</v>
      </c>
      <c r="N1078" s="4">
        <v>-4.5999999999999999E-3</v>
      </c>
      <c r="O1078" s="4">
        <v>1E-4</v>
      </c>
      <c r="P1078" s="4">
        <v>125.06</v>
      </c>
      <c r="Q1078" s="4">
        <v>0.08</v>
      </c>
      <c r="R1078" s="113">
        <f t="shared" si="73"/>
        <v>0.2430709426627794</v>
      </c>
      <c r="S1078" s="22">
        <f t="shared" si="74"/>
        <v>1.5549076773566569E-4</v>
      </c>
    </row>
    <row r="1079" spans="1:19">
      <c r="A1079" s="109" t="s">
        <v>1026</v>
      </c>
      <c r="B1079" s="113" t="s">
        <v>1321</v>
      </c>
      <c r="C1079" s="113"/>
      <c r="D1079" s="113">
        <v>0</v>
      </c>
      <c r="E1079" s="4">
        <v>18</v>
      </c>
      <c r="F1079" s="4">
        <v>17</v>
      </c>
      <c r="G1079" s="4">
        <v>21</v>
      </c>
      <c r="H1079" s="113">
        <v>7.0198999999999998</v>
      </c>
      <c r="I1079" s="4">
        <v>1E-4</v>
      </c>
      <c r="J1079" s="113">
        <v>-43.207999999999998</v>
      </c>
      <c r="K1079" s="4">
        <v>8.0000000000000004E-4</v>
      </c>
      <c r="L1079" s="4">
        <v>2.8000000000000001E-2</v>
      </c>
      <c r="M1079" s="4">
        <v>4.0000000000000001E-3</v>
      </c>
      <c r="N1079" s="4">
        <v>-4.5999999999999999E-3</v>
      </c>
      <c r="O1079" s="4">
        <v>1E-4</v>
      </c>
      <c r="P1079" s="4">
        <v>125.06</v>
      </c>
      <c r="Q1079" s="4">
        <v>0.08</v>
      </c>
      <c r="R1079" s="113">
        <f t="shared" si="73"/>
        <v>0.2430709426627794</v>
      </c>
      <c r="S1079" s="22">
        <f t="shared" si="74"/>
        <v>1.5549076773566569E-4</v>
      </c>
    </row>
    <row r="1080" spans="1:19">
      <c r="A1080" s="109" t="s">
        <v>1027</v>
      </c>
      <c r="B1080" s="113" t="s">
        <v>1322</v>
      </c>
      <c r="C1080" s="113"/>
      <c r="D1080" s="113">
        <v>0</v>
      </c>
      <c r="E1080" s="4">
        <v>18</v>
      </c>
      <c r="F1080" s="4">
        <v>17</v>
      </c>
      <c r="G1080" s="4">
        <v>21</v>
      </c>
      <c r="H1080" s="113">
        <v>7.0198999999999998</v>
      </c>
      <c r="I1080" s="4">
        <v>1E-4</v>
      </c>
      <c r="J1080" s="113">
        <v>-43.207999999999998</v>
      </c>
      <c r="K1080" s="4">
        <v>8.0000000000000004E-4</v>
      </c>
      <c r="L1080" s="4">
        <v>2.8000000000000001E-2</v>
      </c>
      <c r="M1080" s="4">
        <v>4.0000000000000001E-3</v>
      </c>
      <c r="N1080" s="4">
        <v>-4.5999999999999999E-3</v>
      </c>
      <c r="O1080" s="4">
        <v>1E-4</v>
      </c>
      <c r="P1080" s="4">
        <v>125.06</v>
      </c>
      <c r="Q1080" s="4">
        <v>0.08</v>
      </c>
      <c r="R1080" s="113">
        <f t="shared" si="73"/>
        <v>0.2430709426627794</v>
      </c>
      <c r="S1080" s="22">
        <f t="shared" si="74"/>
        <v>1.5549076773566569E-4</v>
      </c>
    </row>
    <row r="1081" spans="1:19" ht="17" thickBot="1">
      <c r="A1081" s="141" t="s">
        <v>1028</v>
      </c>
      <c r="B1081" s="140" t="s">
        <v>1323</v>
      </c>
      <c r="C1081" s="140"/>
      <c r="D1081" s="140">
        <v>0</v>
      </c>
      <c r="E1081" s="56">
        <v>18</v>
      </c>
      <c r="F1081" s="56">
        <v>17</v>
      </c>
      <c r="G1081" s="56">
        <v>21</v>
      </c>
      <c r="H1081" s="140">
        <v>7.0198999999999998</v>
      </c>
      <c r="I1081" s="56">
        <v>1E-4</v>
      </c>
      <c r="J1081" s="140">
        <v>-43.207999999999998</v>
      </c>
      <c r="K1081" s="56">
        <v>8.0000000000000004E-4</v>
      </c>
      <c r="L1081" s="56">
        <v>2.8000000000000001E-2</v>
      </c>
      <c r="M1081" s="56">
        <v>4.0000000000000001E-3</v>
      </c>
      <c r="N1081" s="56">
        <v>-4.5999999999999999E-3</v>
      </c>
      <c r="O1081" s="56">
        <v>1E-4</v>
      </c>
      <c r="P1081" s="56">
        <v>125.06</v>
      </c>
      <c r="Q1081" s="56">
        <v>0.08</v>
      </c>
      <c r="R1081" s="140">
        <f t="shared" si="73"/>
        <v>0.2430709426627794</v>
      </c>
      <c r="S1081" s="57">
        <f t="shared" si="74"/>
        <v>1.5549076773566569E-4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49"/>
  <sheetViews>
    <sheetView zoomScale="66" workbookViewId="0">
      <selection activeCell="H19" sqref="H19"/>
    </sheetView>
  </sheetViews>
  <sheetFormatPr baseColWidth="10" defaultColWidth="8.83203125" defaultRowHeight="16"/>
  <cols>
    <col min="1" max="1" width="17.33203125" style="4" customWidth="1"/>
    <col min="2" max="2" width="20.6640625" style="4" customWidth="1"/>
    <col min="3" max="3" width="19" style="4" customWidth="1"/>
    <col min="4" max="16384" width="8.83203125" style="4"/>
  </cols>
  <sheetData>
    <row r="1" spans="1:20" ht="17" thickBot="1">
      <c r="A1" s="114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6" t="s">
        <v>1712</v>
      </c>
      <c r="I1" s="179" t="s">
        <v>1714</v>
      </c>
      <c r="J1" s="116" t="s">
        <v>7</v>
      </c>
      <c r="K1" s="116" t="s">
        <v>1713</v>
      </c>
      <c r="L1" s="116" t="s">
        <v>8</v>
      </c>
      <c r="M1" s="116" t="s">
        <v>1713</v>
      </c>
      <c r="N1" s="116" t="s">
        <v>9</v>
      </c>
      <c r="O1" s="116" t="s">
        <v>1713</v>
      </c>
      <c r="P1" s="116" t="s">
        <v>10</v>
      </c>
      <c r="Q1" s="116" t="s">
        <v>1713</v>
      </c>
      <c r="R1" s="117" t="s">
        <v>11</v>
      </c>
      <c r="S1" s="180" t="s">
        <v>1715</v>
      </c>
      <c r="T1" s="3"/>
    </row>
    <row r="2" spans="1:20">
      <c r="A2" s="109" t="s">
        <v>1324</v>
      </c>
      <c r="B2" s="113" t="s">
        <v>1710</v>
      </c>
      <c r="C2" s="113" t="s">
        <v>13</v>
      </c>
      <c r="D2" s="164">
        <v>0</v>
      </c>
      <c r="E2" s="4">
        <v>14</v>
      </c>
      <c r="F2" s="4">
        <v>0</v>
      </c>
      <c r="G2" s="4">
        <v>19</v>
      </c>
      <c r="H2" s="113">
        <v>6.7015000000000002</v>
      </c>
      <c r="I2" s="4">
        <v>1E-4</v>
      </c>
      <c r="J2" s="113">
        <v>-39.135199999999998</v>
      </c>
      <c r="K2" s="4">
        <v>1.8E-3</v>
      </c>
      <c r="L2" s="4">
        <v>2.8000000000000001E-2</v>
      </c>
      <c r="M2" s="4">
        <v>5.0000000000000001E-3</v>
      </c>
      <c r="N2" s="4">
        <v>-5.1000000000000004E-3</v>
      </c>
      <c r="O2" s="4">
        <v>1E-4</v>
      </c>
      <c r="P2" s="4">
        <v>128.54</v>
      </c>
      <c r="Q2" s="4">
        <v>0.21</v>
      </c>
      <c r="R2" s="113">
        <f>P2*E2/G2^3</f>
        <v>0.26236477620644411</v>
      </c>
      <c r="S2" s="22">
        <f>Q2*E2/G2^3</f>
        <v>4.2863391164892843E-4</v>
      </c>
    </row>
    <row r="3" spans="1:20">
      <c r="A3" s="44" t="s">
        <v>1324</v>
      </c>
      <c r="B3" s="45" t="s">
        <v>1710</v>
      </c>
      <c r="C3" s="45" t="s">
        <v>13</v>
      </c>
      <c r="D3" s="169">
        <v>0.25</v>
      </c>
      <c r="E3" s="4">
        <v>14</v>
      </c>
      <c r="F3" s="4">
        <v>0</v>
      </c>
      <c r="G3" s="4">
        <v>19</v>
      </c>
      <c r="H3" s="45">
        <v>5.0262000000000002</v>
      </c>
      <c r="I3" s="4">
        <v>5.0000000000000001E-4</v>
      </c>
      <c r="J3" s="45">
        <v>-29.351400000000002</v>
      </c>
      <c r="K3" s="4">
        <v>5.9999999999999995E-4</v>
      </c>
      <c r="L3" s="4">
        <v>2.5999999999999999E-2</v>
      </c>
      <c r="M3" s="4">
        <v>7.0000000000000001E-3</v>
      </c>
      <c r="N3" s="4">
        <v>-7.1000000000000004E-3</v>
      </c>
      <c r="O3" s="4">
        <v>2.9999999999999997E-4</v>
      </c>
      <c r="P3" s="4">
        <v>128.34</v>
      </c>
      <c r="Q3" s="4">
        <v>0.18</v>
      </c>
      <c r="R3" s="45">
        <f>P3*E3/G3^3</f>
        <v>0.26195655343344509</v>
      </c>
      <c r="S3" s="22">
        <f>Q3*E3/G3^3</f>
        <v>3.6740049569908149E-4</v>
      </c>
    </row>
    <row r="4" spans="1:20">
      <c r="A4" s="23" t="s">
        <v>1324</v>
      </c>
      <c r="B4" s="4" t="s">
        <v>1710</v>
      </c>
      <c r="C4" s="4" t="s">
        <v>13</v>
      </c>
      <c r="D4" s="165">
        <v>0.5</v>
      </c>
      <c r="E4" s="4">
        <v>14</v>
      </c>
      <c r="F4" s="4">
        <v>0</v>
      </c>
      <c r="G4" s="4">
        <v>19</v>
      </c>
      <c r="H4" s="4">
        <v>3.3513999999999999</v>
      </c>
      <c r="I4" s="4">
        <v>6.9999999999999999E-4</v>
      </c>
      <c r="J4" s="4">
        <v>-19.567499999999999</v>
      </c>
      <c r="K4" s="4">
        <v>1.1000000000000001E-3</v>
      </c>
      <c r="L4" s="4">
        <v>2.5999999999999999E-2</v>
      </c>
      <c r="M4" s="4">
        <v>7.0000000000000001E-3</v>
      </c>
      <c r="N4" s="4">
        <v>-1.0699999999999999E-2</v>
      </c>
      <c r="O4" s="4">
        <v>2.9999999999999997E-4</v>
      </c>
      <c r="P4" s="4">
        <v>128.22999999999999</v>
      </c>
      <c r="Q4" s="4">
        <v>0.11</v>
      </c>
      <c r="R4" s="4">
        <f>P4*E4/G4^3</f>
        <v>0.26173203090829567</v>
      </c>
      <c r="S4" s="22">
        <f>Q4*E4/G4^3</f>
        <v>2.2452252514943869E-4</v>
      </c>
    </row>
    <row r="5" spans="1:20" ht="17" thickBot="1">
      <c r="A5" s="28" t="s">
        <v>1324</v>
      </c>
      <c r="B5" s="29" t="s">
        <v>1710</v>
      </c>
      <c r="C5" s="29" t="s">
        <v>13</v>
      </c>
      <c r="D5" s="166">
        <v>0.75</v>
      </c>
      <c r="E5" s="4">
        <v>14</v>
      </c>
      <c r="F5" s="4">
        <v>0</v>
      </c>
      <c r="G5" s="4">
        <v>19</v>
      </c>
      <c r="H5" s="29">
        <v>1.6758</v>
      </c>
      <c r="I5" s="4">
        <v>2.9999999999999997E-4</v>
      </c>
      <c r="J5" s="29">
        <v>-9.7835000000000001</v>
      </c>
      <c r="K5" s="4">
        <v>5.0000000000000001E-4</v>
      </c>
      <c r="L5" s="4">
        <v>3.2000000000000001E-2</v>
      </c>
      <c r="M5" s="4">
        <v>6.0000000000000001E-3</v>
      </c>
      <c r="N5" s="4">
        <v>-2.0899999999999998E-2</v>
      </c>
      <c r="O5" s="4">
        <v>8.9999999999999998E-4</v>
      </c>
      <c r="P5" s="4">
        <v>128.31</v>
      </c>
      <c r="Q5" s="4">
        <v>0.18</v>
      </c>
      <c r="R5" s="29">
        <f>P5*E5/G5^3</f>
        <v>0.26189532001749527</v>
      </c>
      <c r="S5" s="22">
        <f>Q5*E5/G5^3</f>
        <v>3.6740049569908149E-4</v>
      </c>
    </row>
    <row r="6" spans="1:20">
      <c r="A6" s="151" t="s">
        <v>1325</v>
      </c>
      <c r="B6" s="145" t="s">
        <v>1413</v>
      </c>
      <c r="C6" s="145" t="s">
        <v>19</v>
      </c>
      <c r="D6" s="152">
        <v>0.25</v>
      </c>
      <c r="E6" s="150">
        <v>14</v>
      </c>
      <c r="F6" s="150">
        <v>1</v>
      </c>
      <c r="G6" s="150">
        <v>19</v>
      </c>
      <c r="H6" s="145">
        <v>5.0420999999999996</v>
      </c>
      <c r="I6" s="150">
        <v>2.9999999999999997E-4</v>
      </c>
      <c r="J6" s="145">
        <v>-29.432400000000001</v>
      </c>
      <c r="K6" s="150">
        <v>8.9999999999999998E-4</v>
      </c>
      <c r="L6" s="150">
        <v>2.3E-2</v>
      </c>
      <c r="M6" s="150">
        <v>5.0000000000000001E-3</v>
      </c>
      <c r="N6" s="150">
        <v>-6.8999999999999999E-3</v>
      </c>
      <c r="O6" s="150">
        <v>1E-4</v>
      </c>
      <c r="P6" s="150">
        <v>128.4</v>
      </c>
      <c r="Q6" s="150">
        <v>0.14000000000000001</v>
      </c>
      <c r="R6" s="145">
        <f>P6*E6/G6^3</f>
        <v>0.2620790202653448</v>
      </c>
      <c r="S6" s="144">
        <f>Q6*E6/G6^3</f>
        <v>2.8575594109928564E-4</v>
      </c>
    </row>
    <row r="7" spans="1:20">
      <c r="A7" s="23" t="s">
        <v>1325</v>
      </c>
      <c r="B7" s="4" t="s">
        <v>1413</v>
      </c>
      <c r="C7" s="4" t="s">
        <v>19</v>
      </c>
      <c r="D7" s="165">
        <v>0.5</v>
      </c>
      <c r="E7" s="4">
        <v>14</v>
      </c>
      <c r="F7" s="4">
        <v>1</v>
      </c>
      <c r="G7" s="4">
        <v>19</v>
      </c>
      <c r="H7" s="4">
        <v>3.3837000000000002</v>
      </c>
      <c r="I7" s="4">
        <v>6.9999999999999999E-4</v>
      </c>
      <c r="J7" s="4">
        <v>-19.735700000000001</v>
      </c>
      <c r="K7" s="4">
        <v>1E-3</v>
      </c>
      <c r="L7" s="4">
        <v>0.04</v>
      </c>
      <c r="M7" s="4">
        <v>7.0000000000000001E-3</v>
      </c>
      <c r="N7" s="4">
        <v>-9.7999999999999997E-3</v>
      </c>
      <c r="O7" s="4">
        <v>1E-3</v>
      </c>
      <c r="P7" s="4">
        <v>128.63999999999999</v>
      </c>
      <c r="Q7" s="4">
        <v>0.61</v>
      </c>
      <c r="R7" s="4">
        <f t="shared" ref="R7:R180" si="0">P7*E7/G7^3</f>
        <v>0.26256888759294356</v>
      </c>
      <c r="S7" s="22">
        <f t="shared" ref="S7:S180" si="1">Q7*E7/G7^3</f>
        <v>1.2450794576468872E-3</v>
      </c>
    </row>
    <row r="8" spans="1:20">
      <c r="A8" s="28" t="s">
        <v>1325</v>
      </c>
      <c r="B8" s="29" t="s">
        <v>1413</v>
      </c>
      <c r="C8" s="29" t="s">
        <v>19</v>
      </c>
      <c r="D8" s="166">
        <v>0.75</v>
      </c>
      <c r="E8" s="4">
        <v>14</v>
      </c>
      <c r="F8" s="4">
        <v>1</v>
      </c>
      <c r="G8" s="4">
        <v>19</v>
      </c>
      <c r="H8" s="29">
        <v>1.7282999999999999</v>
      </c>
      <c r="I8" s="4">
        <v>2.9999999999999997E-4</v>
      </c>
      <c r="J8" s="29">
        <v>-10.071300000000001</v>
      </c>
      <c r="K8" s="4">
        <v>4.0000000000000002E-4</v>
      </c>
      <c r="L8" s="4">
        <v>0.04</v>
      </c>
      <c r="M8" s="4">
        <v>7.0000000000000001E-3</v>
      </c>
      <c r="N8" s="4">
        <v>-2.1299999999999999E-2</v>
      </c>
      <c r="O8" s="4">
        <v>8.0000000000000004E-4</v>
      </c>
      <c r="P8" s="4">
        <v>127.86</v>
      </c>
      <c r="Q8" s="4">
        <v>0.27</v>
      </c>
      <c r="R8" s="29">
        <f t="shared" si="0"/>
        <v>0.26097681877824758</v>
      </c>
      <c r="S8" s="22">
        <f t="shared" si="1"/>
        <v>5.5110074354862231E-4</v>
      </c>
    </row>
    <row r="9" spans="1:20">
      <c r="A9" s="44" t="s">
        <v>1326</v>
      </c>
      <c r="B9" s="168">
        <v>11111111111112</v>
      </c>
      <c r="C9" s="168" t="s">
        <v>17</v>
      </c>
      <c r="D9" s="169">
        <v>0.25</v>
      </c>
      <c r="E9" s="4">
        <v>14</v>
      </c>
      <c r="F9" s="4">
        <v>1</v>
      </c>
      <c r="G9" s="4">
        <v>19</v>
      </c>
      <c r="H9" s="45">
        <v>5.0479000000000003</v>
      </c>
      <c r="I9" s="4">
        <v>8.0000000000000004E-4</v>
      </c>
      <c r="J9" s="45">
        <v>-29.443999999999999</v>
      </c>
      <c r="K9" s="4">
        <v>1.6000000000000001E-3</v>
      </c>
      <c r="L9" s="4">
        <v>2.5999999999999999E-2</v>
      </c>
      <c r="M9" s="4">
        <v>6.0000000000000001E-3</v>
      </c>
      <c r="N9" s="4">
        <v>-6.7000000000000002E-3</v>
      </c>
      <c r="O9" s="4">
        <v>2.0000000000000001E-4</v>
      </c>
      <c r="P9" s="4">
        <v>128.55000000000001</v>
      </c>
      <c r="Q9" s="4">
        <v>0.17</v>
      </c>
      <c r="R9" s="45">
        <f>P9*E9/G9^3</f>
        <v>0.26238518734509408</v>
      </c>
      <c r="S9" s="22">
        <f>Q9*E9/G9^3</f>
        <v>3.4698935704913258E-4</v>
      </c>
    </row>
    <row r="10" spans="1:20">
      <c r="A10" s="23" t="s">
        <v>1326</v>
      </c>
      <c r="B10" s="170">
        <v>11111111111112</v>
      </c>
      <c r="C10" s="170" t="s">
        <v>17</v>
      </c>
      <c r="D10" s="165">
        <v>0.5</v>
      </c>
      <c r="E10" s="4">
        <v>14</v>
      </c>
      <c r="F10" s="4">
        <v>1</v>
      </c>
      <c r="G10" s="4">
        <v>19</v>
      </c>
      <c r="H10" s="4">
        <v>3.3944000000000001</v>
      </c>
      <c r="I10" s="4">
        <v>5.0000000000000001E-4</v>
      </c>
      <c r="J10" s="4">
        <v>-19.7652</v>
      </c>
      <c r="K10" s="4">
        <v>2.3E-3</v>
      </c>
      <c r="L10" s="4">
        <v>3.4000000000000002E-2</v>
      </c>
      <c r="M10" s="4">
        <v>8.0000000000000002E-3</v>
      </c>
      <c r="N10" s="4">
        <v>-1.04E-2</v>
      </c>
      <c r="O10" s="4">
        <v>2.9999999999999997E-4</v>
      </c>
      <c r="P10" s="4">
        <v>128.13</v>
      </c>
      <c r="Q10" s="4">
        <v>0.35</v>
      </c>
      <c r="R10" s="4">
        <f t="shared" si="0"/>
        <v>0.26152791952179616</v>
      </c>
      <c r="S10" s="22">
        <f t="shared" si="1"/>
        <v>7.143898527482139E-4</v>
      </c>
    </row>
    <row r="11" spans="1:20" ht="17" thickBot="1">
      <c r="A11" s="28" t="s">
        <v>1326</v>
      </c>
      <c r="B11" s="171">
        <v>11111111111112</v>
      </c>
      <c r="C11" s="171" t="s">
        <v>17</v>
      </c>
      <c r="D11" s="166">
        <v>0.75</v>
      </c>
      <c r="E11" s="4">
        <v>14</v>
      </c>
      <c r="F11" s="4">
        <v>1</v>
      </c>
      <c r="G11" s="4">
        <v>19</v>
      </c>
      <c r="H11" s="29">
        <v>1.7508999999999999</v>
      </c>
      <c r="I11" s="4">
        <v>2.0000000000000001E-4</v>
      </c>
      <c r="J11" s="29">
        <v>-10.1225</v>
      </c>
      <c r="K11" s="4">
        <v>4.0000000000000002E-4</v>
      </c>
      <c r="L11" s="4">
        <v>2.5999999999999999E-2</v>
      </c>
      <c r="M11" s="4">
        <v>1.0999999999999999E-2</v>
      </c>
      <c r="N11" s="4">
        <v>-2.0199999999999999E-2</v>
      </c>
      <c r="O11" s="4">
        <v>6.9999999999999999E-4</v>
      </c>
      <c r="P11" s="4">
        <v>127.58</v>
      </c>
      <c r="Q11" s="4">
        <v>0.15</v>
      </c>
      <c r="R11" s="29">
        <f t="shared" si="0"/>
        <v>0.26040530689604896</v>
      </c>
      <c r="S11" s="22">
        <f t="shared" si="1"/>
        <v>3.061670797492346E-4</v>
      </c>
    </row>
    <row r="12" spans="1:20">
      <c r="A12" s="151" t="s">
        <v>1327</v>
      </c>
      <c r="B12" s="153" t="s">
        <v>1415</v>
      </c>
      <c r="C12" s="153"/>
      <c r="D12" s="152">
        <v>0.25</v>
      </c>
      <c r="E12" s="150">
        <v>14</v>
      </c>
      <c r="F12" s="150">
        <v>2</v>
      </c>
      <c r="G12" s="150">
        <v>19</v>
      </c>
      <c r="H12" s="145">
        <v>5.1043000000000003</v>
      </c>
      <c r="I12" s="150">
        <v>2.9999999999999997E-4</v>
      </c>
      <c r="J12" s="145">
        <v>-29.8142</v>
      </c>
      <c r="K12" s="150">
        <v>6.9999999999999999E-4</v>
      </c>
      <c r="L12" s="150">
        <v>2.8000000000000001E-2</v>
      </c>
      <c r="M12" s="150">
        <v>2E-3</v>
      </c>
      <c r="N12" s="150">
        <v>-6.7999999999999996E-3</v>
      </c>
      <c r="O12" s="150">
        <v>2.0000000000000001E-4</v>
      </c>
      <c r="P12" s="150">
        <v>128.33000000000001</v>
      </c>
      <c r="Q12" s="150">
        <v>0.27</v>
      </c>
      <c r="R12" s="145">
        <f>P12*E12/G12^3</f>
        <v>0.26193614229479517</v>
      </c>
      <c r="S12" s="144">
        <f>Q12*E12/G12^3</f>
        <v>5.5110074354862231E-4</v>
      </c>
    </row>
    <row r="13" spans="1:20">
      <c r="A13" s="23" t="s">
        <v>1327</v>
      </c>
      <c r="B13" s="82" t="s">
        <v>1415</v>
      </c>
      <c r="C13" s="82"/>
      <c r="D13" s="165">
        <v>0.5</v>
      </c>
      <c r="E13" s="4">
        <v>14</v>
      </c>
      <c r="F13" s="4">
        <v>2</v>
      </c>
      <c r="G13" s="4">
        <v>19</v>
      </c>
      <c r="H13" s="4">
        <v>3.5131999999999999</v>
      </c>
      <c r="I13" s="4">
        <v>5.9999999999999995E-4</v>
      </c>
      <c r="J13" s="4">
        <v>-20.548400000000001</v>
      </c>
      <c r="K13" s="4">
        <v>5.9999999999999995E-4</v>
      </c>
      <c r="L13" s="4">
        <v>3.2000000000000001E-2</v>
      </c>
      <c r="M13" s="4">
        <v>8.0000000000000002E-3</v>
      </c>
      <c r="N13" s="4">
        <v>-1.03E-2</v>
      </c>
      <c r="O13" s="4">
        <v>4.0000000000000002E-4</v>
      </c>
      <c r="P13" s="4">
        <v>127.41</v>
      </c>
      <c r="Q13" s="4">
        <v>0.17</v>
      </c>
      <c r="R13" s="4">
        <f t="shared" si="0"/>
        <v>0.26005831753899983</v>
      </c>
      <c r="S13" s="22">
        <f t="shared" si="1"/>
        <v>3.4698935704913258E-4</v>
      </c>
    </row>
    <row r="14" spans="1:20">
      <c r="A14" s="28" t="s">
        <v>1327</v>
      </c>
      <c r="B14" s="84" t="s">
        <v>1415</v>
      </c>
      <c r="C14" s="84"/>
      <c r="D14" s="166">
        <v>0.75</v>
      </c>
      <c r="E14" s="4">
        <v>14</v>
      </c>
      <c r="F14" s="4">
        <v>2</v>
      </c>
      <c r="G14" s="4">
        <v>19</v>
      </c>
      <c r="H14" s="29">
        <v>1.9684999999999999</v>
      </c>
      <c r="I14" s="4">
        <v>5.0000000000000001E-4</v>
      </c>
      <c r="J14" s="29">
        <v>-11.6098</v>
      </c>
      <c r="K14" s="4">
        <v>5.9999999999999995E-4</v>
      </c>
      <c r="L14" s="4">
        <v>7.2999999999999995E-2</v>
      </c>
      <c r="M14" s="4">
        <v>1.4999999999999999E-2</v>
      </c>
      <c r="N14" s="4">
        <v>-2.3900000000000001E-2</v>
      </c>
      <c r="O14" s="4">
        <v>8.0000000000000004E-4</v>
      </c>
      <c r="P14" s="4">
        <v>120.14</v>
      </c>
      <c r="Q14" s="4">
        <v>0.36</v>
      </c>
      <c r="R14" s="29">
        <f t="shared" si="0"/>
        <v>0.24521941974048694</v>
      </c>
      <c r="S14" s="22">
        <f t="shared" si="1"/>
        <v>7.3480099139816297E-4</v>
      </c>
    </row>
    <row r="15" spans="1:20">
      <c r="A15" s="44" t="s">
        <v>1328</v>
      </c>
      <c r="B15" s="168">
        <v>11111111111122</v>
      </c>
      <c r="C15" s="168" t="s">
        <v>17</v>
      </c>
      <c r="D15" s="169">
        <v>0.25</v>
      </c>
      <c r="E15" s="4">
        <v>14</v>
      </c>
      <c r="F15" s="4">
        <v>2</v>
      </c>
      <c r="G15" s="4">
        <v>19</v>
      </c>
      <c r="H15" s="45">
        <v>5.1083999999999996</v>
      </c>
      <c r="I15" s="4">
        <v>8.0000000000000004E-4</v>
      </c>
      <c r="J15" s="45">
        <v>-29.72</v>
      </c>
      <c r="K15" s="4">
        <v>1.1999999999999999E-3</v>
      </c>
      <c r="L15" s="4">
        <v>3.2000000000000001E-2</v>
      </c>
      <c r="M15" s="4">
        <v>3.0000000000000001E-3</v>
      </c>
      <c r="N15" s="4">
        <v>-6.8999999999999999E-3</v>
      </c>
      <c r="O15" s="4">
        <v>2.9999999999999997E-4</v>
      </c>
      <c r="P15" s="4">
        <v>128.19999999999999</v>
      </c>
      <c r="Q15" s="4">
        <v>0.21</v>
      </c>
      <c r="R15" s="45">
        <f>P15*E15/G15^3</f>
        <v>0.26167079749234579</v>
      </c>
      <c r="S15" s="22">
        <f>Q15*E15/G15^3</f>
        <v>4.2863391164892843E-4</v>
      </c>
    </row>
    <row r="16" spans="1:20">
      <c r="A16" s="23" t="s">
        <v>1328</v>
      </c>
      <c r="B16" s="170">
        <v>11111111111122</v>
      </c>
      <c r="C16" s="170" t="s">
        <v>17</v>
      </c>
      <c r="D16" s="165">
        <v>0.5</v>
      </c>
      <c r="E16" s="4">
        <v>14</v>
      </c>
      <c r="F16" s="4">
        <v>2</v>
      </c>
      <c r="G16" s="4">
        <v>19</v>
      </c>
      <c r="H16" s="4">
        <v>3.5243000000000002</v>
      </c>
      <c r="I16" s="4">
        <v>4.0000000000000002E-4</v>
      </c>
      <c r="J16" s="4">
        <v>-20.3765</v>
      </c>
      <c r="K16" s="4">
        <v>8.0000000000000004E-4</v>
      </c>
      <c r="L16" s="4">
        <v>2.8000000000000001E-2</v>
      </c>
      <c r="M16" s="4">
        <v>8.0000000000000002E-3</v>
      </c>
      <c r="N16" s="4">
        <v>-1.0200000000000001E-2</v>
      </c>
      <c r="O16" s="4">
        <v>2.0000000000000001E-4</v>
      </c>
      <c r="P16" s="4">
        <v>127.27</v>
      </c>
      <c r="Q16" s="4">
        <v>0.2</v>
      </c>
      <c r="R16" s="4">
        <f t="shared" si="0"/>
        <v>0.25977256159790058</v>
      </c>
      <c r="S16" s="22">
        <f t="shared" si="1"/>
        <v>4.0822277299897946E-4</v>
      </c>
    </row>
    <row r="17" spans="1:19">
      <c r="A17" s="44" t="s">
        <v>1329</v>
      </c>
      <c r="B17" s="168">
        <v>21111111111112</v>
      </c>
      <c r="C17" s="168" t="s">
        <v>30</v>
      </c>
      <c r="D17" s="169">
        <v>0.25</v>
      </c>
      <c r="E17" s="4">
        <v>14</v>
      </c>
      <c r="F17" s="4">
        <v>2</v>
      </c>
      <c r="G17" s="4">
        <v>19</v>
      </c>
      <c r="H17" s="45">
        <v>5.1113</v>
      </c>
      <c r="I17" s="4">
        <v>8.9999999999999998E-4</v>
      </c>
      <c r="J17" s="45">
        <v>-29.732600000000001</v>
      </c>
      <c r="K17" s="4">
        <v>1.1999999999999999E-3</v>
      </c>
      <c r="L17" s="4">
        <v>2.7E-2</v>
      </c>
      <c r="M17" s="4">
        <v>8.0000000000000002E-3</v>
      </c>
      <c r="N17" s="4">
        <v>-7.0000000000000001E-3</v>
      </c>
      <c r="O17" s="4">
        <v>4.0000000000000002E-4</v>
      </c>
      <c r="P17" s="4">
        <v>128.21</v>
      </c>
      <c r="Q17" s="4">
        <v>0.21</v>
      </c>
      <c r="R17" s="45">
        <f>P17*E17/G17^3</f>
        <v>0.26169120863099576</v>
      </c>
      <c r="S17" s="22">
        <f>Q17*E17/G17^3</f>
        <v>4.2863391164892843E-4</v>
      </c>
    </row>
    <row r="18" spans="1:19">
      <c r="A18" s="23" t="s">
        <v>1329</v>
      </c>
      <c r="B18" s="170">
        <v>21111111111112</v>
      </c>
      <c r="C18" s="170" t="s">
        <v>30</v>
      </c>
      <c r="D18" s="165">
        <v>0.5</v>
      </c>
      <c r="E18" s="4">
        <v>14</v>
      </c>
      <c r="F18" s="4">
        <v>2</v>
      </c>
      <c r="G18" s="4">
        <v>19</v>
      </c>
      <c r="H18" s="4">
        <v>3.5257000000000001</v>
      </c>
      <c r="I18" s="4">
        <v>5.9999999999999995E-4</v>
      </c>
      <c r="J18" s="4">
        <v>-20.3613</v>
      </c>
      <c r="K18" s="4">
        <v>4.0000000000000002E-4</v>
      </c>
      <c r="L18" s="4">
        <v>0.03</v>
      </c>
      <c r="M18" s="4">
        <v>6.0000000000000001E-3</v>
      </c>
      <c r="N18" s="4">
        <v>-9.7999999999999997E-3</v>
      </c>
      <c r="O18" s="4">
        <v>2.9999999999999997E-4</v>
      </c>
      <c r="P18" s="4">
        <v>127.74</v>
      </c>
      <c r="Q18" s="4">
        <v>0.1</v>
      </c>
      <c r="R18" s="4">
        <f t="shared" si="0"/>
        <v>0.26073188511444817</v>
      </c>
      <c r="S18" s="22">
        <f t="shared" si="1"/>
        <v>2.0411138649948973E-4</v>
      </c>
    </row>
    <row r="19" spans="1:19">
      <c r="A19" s="28" t="s">
        <v>1329</v>
      </c>
      <c r="B19" s="171">
        <v>21111111111112</v>
      </c>
      <c r="C19" s="171" t="s">
        <v>30</v>
      </c>
      <c r="D19" s="166">
        <v>0.75</v>
      </c>
      <c r="E19" s="4">
        <v>14</v>
      </c>
      <c r="F19" s="4">
        <v>2</v>
      </c>
      <c r="G19" s="4">
        <v>19</v>
      </c>
      <c r="H19" s="29">
        <v>1.9614</v>
      </c>
      <c r="I19" s="4">
        <v>8.9999999999999998E-4</v>
      </c>
      <c r="J19" s="29">
        <v>-11.124700000000001</v>
      </c>
      <c r="K19" s="4">
        <v>1E-3</v>
      </c>
      <c r="L19" s="4">
        <v>3.5999999999999997E-2</v>
      </c>
      <c r="M19" s="4">
        <v>1.4E-2</v>
      </c>
      <c r="N19" s="4">
        <v>-1.7899999999999999E-2</v>
      </c>
      <c r="O19" s="4">
        <v>1.6000000000000001E-3</v>
      </c>
      <c r="P19" s="4">
        <v>125.56</v>
      </c>
      <c r="Q19" s="4">
        <v>0.67</v>
      </c>
      <c r="R19" s="29">
        <f t="shared" si="0"/>
        <v>0.25628225688875933</v>
      </c>
      <c r="S19" s="22">
        <f t="shared" si="1"/>
        <v>1.3675462895465812E-3</v>
      </c>
    </row>
    <row r="20" spans="1:19">
      <c r="A20" s="44" t="s">
        <v>1330</v>
      </c>
      <c r="B20" s="168">
        <v>11111122111111</v>
      </c>
      <c r="C20" s="168" t="s">
        <v>19</v>
      </c>
      <c r="D20" s="169">
        <v>0.25</v>
      </c>
      <c r="E20" s="4">
        <v>14</v>
      </c>
      <c r="F20" s="4">
        <v>2</v>
      </c>
      <c r="G20" s="4">
        <v>19</v>
      </c>
      <c r="H20" s="45">
        <v>5.0891999999999999</v>
      </c>
      <c r="I20" s="4">
        <v>4.0000000000000002E-4</v>
      </c>
      <c r="J20" s="45">
        <v>-29.681899999999999</v>
      </c>
      <c r="K20" s="4">
        <v>1E-3</v>
      </c>
      <c r="L20" s="4">
        <v>2.7E-2</v>
      </c>
      <c r="M20" s="4">
        <v>0.01</v>
      </c>
      <c r="N20" s="4">
        <v>-7.1000000000000004E-3</v>
      </c>
      <c r="O20" s="4">
        <v>4.0000000000000002E-4</v>
      </c>
      <c r="P20" s="4">
        <v>128.15</v>
      </c>
      <c r="Q20" s="4">
        <v>0.1</v>
      </c>
      <c r="R20" s="45">
        <f>P20*E20/G20^3</f>
        <v>0.26156874179909612</v>
      </c>
      <c r="S20" s="22">
        <f>Q20*E20/G20^3</f>
        <v>2.0411138649948973E-4</v>
      </c>
    </row>
    <row r="21" spans="1:19">
      <c r="A21" s="23" t="s">
        <v>1330</v>
      </c>
      <c r="B21" s="170">
        <v>11111122111111</v>
      </c>
      <c r="C21" s="170" t="s">
        <v>19</v>
      </c>
      <c r="D21" s="165">
        <v>0.5</v>
      </c>
      <c r="E21" s="4">
        <v>14</v>
      </c>
      <c r="F21" s="4">
        <v>2</v>
      </c>
      <c r="G21" s="4">
        <v>19</v>
      </c>
      <c r="H21" s="4">
        <v>3.4809999999999999</v>
      </c>
      <c r="I21" s="4">
        <v>2.9999999999999997E-4</v>
      </c>
      <c r="J21" s="4">
        <v>-20.276199999999999</v>
      </c>
      <c r="K21" s="4">
        <v>1.1999999999999999E-3</v>
      </c>
      <c r="L21" s="4">
        <v>3.9E-2</v>
      </c>
      <c r="M21" s="4">
        <v>8.9999999999999993E-3</v>
      </c>
      <c r="N21" s="4">
        <v>-1.04E-2</v>
      </c>
      <c r="O21" s="4">
        <v>5.0000000000000001E-4</v>
      </c>
      <c r="P21" s="4">
        <v>127.72</v>
      </c>
      <c r="Q21" s="4">
        <v>0.4</v>
      </c>
      <c r="R21" s="4">
        <f t="shared" si="0"/>
        <v>0.26069106283714827</v>
      </c>
      <c r="S21" s="22">
        <f t="shared" si="1"/>
        <v>8.1644554599795893E-4</v>
      </c>
    </row>
    <row r="22" spans="1:19" ht="17" thickBot="1">
      <c r="A22" s="28" t="s">
        <v>1330</v>
      </c>
      <c r="B22" s="171">
        <v>11111122111111</v>
      </c>
      <c r="C22" s="171" t="s">
        <v>19</v>
      </c>
      <c r="D22" s="166">
        <v>0.75</v>
      </c>
      <c r="E22" s="4">
        <v>14</v>
      </c>
      <c r="F22" s="4">
        <v>2</v>
      </c>
      <c r="G22" s="4">
        <v>19</v>
      </c>
      <c r="H22" s="29">
        <v>1.9061999999999999</v>
      </c>
      <c r="I22" s="4">
        <v>6.9999999999999999E-4</v>
      </c>
      <c r="J22" s="29">
        <v>-11.166600000000001</v>
      </c>
      <c r="K22" s="4">
        <v>1.2999999999999999E-3</v>
      </c>
      <c r="L22" s="4">
        <v>0.09</v>
      </c>
      <c r="M22" s="4">
        <v>0.01</v>
      </c>
      <c r="N22" s="4">
        <v>-2.2499999999999999E-2</v>
      </c>
      <c r="O22" s="4">
        <v>1E-3</v>
      </c>
      <c r="P22" s="4">
        <v>122.72</v>
      </c>
      <c r="Q22" s="4">
        <v>0.32</v>
      </c>
      <c r="R22" s="29">
        <f t="shared" si="0"/>
        <v>0.25048549351217375</v>
      </c>
      <c r="S22" s="22">
        <f t="shared" si="1"/>
        <v>6.5315643679836712E-4</v>
      </c>
    </row>
    <row r="23" spans="1:19">
      <c r="A23" s="151" t="s">
        <v>1331</v>
      </c>
      <c r="B23" s="154" t="s">
        <v>1419</v>
      </c>
      <c r="C23" s="154"/>
      <c r="D23" s="152">
        <v>0.25</v>
      </c>
      <c r="E23" s="150">
        <v>14</v>
      </c>
      <c r="F23" s="150">
        <v>3</v>
      </c>
      <c r="G23" s="150">
        <v>19</v>
      </c>
      <c r="H23" s="145">
        <v>5.1849999999999996</v>
      </c>
      <c r="I23" s="150">
        <v>5.9999999999999995E-4</v>
      </c>
      <c r="J23" s="145">
        <v>-30.182600000000001</v>
      </c>
      <c r="K23" s="150">
        <v>1.2999999999999999E-3</v>
      </c>
      <c r="L23" s="150">
        <v>3.2000000000000001E-2</v>
      </c>
      <c r="M23" s="150">
        <v>5.0000000000000001E-3</v>
      </c>
      <c r="N23" s="150">
        <v>-7.0000000000000001E-3</v>
      </c>
      <c r="O23" s="150">
        <v>2.9999999999999997E-4</v>
      </c>
      <c r="P23" s="150">
        <v>128.1</v>
      </c>
      <c r="Q23" s="150">
        <v>0.26</v>
      </c>
      <c r="R23" s="145">
        <f>P23*E23/G23^3</f>
        <v>0.26146668610584634</v>
      </c>
      <c r="S23" s="144">
        <f>Q23*E23/G23^3</f>
        <v>5.3068960489867335E-4</v>
      </c>
    </row>
    <row r="24" spans="1:19">
      <c r="A24" s="23" t="s">
        <v>1331</v>
      </c>
      <c r="B24" s="83" t="s">
        <v>1419</v>
      </c>
      <c r="C24" s="83"/>
      <c r="D24" s="165">
        <v>0.5</v>
      </c>
      <c r="E24" s="4">
        <v>14</v>
      </c>
      <c r="F24" s="4">
        <v>3</v>
      </c>
      <c r="G24" s="4">
        <v>19</v>
      </c>
      <c r="H24" s="4">
        <v>3.6715</v>
      </c>
      <c r="I24" s="4">
        <v>6.9999999999999999E-4</v>
      </c>
      <c r="J24" s="4">
        <v>-21.2742</v>
      </c>
      <c r="K24" s="4">
        <v>1.6000000000000001E-3</v>
      </c>
      <c r="L24" s="4">
        <v>4.2000000000000003E-2</v>
      </c>
      <c r="M24" s="4">
        <v>2.4E-2</v>
      </c>
      <c r="N24" s="4">
        <v>-9.1000000000000004E-3</v>
      </c>
      <c r="O24" s="4">
        <v>4.0000000000000002E-4</v>
      </c>
      <c r="P24" s="4">
        <v>127.95</v>
      </c>
      <c r="Q24" s="4">
        <v>0.31</v>
      </c>
      <c r="R24" s="4">
        <f t="shared" si="0"/>
        <v>0.2611605190260971</v>
      </c>
      <c r="S24" s="22">
        <f t="shared" si="1"/>
        <v>6.3274529814841816E-4</v>
      </c>
    </row>
    <row r="25" spans="1:19">
      <c r="A25" s="28" t="s">
        <v>1331</v>
      </c>
      <c r="B25" s="85" t="s">
        <v>1419</v>
      </c>
      <c r="C25" s="85"/>
      <c r="D25" s="166">
        <v>0.75</v>
      </c>
      <c r="E25" s="4">
        <v>14</v>
      </c>
      <c r="F25" s="4">
        <v>3</v>
      </c>
      <c r="G25" s="4">
        <v>19</v>
      </c>
      <c r="H25" s="41">
        <v>2.1751</v>
      </c>
      <c r="I25" s="39">
        <v>2.9999999999999997E-4</v>
      </c>
      <c r="J25" s="41">
        <v>-12.518700000000001</v>
      </c>
      <c r="K25" s="39">
        <v>8.0000000000000004E-4</v>
      </c>
      <c r="L25" s="39">
        <v>3.2000000000000001E-2</v>
      </c>
      <c r="M25" s="39">
        <v>3.0000000000000001E-3</v>
      </c>
      <c r="N25" s="39">
        <v>-1.7600000000000001E-2</v>
      </c>
      <c r="O25" s="39">
        <v>2.9999999999999997E-4</v>
      </c>
      <c r="P25" s="39">
        <v>124.64</v>
      </c>
      <c r="Q25" s="39">
        <v>0.21</v>
      </c>
      <c r="R25" s="29">
        <f t="shared" si="0"/>
        <v>0.25440443213296399</v>
      </c>
      <c r="S25" s="22">
        <f t="shared" si="1"/>
        <v>4.2863391164892843E-4</v>
      </c>
    </row>
    <row r="26" spans="1:19">
      <c r="A26" s="44" t="s">
        <v>1332</v>
      </c>
      <c r="B26" s="168">
        <v>11111111111222</v>
      </c>
      <c r="C26" s="168" t="s">
        <v>17</v>
      </c>
      <c r="D26" s="169">
        <v>0.25</v>
      </c>
      <c r="E26" s="4">
        <v>14</v>
      </c>
      <c r="F26" s="4">
        <v>3</v>
      </c>
      <c r="G26" s="4">
        <v>19</v>
      </c>
      <c r="H26" s="45">
        <v>5.2032999999999996</v>
      </c>
      <c r="I26" s="4">
        <v>5.9999999999999995E-4</v>
      </c>
      <c r="J26" s="45">
        <v>-30.282</v>
      </c>
      <c r="K26" s="4">
        <v>8.9999999999999998E-4</v>
      </c>
      <c r="L26" s="4">
        <v>2.5999999999999999E-2</v>
      </c>
      <c r="M26" s="4">
        <v>3.0000000000000001E-3</v>
      </c>
      <c r="N26" s="4">
        <v>-6.7999999999999996E-3</v>
      </c>
      <c r="O26" s="4">
        <v>2.0000000000000001E-4</v>
      </c>
      <c r="P26" s="4">
        <v>127.89</v>
      </c>
      <c r="Q26" s="4">
        <v>0.25</v>
      </c>
      <c r="R26" s="45">
        <f>P26*E26/G26^3</f>
        <v>0.2610380521941974</v>
      </c>
      <c r="S26" s="22">
        <f>Q26*E26/G26^3</f>
        <v>5.1027846624872428E-4</v>
      </c>
    </row>
    <row r="27" spans="1:19">
      <c r="A27" s="23" t="s">
        <v>1332</v>
      </c>
      <c r="B27" s="170">
        <v>11111111111222</v>
      </c>
      <c r="C27" s="170" t="s">
        <v>17</v>
      </c>
      <c r="D27" s="165">
        <v>0.5</v>
      </c>
      <c r="E27" s="4">
        <v>14</v>
      </c>
      <c r="F27" s="4">
        <v>3</v>
      </c>
      <c r="G27" s="4">
        <v>19</v>
      </c>
      <c r="H27" s="39">
        <v>3.7332999999999998</v>
      </c>
      <c r="I27" s="4">
        <v>2.0000000000000001E-4</v>
      </c>
      <c r="J27" s="4">
        <v>-21.6859</v>
      </c>
      <c r="K27" s="4">
        <v>1.2999999999999999E-3</v>
      </c>
      <c r="L27" s="4">
        <v>3.4000000000000002E-2</v>
      </c>
      <c r="M27" s="4">
        <v>1.0999999999999999E-2</v>
      </c>
      <c r="N27" s="4">
        <v>-1.0500000000000001E-2</v>
      </c>
      <c r="O27" s="4">
        <v>2.9999999999999997E-4</v>
      </c>
      <c r="P27" s="4">
        <v>124.6</v>
      </c>
      <c r="Q27" s="4">
        <v>0.03</v>
      </c>
      <c r="R27" s="4">
        <f>P27*E27/G27^3</f>
        <v>0.25432278757836418</v>
      </c>
      <c r="S27" s="22">
        <f t="shared" si="1"/>
        <v>6.1233415949846914E-5</v>
      </c>
    </row>
    <row r="28" spans="1:19">
      <c r="A28" s="44" t="s">
        <v>1333</v>
      </c>
      <c r="B28" s="168">
        <v>11111122211111</v>
      </c>
      <c r="C28" s="168" t="s">
        <v>19</v>
      </c>
      <c r="D28" s="169">
        <v>0.25</v>
      </c>
      <c r="E28" s="4">
        <v>14</v>
      </c>
      <c r="F28" s="4">
        <v>3</v>
      </c>
      <c r="G28" s="4">
        <v>19</v>
      </c>
      <c r="H28" s="45">
        <v>5.1669999999999998</v>
      </c>
      <c r="I28" s="4">
        <v>5.9999999999999995E-4</v>
      </c>
      <c r="J28" s="45">
        <v>-30.202500000000001</v>
      </c>
      <c r="K28" s="4">
        <v>8.9999999999999998E-4</v>
      </c>
      <c r="L28" s="4">
        <v>3.7999999999999999E-2</v>
      </c>
      <c r="M28" s="4">
        <v>1E-3</v>
      </c>
      <c r="N28" s="4">
        <v>-7.1000000000000004E-3</v>
      </c>
      <c r="O28" s="4">
        <v>2.0000000000000001E-4</v>
      </c>
      <c r="P28" s="4">
        <v>128.28</v>
      </c>
      <c r="Q28" s="4">
        <v>0.18</v>
      </c>
      <c r="R28" s="45">
        <f>P28*E28/G28^3</f>
        <v>0.26183408660154545</v>
      </c>
      <c r="S28" s="22">
        <f>Q28*E28/G28^3</f>
        <v>3.6740049569908149E-4</v>
      </c>
    </row>
    <row r="29" spans="1:19">
      <c r="A29" s="23" t="s">
        <v>1333</v>
      </c>
      <c r="B29" s="170">
        <v>11111122211111</v>
      </c>
      <c r="C29" s="170" t="s">
        <v>19</v>
      </c>
      <c r="D29" s="165">
        <v>0.5</v>
      </c>
      <c r="E29" s="4">
        <v>14</v>
      </c>
      <c r="F29" s="4">
        <v>3</v>
      </c>
      <c r="G29" s="4">
        <v>19</v>
      </c>
      <c r="H29" s="4">
        <v>3.6419000000000001</v>
      </c>
      <c r="I29" s="4">
        <v>2.9999999999999997E-4</v>
      </c>
      <c r="J29" s="4">
        <v>-21.430599999999998</v>
      </c>
      <c r="K29" s="4">
        <v>1.6000000000000001E-3</v>
      </c>
      <c r="L29" s="4">
        <v>5.8999999999999997E-2</v>
      </c>
      <c r="M29" s="4">
        <v>5.0000000000000001E-3</v>
      </c>
      <c r="N29" s="4">
        <v>-1.0200000000000001E-2</v>
      </c>
      <c r="O29" s="4">
        <v>1E-4</v>
      </c>
      <c r="P29" s="4">
        <v>126.63</v>
      </c>
      <c r="Q29" s="4">
        <v>0.09</v>
      </c>
      <c r="R29" s="4">
        <f t="shared" si="0"/>
        <v>0.25846624872430385</v>
      </c>
      <c r="S29" s="22">
        <f t="shared" si="1"/>
        <v>1.8370024784954074E-4</v>
      </c>
    </row>
    <row r="30" spans="1:19">
      <c r="A30" s="44" t="s">
        <v>1334</v>
      </c>
      <c r="B30" s="168">
        <v>22111111111112</v>
      </c>
      <c r="C30" s="168" t="s">
        <v>30</v>
      </c>
      <c r="D30" s="169">
        <v>0.25</v>
      </c>
      <c r="E30" s="4">
        <v>14</v>
      </c>
      <c r="F30" s="4">
        <v>3</v>
      </c>
      <c r="G30" s="4">
        <v>19</v>
      </c>
      <c r="H30" s="45">
        <v>5.2110000000000003</v>
      </c>
      <c r="I30" s="4">
        <v>5.0000000000000001E-4</v>
      </c>
      <c r="J30" s="45">
        <v>-30.1981</v>
      </c>
      <c r="K30" s="4">
        <v>1.1000000000000001E-3</v>
      </c>
      <c r="L30" s="4">
        <v>2.5999999999999999E-2</v>
      </c>
      <c r="M30" s="4">
        <v>3.0000000000000001E-3</v>
      </c>
      <c r="N30" s="4">
        <v>-6.8999999999999999E-3</v>
      </c>
      <c r="O30" s="4">
        <v>2.0000000000000001E-4</v>
      </c>
      <c r="P30" s="4">
        <v>128.05000000000001</v>
      </c>
      <c r="Q30" s="4">
        <v>0.15</v>
      </c>
      <c r="R30" s="45">
        <f>P30*E30/G30^3</f>
        <v>0.26136463041259661</v>
      </c>
      <c r="S30" s="22">
        <f>Q30*E30/G30^3</f>
        <v>3.061670797492346E-4</v>
      </c>
    </row>
    <row r="31" spans="1:19" ht="17" thickBot="1">
      <c r="A31" s="139" t="s">
        <v>1334</v>
      </c>
      <c r="B31" s="155">
        <v>22111111111112</v>
      </c>
      <c r="C31" s="155" t="s">
        <v>30</v>
      </c>
      <c r="D31" s="156">
        <v>0.5</v>
      </c>
      <c r="E31" s="56">
        <v>14</v>
      </c>
      <c r="F31" s="56">
        <v>3</v>
      </c>
      <c r="G31" s="56">
        <v>19</v>
      </c>
      <c r="H31" s="56">
        <v>3.7319</v>
      </c>
      <c r="I31" s="56">
        <v>6.9999999999999999E-4</v>
      </c>
      <c r="J31" s="56">
        <v>-21.365400000000001</v>
      </c>
      <c r="K31" s="56">
        <v>5.9999999999999995E-4</v>
      </c>
      <c r="L31" s="56">
        <v>2.8000000000000001E-2</v>
      </c>
      <c r="M31" s="56">
        <v>3.0000000000000001E-3</v>
      </c>
      <c r="N31" s="56">
        <v>-9.7999999999999997E-3</v>
      </c>
      <c r="O31" s="56">
        <v>5.0000000000000001E-4</v>
      </c>
      <c r="P31" s="56">
        <v>126.59</v>
      </c>
      <c r="Q31" s="56">
        <v>0.34</v>
      </c>
      <c r="R31" s="56">
        <f t="shared" si="0"/>
        <v>0.25838460416970405</v>
      </c>
      <c r="S31" s="57">
        <f t="shared" si="1"/>
        <v>6.9397871409826515E-4</v>
      </c>
    </row>
    <row r="32" spans="1:19">
      <c r="A32" s="44" t="s">
        <v>1335</v>
      </c>
      <c r="B32" s="104" t="s">
        <v>1423</v>
      </c>
      <c r="C32" s="104"/>
      <c r="D32" s="169">
        <v>0.25</v>
      </c>
      <c r="E32" s="4">
        <v>14</v>
      </c>
      <c r="F32" s="4">
        <v>4</v>
      </c>
      <c r="G32" s="4">
        <v>19</v>
      </c>
      <c r="H32" s="45">
        <v>5.3257000000000003</v>
      </c>
      <c r="I32" s="4">
        <v>6.9999999999999999E-4</v>
      </c>
      <c r="J32" s="45">
        <v>-30.904199999999999</v>
      </c>
      <c r="K32" s="4">
        <v>1.8E-3</v>
      </c>
      <c r="L32" s="4">
        <v>2.5000000000000001E-2</v>
      </c>
      <c r="M32" s="4">
        <v>5.0000000000000001E-3</v>
      </c>
      <c r="N32" s="4">
        <v>-6.4999999999999997E-3</v>
      </c>
      <c r="O32" s="4">
        <v>2.9999999999999997E-4</v>
      </c>
      <c r="P32" s="4">
        <v>128.01</v>
      </c>
      <c r="Q32" s="4">
        <v>0.27</v>
      </c>
      <c r="R32" s="45">
        <f>P32*E32/G32^3</f>
        <v>0.26128298585799675</v>
      </c>
      <c r="S32" s="22">
        <f>Q32*E32/G32^3</f>
        <v>5.5110074354862231E-4</v>
      </c>
    </row>
    <row r="33" spans="1:19">
      <c r="A33" s="23" t="s">
        <v>1335</v>
      </c>
      <c r="B33" s="83" t="s">
        <v>1423</v>
      </c>
      <c r="C33" s="83"/>
      <c r="D33" s="165">
        <v>0.5</v>
      </c>
      <c r="E33" s="4">
        <v>14</v>
      </c>
      <c r="F33" s="4">
        <v>4</v>
      </c>
      <c r="G33" s="4">
        <v>19</v>
      </c>
      <c r="H33" s="4">
        <v>3.9586000000000001</v>
      </c>
      <c r="I33" s="4">
        <v>5.9999999999999995E-4</v>
      </c>
      <c r="J33" s="4">
        <v>-22.805499999999999</v>
      </c>
      <c r="K33" s="4">
        <v>1.6999999999999999E-3</v>
      </c>
      <c r="L33" s="4">
        <v>2.3E-2</v>
      </c>
      <c r="M33" s="4">
        <v>5.0000000000000001E-3</v>
      </c>
      <c r="N33" s="4">
        <v>-9.1000000000000004E-3</v>
      </c>
      <c r="O33" s="4">
        <v>2.9999999999999997E-4</v>
      </c>
      <c r="P33" s="4">
        <v>125.97</v>
      </c>
      <c r="Q33" s="4">
        <v>0.19</v>
      </c>
      <c r="R33" s="4">
        <f t="shared" si="0"/>
        <v>0.25711911357340717</v>
      </c>
      <c r="S33" s="22">
        <f t="shared" si="1"/>
        <v>3.878116343490305E-4</v>
      </c>
    </row>
    <row r="34" spans="1:19">
      <c r="A34" s="28" t="s">
        <v>1335</v>
      </c>
      <c r="B34" s="85" t="s">
        <v>1423</v>
      </c>
      <c r="C34" s="85"/>
      <c r="D34" s="166">
        <v>0.75</v>
      </c>
      <c r="E34" s="4">
        <v>14</v>
      </c>
      <c r="F34" s="4">
        <v>4</v>
      </c>
      <c r="G34" s="4">
        <v>19</v>
      </c>
      <c r="H34" s="41">
        <v>2.6406999999999998</v>
      </c>
      <c r="I34" s="39">
        <v>4.0000000000000002E-4</v>
      </c>
      <c r="J34" s="41">
        <v>-15.1526</v>
      </c>
      <c r="K34" s="39">
        <v>1E-3</v>
      </c>
      <c r="L34" s="39">
        <v>2.9000000000000001E-2</v>
      </c>
      <c r="M34" s="39">
        <v>7.0000000000000001E-3</v>
      </c>
      <c r="N34" s="39">
        <v>-1.72E-2</v>
      </c>
      <c r="O34" s="39">
        <v>2.0000000000000001E-4</v>
      </c>
      <c r="P34" s="39">
        <v>116.42</v>
      </c>
      <c r="Q34" s="39">
        <v>0.13</v>
      </c>
      <c r="R34" s="29">
        <f t="shared" si="0"/>
        <v>0.23762647616270596</v>
      </c>
      <c r="S34" s="22">
        <f t="shared" si="1"/>
        <v>2.6534480244933667E-4</v>
      </c>
    </row>
    <row r="35" spans="1:19">
      <c r="A35" s="44" t="s">
        <v>1336</v>
      </c>
      <c r="B35" s="104" t="s">
        <v>1424</v>
      </c>
      <c r="C35" s="104"/>
      <c r="D35" s="169">
        <v>0.25</v>
      </c>
      <c r="E35" s="4">
        <v>14</v>
      </c>
      <c r="F35" s="4">
        <v>4</v>
      </c>
      <c r="G35" s="4">
        <v>19</v>
      </c>
      <c r="H35" s="45">
        <v>5.2994000000000003</v>
      </c>
      <c r="I35" s="4">
        <v>6.9999999999999999E-4</v>
      </c>
      <c r="J35" s="45">
        <v>-30.894200000000001</v>
      </c>
      <c r="K35" s="4">
        <v>6.9999999999999999E-4</v>
      </c>
      <c r="L35" s="4">
        <v>2.8000000000000001E-2</v>
      </c>
      <c r="M35" s="4">
        <v>8.9999999999999993E-3</v>
      </c>
      <c r="N35" s="4">
        <v>-6.8999999999999999E-3</v>
      </c>
      <c r="O35" s="4">
        <v>1E-4</v>
      </c>
      <c r="P35" s="4">
        <v>127.78</v>
      </c>
      <c r="Q35" s="4">
        <v>0.11</v>
      </c>
      <c r="R35" s="45">
        <f>P35*E35/G35^3</f>
        <v>0.26081352966904797</v>
      </c>
      <c r="S35" s="22">
        <f>Q35*E35/G35^3</f>
        <v>2.2452252514943869E-4</v>
      </c>
    </row>
    <row r="36" spans="1:19">
      <c r="A36" s="23" t="s">
        <v>1336</v>
      </c>
      <c r="B36" s="83" t="s">
        <v>1424</v>
      </c>
      <c r="C36" s="83"/>
      <c r="D36" s="165">
        <v>0.5</v>
      </c>
      <c r="E36" s="4">
        <v>14</v>
      </c>
      <c r="F36" s="4">
        <v>4</v>
      </c>
      <c r="G36" s="4">
        <v>19</v>
      </c>
      <c r="H36" s="4">
        <v>3.9032</v>
      </c>
      <c r="I36" s="4">
        <v>8.0000000000000004E-4</v>
      </c>
      <c r="J36" s="4">
        <v>-22.857600000000001</v>
      </c>
      <c r="K36" s="4">
        <v>1.1999999999999999E-3</v>
      </c>
      <c r="L36" s="4">
        <v>5.0999999999999997E-2</v>
      </c>
      <c r="M36" s="4">
        <v>0.01</v>
      </c>
      <c r="N36" s="4">
        <v>-1.06E-2</v>
      </c>
      <c r="O36" s="4">
        <v>2.9999999999999997E-4</v>
      </c>
      <c r="P36" s="4">
        <v>124.47</v>
      </c>
      <c r="Q36" s="4">
        <v>0.23</v>
      </c>
      <c r="R36" s="4">
        <f t="shared" si="0"/>
        <v>0.25405744277591485</v>
      </c>
      <c r="S36" s="22">
        <f t="shared" si="1"/>
        <v>4.6945618894882641E-4</v>
      </c>
    </row>
    <row r="37" spans="1:19">
      <c r="A37" s="44" t="s">
        <v>1337</v>
      </c>
      <c r="B37" s="104" t="s">
        <v>1425</v>
      </c>
      <c r="C37" s="104"/>
      <c r="D37" s="169">
        <v>0.25</v>
      </c>
      <c r="E37" s="4">
        <v>14</v>
      </c>
      <c r="F37" s="4">
        <v>4</v>
      </c>
      <c r="G37" s="4">
        <v>19</v>
      </c>
      <c r="H37" s="45">
        <v>5.3010000000000002</v>
      </c>
      <c r="I37" s="4">
        <v>6.9999999999999999E-4</v>
      </c>
      <c r="J37" s="45">
        <v>-30.825299999999999</v>
      </c>
      <c r="K37" s="4">
        <v>1.1000000000000001E-3</v>
      </c>
      <c r="L37" s="4">
        <v>3.5000000000000003E-2</v>
      </c>
      <c r="M37" s="4">
        <v>5.0000000000000001E-3</v>
      </c>
      <c r="N37" s="4">
        <v>-6.6E-3</v>
      </c>
      <c r="O37" s="4">
        <v>1E-4</v>
      </c>
      <c r="P37" s="4">
        <v>128.19</v>
      </c>
      <c r="Q37" s="4">
        <v>0.09</v>
      </c>
      <c r="R37" s="45">
        <f>P37*E37/G37^3</f>
        <v>0.26165038635369586</v>
      </c>
      <c r="S37" s="22">
        <f>Q37*E37/G37^3</f>
        <v>1.8370024784954074E-4</v>
      </c>
    </row>
    <row r="38" spans="1:19">
      <c r="A38" s="23" t="s">
        <v>1337</v>
      </c>
      <c r="B38" s="83" t="s">
        <v>1425</v>
      </c>
      <c r="C38" s="83"/>
      <c r="D38" s="165">
        <v>0.5</v>
      </c>
      <c r="E38" s="4">
        <v>14</v>
      </c>
      <c r="F38" s="4">
        <v>4</v>
      </c>
      <c r="G38" s="4">
        <v>19</v>
      </c>
      <c r="H38" s="4">
        <v>3.9058999999999999</v>
      </c>
      <c r="I38" s="4">
        <v>4.0000000000000002E-4</v>
      </c>
      <c r="J38" s="4">
        <v>-22.606100000000001</v>
      </c>
      <c r="K38" s="4">
        <v>8.9999999999999998E-4</v>
      </c>
      <c r="L38" s="4">
        <v>0.03</v>
      </c>
      <c r="M38" s="4">
        <v>8.0000000000000002E-3</v>
      </c>
      <c r="N38" s="4">
        <v>-9.4999999999999998E-3</v>
      </c>
      <c r="O38" s="4">
        <v>2.9999999999999997E-4</v>
      </c>
      <c r="P38" s="4">
        <v>126.77</v>
      </c>
      <c r="Q38" s="4">
        <v>0.23</v>
      </c>
      <c r="R38" s="4">
        <f t="shared" si="0"/>
        <v>0.2587520046654031</v>
      </c>
      <c r="S38" s="22">
        <f t="shared" si="1"/>
        <v>4.6945618894882641E-4</v>
      </c>
    </row>
    <row r="39" spans="1:19">
      <c r="A39" s="28" t="s">
        <v>1337</v>
      </c>
      <c r="B39" s="85" t="s">
        <v>1425</v>
      </c>
      <c r="C39" s="85"/>
      <c r="D39" s="166">
        <v>0.75</v>
      </c>
      <c r="E39" s="4">
        <v>14</v>
      </c>
      <c r="F39" s="4">
        <v>4</v>
      </c>
      <c r="G39" s="4">
        <v>19</v>
      </c>
      <c r="H39" s="41">
        <v>2.5297999999999998</v>
      </c>
      <c r="I39" s="39">
        <v>2.9999999999999997E-4</v>
      </c>
      <c r="J39" s="41">
        <v>-14.687099999999999</v>
      </c>
      <c r="K39" s="39">
        <v>2.9999999999999997E-4</v>
      </c>
      <c r="L39" s="39">
        <v>5.8999999999999997E-2</v>
      </c>
      <c r="M39" s="39">
        <v>5.0000000000000001E-3</v>
      </c>
      <c r="N39" s="39">
        <v>-1.78E-2</v>
      </c>
      <c r="O39" s="39">
        <v>2.9999999999999997E-4</v>
      </c>
      <c r="P39" s="39">
        <v>119.64</v>
      </c>
      <c r="Q39" s="39">
        <v>0.13</v>
      </c>
      <c r="R39" s="29">
        <f t="shared" si="0"/>
        <v>0.2441988628079895</v>
      </c>
      <c r="S39" s="22">
        <f t="shared" si="1"/>
        <v>2.6534480244933667E-4</v>
      </c>
    </row>
    <row r="40" spans="1:19">
      <c r="A40" s="44" t="s">
        <v>1338</v>
      </c>
      <c r="B40" s="168">
        <v>11111111112222</v>
      </c>
      <c r="C40" s="168" t="s">
        <v>17</v>
      </c>
      <c r="D40" s="169">
        <v>0.25</v>
      </c>
      <c r="E40" s="4">
        <v>14</v>
      </c>
      <c r="F40" s="4">
        <v>4</v>
      </c>
      <c r="G40" s="4">
        <v>19</v>
      </c>
      <c r="H40" s="45">
        <v>5.3274999999999997</v>
      </c>
      <c r="I40" s="4">
        <v>5.0000000000000001E-4</v>
      </c>
      <c r="J40" s="45">
        <v>-31.097000000000001</v>
      </c>
      <c r="K40" s="4">
        <v>1E-3</v>
      </c>
      <c r="L40" s="4">
        <v>2.5000000000000001E-2</v>
      </c>
      <c r="M40" s="4">
        <v>1E-3</v>
      </c>
      <c r="N40" s="4">
        <v>-6.7999999999999996E-3</v>
      </c>
      <c r="O40" s="4">
        <v>2.0000000000000001E-4</v>
      </c>
      <c r="P40" s="4">
        <v>127.26</v>
      </c>
      <c r="Q40" s="4">
        <v>7.0000000000000007E-2</v>
      </c>
      <c r="R40" s="45">
        <f>P40*E40/G40^3</f>
        <v>0.25975215045925065</v>
      </c>
      <c r="S40" s="22">
        <f>Q40*E40/G40^3</f>
        <v>1.4287797054964282E-4</v>
      </c>
    </row>
    <row r="41" spans="1:19">
      <c r="A41" s="23" t="s">
        <v>1338</v>
      </c>
      <c r="B41" s="170">
        <v>11111111112222</v>
      </c>
      <c r="C41" s="170" t="s">
        <v>17</v>
      </c>
      <c r="D41" s="165">
        <v>0.5</v>
      </c>
      <c r="E41" s="4">
        <v>14</v>
      </c>
      <c r="F41" s="4">
        <v>4</v>
      </c>
      <c r="G41" s="4">
        <v>19</v>
      </c>
      <c r="H41" s="4">
        <v>4.0052000000000003</v>
      </c>
      <c r="I41" s="4">
        <v>8.0000000000000004E-4</v>
      </c>
      <c r="J41" s="4">
        <v>-23.651900000000001</v>
      </c>
      <c r="K41" s="4">
        <v>3.5999999999999999E-3</v>
      </c>
      <c r="L41" s="4">
        <v>0.10199999999999999</v>
      </c>
      <c r="M41" s="4">
        <v>4.2000000000000003E-2</v>
      </c>
      <c r="N41" s="4">
        <v>-1.2500000000000001E-2</v>
      </c>
      <c r="O41" s="4">
        <v>1.1999999999999999E-3</v>
      </c>
      <c r="P41" s="4">
        <v>118.32</v>
      </c>
      <c r="Q41" s="4">
        <v>1.24</v>
      </c>
      <c r="R41" s="4">
        <f t="shared" si="0"/>
        <v>0.24150459250619624</v>
      </c>
      <c r="S41" s="22">
        <f t="shared" si="1"/>
        <v>2.5309811925936726E-3</v>
      </c>
    </row>
    <row r="42" spans="1:19">
      <c r="A42" s="44" t="s">
        <v>1339</v>
      </c>
      <c r="B42" s="168">
        <v>11111222211111</v>
      </c>
      <c r="C42" s="168" t="s">
        <v>19</v>
      </c>
      <c r="D42" s="169">
        <v>0.25</v>
      </c>
      <c r="E42" s="4">
        <v>14</v>
      </c>
      <c r="F42" s="4">
        <v>4</v>
      </c>
      <c r="G42" s="4">
        <v>19</v>
      </c>
      <c r="H42" s="45">
        <v>5.2744</v>
      </c>
      <c r="I42" s="4">
        <v>5.0000000000000001E-4</v>
      </c>
      <c r="J42" s="45">
        <v>-30.965299999999999</v>
      </c>
      <c r="K42" s="4">
        <v>5.0000000000000001E-4</v>
      </c>
      <c r="L42" s="4">
        <v>3.6999999999999998E-2</v>
      </c>
      <c r="M42" s="4">
        <v>3.0000000000000001E-3</v>
      </c>
      <c r="N42" s="4">
        <v>-7.0000000000000001E-3</v>
      </c>
      <c r="O42" s="4">
        <v>1E-4</v>
      </c>
      <c r="P42" s="4">
        <v>127.75</v>
      </c>
      <c r="Q42" s="4">
        <v>0.13</v>
      </c>
      <c r="R42" s="45">
        <f>P42*E42/G42^3</f>
        <v>0.26075229625309809</v>
      </c>
      <c r="S42" s="22">
        <f>Q42*E42/G42^3</f>
        <v>2.6534480244933667E-4</v>
      </c>
    </row>
    <row r="43" spans="1:19">
      <c r="A43" s="23" t="s">
        <v>1339</v>
      </c>
      <c r="B43" s="170">
        <v>11111222211111</v>
      </c>
      <c r="C43" s="170" t="s">
        <v>19</v>
      </c>
      <c r="D43" s="165">
        <v>0.5</v>
      </c>
      <c r="E43" s="4">
        <v>14</v>
      </c>
      <c r="F43" s="4">
        <v>4</v>
      </c>
      <c r="G43" s="4">
        <v>19</v>
      </c>
      <c r="H43" s="4">
        <v>3.8584999999999998</v>
      </c>
      <c r="I43" s="4">
        <v>1E-3</v>
      </c>
      <c r="J43" s="4">
        <v>-23.136299999999999</v>
      </c>
      <c r="K43" s="4">
        <v>8.0000000000000004E-4</v>
      </c>
      <c r="L43" s="4">
        <v>8.3000000000000004E-2</v>
      </c>
      <c r="M43" s="4">
        <v>1.2E-2</v>
      </c>
      <c r="N43" s="4">
        <v>-1.0800000000000001E-2</v>
      </c>
      <c r="O43" s="4">
        <v>2.9999999999999997E-4</v>
      </c>
      <c r="P43" s="4">
        <v>123.66</v>
      </c>
      <c r="Q43" s="4">
        <v>0.31</v>
      </c>
      <c r="R43" s="4">
        <f t="shared" si="0"/>
        <v>0.252404140545269</v>
      </c>
      <c r="S43" s="22">
        <f t="shared" si="1"/>
        <v>6.3274529814841816E-4</v>
      </c>
    </row>
    <row r="44" spans="1:19">
      <c r="A44" s="44" t="s">
        <v>1340</v>
      </c>
      <c r="B44" s="168">
        <v>22111111111122</v>
      </c>
      <c r="C44" s="168" t="s">
        <v>30</v>
      </c>
      <c r="D44" s="169">
        <v>0.25</v>
      </c>
      <c r="E44" s="4">
        <v>14</v>
      </c>
      <c r="F44" s="4">
        <v>4</v>
      </c>
      <c r="G44" s="4">
        <v>19</v>
      </c>
      <c r="H44" s="45">
        <v>5.3465999999999996</v>
      </c>
      <c r="I44" s="4">
        <v>2.0000000000000001E-4</v>
      </c>
      <c r="J44" s="45">
        <v>-30.851199999999999</v>
      </c>
      <c r="K44" s="4">
        <v>5.0000000000000001E-4</v>
      </c>
      <c r="L44" s="4">
        <v>3.9E-2</v>
      </c>
      <c r="M44" s="4">
        <v>2E-3</v>
      </c>
      <c r="N44" s="4">
        <v>-6.3E-3</v>
      </c>
      <c r="O44" s="4">
        <v>2.0000000000000001E-4</v>
      </c>
      <c r="P44" s="4">
        <v>127.94</v>
      </c>
      <c r="Q44" s="4">
        <v>0.17</v>
      </c>
      <c r="R44" s="45">
        <f>P44*E44/G44^3</f>
        <v>0.26114010788744713</v>
      </c>
      <c r="S44" s="22">
        <f>Q44*E44/G44^3</f>
        <v>3.4698935704913258E-4</v>
      </c>
    </row>
    <row r="45" spans="1:19" ht="17" thickBot="1">
      <c r="A45" s="139" t="s">
        <v>1340</v>
      </c>
      <c r="B45" s="155">
        <v>22111111111122</v>
      </c>
      <c r="C45" s="155" t="s">
        <v>30</v>
      </c>
      <c r="D45" s="156">
        <v>0.5</v>
      </c>
      <c r="E45" s="56">
        <v>14</v>
      </c>
      <c r="F45" s="56">
        <v>4</v>
      </c>
      <c r="G45" s="56">
        <v>19</v>
      </c>
      <c r="H45" s="56">
        <v>4.0106999999999999</v>
      </c>
      <c r="I45" s="56">
        <v>8.0000000000000004E-4</v>
      </c>
      <c r="J45" s="56">
        <v>-22.760400000000001</v>
      </c>
      <c r="K45" s="56">
        <v>8.9999999999999998E-4</v>
      </c>
      <c r="L45" s="56">
        <v>2.3E-2</v>
      </c>
      <c r="M45" s="56">
        <v>3.0000000000000001E-3</v>
      </c>
      <c r="N45" s="56">
        <v>-9.4999999999999998E-3</v>
      </c>
      <c r="O45" s="56">
        <v>1E-4</v>
      </c>
      <c r="P45" s="56">
        <v>125.05</v>
      </c>
      <c r="Q45" s="56">
        <v>0.08</v>
      </c>
      <c r="R45" s="56">
        <f t="shared" si="0"/>
        <v>0.25524128881761188</v>
      </c>
      <c r="S45" s="57">
        <f t="shared" si="1"/>
        <v>1.6328910919959178E-4</v>
      </c>
    </row>
    <row r="46" spans="1:19">
      <c r="A46" s="44" t="s">
        <v>1341</v>
      </c>
      <c r="B46" s="104" t="s">
        <v>1429</v>
      </c>
      <c r="C46" s="104"/>
      <c r="D46" s="169">
        <v>0.25</v>
      </c>
      <c r="E46" s="4">
        <v>14</v>
      </c>
      <c r="F46" s="4">
        <v>5</v>
      </c>
      <c r="G46" s="4">
        <v>19</v>
      </c>
      <c r="H46" s="45">
        <v>5.4390000000000001</v>
      </c>
      <c r="I46" s="4">
        <v>6.9999999999999999E-4</v>
      </c>
      <c r="J46" s="45">
        <v>-31.898800000000001</v>
      </c>
      <c r="K46" s="4">
        <v>1.1000000000000001E-3</v>
      </c>
      <c r="L46" s="4">
        <v>3.2000000000000001E-2</v>
      </c>
      <c r="M46" s="4">
        <v>4.0000000000000001E-3</v>
      </c>
      <c r="N46" s="4">
        <v>-6.4000000000000003E-3</v>
      </c>
      <c r="O46" s="4">
        <v>2.0000000000000001E-4</v>
      </c>
      <c r="P46" s="4">
        <v>128.33000000000001</v>
      </c>
      <c r="Q46" s="4">
        <v>0.16</v>
      </c>
      <c r="R46" s="45">
        <f>P46*E46/G46^3</f>
        <v>0.26193614229479517</v>
      </c>
      <c r="S46" s="22">
        <f>Q46*E46/G46^3</f>
        <v>3.2657821839918356E-4</v>
      </c>
    </row>
    <row r="47" spans="1:19">
      <c r="A47" s="23" t="s">
        <v>1341</v>
      </c>
      <c r="B47" s="83" t="s">
        <v>1429</v>
      </c>
      <c r="C47" s="83"/>
      <c r="D47" s="165">
        <v>0.5</v>
      </c>
      <c r="E47" s="4">
        <v>14</v>
      </c>
      <c r="F47" s="4">
        <v>5</v>
      </c>
      <c r="G47" s="4">
        <v>19</v>
      </c>
      <c r="H47" s="4">
        <v>4.1791</v>
      </c>
      <c r="I47" s="4">
        <v>4.0000000000000002E-4</v>
      </c>
      <c r="J47" s="4">
        <v>-24.755600000000001</v>
      </c>
      <c r="K47" s="4">
        <v>4.0000000000000002E-4</v>
      </c>
      <c r="L47" s="4">
        <v>4.3999999999999997E-2</v>
      </c>
      <c r="M47" s="4">
        <v>0.01</v>
      </c>
      <c r="N47" s="4">
        <v>-9.4000000000000004E-3</v>
      </c>
      <c r="O47" s="4">
        <v>2.0000000000000001E-4</v>
      </c>
      <c r="P47" s="4">
        <v>127.03</v>
      </c>
      <c r="Q47" s="4">
        <v>0.14000000000000001</v>
      </c>
      <c r="R47" s="4">
        <f t="shared" si="0"/>
        <v>0.25928269427030182</v>
      </c>
      <c r="S47" s="22">
        <f t="shared" si="1"/>
        <v>2.8575594109928564E-4</v>
      </c>
    </row>
    <row r="48" spans="1:19">
      <c r="A48" s="28" t="s">
        <v>1341</v>
      </c>
      <c r="B48" s="85" t="s">
        <v>1429</v>
      </c>
      <c r="C48" s="85"/>
      <c r="D48" s="166">
        <v>0.75</v>
      </c>
      <c r="E48" s="4">
        <v>14</v>
      </c>
      <c r="F48" s="4">
        <v>5</v>
      </c>
      <c r="G48" s="4">
        <v>19</v>
      </c>
      <c r="H48" s="29">
        <v>2.9232</v>
      </c>
      <c r="I48" s="4">
        <v>8.0000000000000004E-4</v>
      </c>
      <c r="J48" s="29">
        <v>-17.852900000000002</v>
      </c>
      <c r="K48" s="4">
        <v>1.1000000000000001E-3</v>
      </c>
      <c r="L48" s="4">
        <v>6.9000000000000006E-2</v>
      </c>
      <c r="M48" s="4">
        <v>1.7000000000000001E-2</v>
      </c>
      <c r="N48" s="4">
        <v>-1.4500000000000001E-2</v>
      </c>
      <c r="O48" s="4">
        <v>5.0000000000000001E-4</v>
      </c>
      <c r="P48" s="4">
        <v>122.61</v>
      </c>
      <c r="Q48" s="4">
        <v>0.37</v>
      </c>
      <c r="R48" s="29">
        <f t="shared" si="0"/>
        <v>0.25026097098702432</v>
      </c>
      <c r="S48" s="22">
        <f t="shared" si="1"/>
        <v>7.5521213004811193E-4</v>
      </c>
    </row>
    <row r="49" spans="1:19">
      <c r="A49" s="44" t="s">
        <v>1342</v>
      </c>
      <c r="B49" s="104" t="s">
        <v>1430</v>
      </c>
      <c r="C49" s="104"/>
      <c r="D49" s="169">
        <v>0.25</v>
      </c>
      <c r="E49" s="4">
        <v>14</v>
      </c>
      <c r="F49" s="4">
        <v>5</v>
      </c>
      <c r="G49" s="4">
        <v>19</v>
      </c>
      <c r="H49" s="45">
        <v>5.4588999999999999</v>
      </c>
      <c r="I49" s="4">
        <v>8.9999999999999998E-4</v>
      </c>
      <c r="J49" s="45">
        <v>-31.845199999999998</v>
      </c>
      <c r="K49" s="4">
        <v>8.9999999999999998E-4</v>
      </c>
      <c r="L49" s="4">
        <v>2.7E-2</v>
      </c>
      <c r="M49" s="4">
        <v>1.6E-2</v>
      </c>
      <c r="N49" s="4">
        <v>-6.6E-3</v>
      </c>
      <c r="O49" s="4">
        <v>1E-4</v>
      </c>
      <c r="P49" s="4">
        <v>127.86</v>
      </c>
      <c r="Q49" s="4">
        <v>7.0000000000000007E-2</v>
      </c>
      <c r="R49" s="45">
        <f>P49*E49/G49^3</f>
        <v>0.26097681877824758</v>
      </c>
      <c r="S49" s="22">
        <f>Q49*E49/G49^3</f>
        <v>1.4287797054964282E-4</v>
      </c>
    </row>
    <row r="50" spans="1:19">
      <c r="A50" s="23" t="s">
        <v>1342</v>
      </c>
      <c r="B50" s="83" t="s">
        <v>1430</v>
      </c>
      <c r="C50" s="83"/>
      <c r="D50" s="165">
        <v>0.5</v>
      </c>
      <c r="E50" s="4">
        <v>14</v>
      </c>
      <c r="F50" s="4">
        <v>5</v>
      </c>
      <c r="G50" s="4">
        <v>19</v>
      </c>
      <c r="H50" s="4">
        <v>4.2182000000000004</v>
      </c>
      <c r="I50" s="4">
        <v>8.9999999999999998E-4</v>
      </c>
      <c r="J50" s="4">
        <v>-24.706900000000001</v>
      </c>
      <c r="K50" s="4">
        <v>2.3E-3</v>
      </c>
      <c r="L50" s="4">
        <v>4.5999999999999999E-2</v>
      </c>
      <c r="M50" s="4">
        <v>2.1999999999999999E-2</v>
      </c>
      <c r="N50" s="4">
        <v>-9.1999999999999998E-3</v>
      </c>
      <c r="O50" s="4">
        <v>2.9999999999999997E-4</v>
      </c>
      <c r="P50" s="4">
        <v>125.46</v>
      </c>
      <c r="Q50" s="4">
        <v>0.31</v>
      </c>
      <c r="R50" s="4">
        <f t="shared" si="0"/>
        <v>0.25607814550225977</v>
      </c>
      <c r="S50" s="22">
        <f t="shared" si="1"/>
        <v>6.3274529814841816E-4</v>
      </c>
    </row>
    <row r="51" spans="1:19">
      <c r="A51" s="28" t="s">
        <v>1342</v>
      </c>
      <c r="B51" s="85" t="s">
        <v>1430</v>
      </c>
      <c r="C51" s="85"/>
      <c r="D51" s="166">
        <v>0.75</v>
      </c>
      <c r="E51" s="4">
        <v>14</v>
      </c>
      <c r="F51" s="4">
        <v>5</v>
      </c>
      <c r="G51" s="4">
        <v>19</v>
      </c>
      <c r="H51" s="29">
        <v>2.9925000000000002</v>
      </c>
      <c r="I51" s="4">
        <v>5.0000000000000001E-4</v>
      </c>
      <c r="J51" s="29">
        <v>-17.973299999999998</v>
      </c>
      <c r="K51" s="4">
        <v>1.6000000000000001E-3</v>
      </c>
      <c r="L51" s="4">
        <v>7.2999999999999995E-2</v>
      </c>
      <c r="M51" s="4">
        <v>8.9999999999999993E-3</v>
      </c>
      <c r="N51" s="4">
        <v>-1.7299999999999999E-2</v>
      </c>
      <c r="O51" s="4">
        <v>5.9999999999999995E-4</v>
      </c>
      <c r="P51" s="4">
        <v>115.42</v>
      </c>
      <c r="Q51" s="4">
        <v>0.39</v>
      </c>
      <c r="R51" s="29">
        <f t="shared" si="0"/>
        <v>0.23558536229771104</v>
      </c>
      <c r="S51" s="22">
        <f t="shared" si="1"/>
        <v>7.9603440734800986E-4</v>
      </c>
    </row>
    <row r="52" spans="1:19">
      <c r="A52" s="44" t="s">
        <v>1343</v>
      </c>
      <c r="B52" s="104" t="s">
        <v>1431</v>
      </c>
      <c r="C52" s="104"/>
      <c r="D52" s="169">
        <v>0.25</v>
      </c>
      <c r="E52" s="4">
        <v>14</v>
      </c>
      <c r="F52" s="4">
        <v>5</v>
      </c>
      <c r="G52" s="4">
        <v>19</v>
      </c>
      <c r="H52" s="45">
        <v>5.4316000000000004</v>
      </c>
      <c r="I52" s="4">
        <v>5.9999999999999995E-4</v>
      </c>
      <c r="J52" s="45">
        <v>-31.741399999999999</v>
      </c>
      <c r="K52" s="4">
        <v>8.9999999999999998E-4</v>
      </c>
      <c r="L52" s="4">
        <v>3.3000000000000002E-2</v>
      </c>
      <c r="M52" s="4">
        <v>1E-3</v>
      </c>
      <c r="N52" s="4">
        <v>-6.6E-3</v>
      </c>
      <c r="O52" s="4">
        <v>2.0000000000000001E-4</v>
      </c>
      <c r="P52" s="4">
        <v>128.1</v>
      </c>
      <c r="Q52" s="4">
        <v>0.18</v>
      </c>
      <c r="R52" s="45">
        <f>P52*E52/G52^3</f>
        <v>0.26146668610584634</v>
      </c>
      <c r="S52" s="22">
        <f>Q52*E52/G52^3</f>
        <v>3.6740049569908149E-4</v>
      </c>
    </row>
    <row r="53" spans="1:19">
      <c r="A53" s="23" t="s">
        <v>1343</v>
      </c>
      <c r="B53" s="83" t="s">
        <v>1431</v>
      </c>
      <c r="C53" s="83"/>
      <c r="D53" s="165">
        <v>0.5</v>
      </c>
      <c r="E53" s="4">
        <v>14</v>
      </c>
      <c r="F53" s="4">
        <v>5</v>
      </c>
      <c r="G53" s="4">
        <v>19</v>
      </c>
      <c r="H53" s="4">
        <v>4.1630000000000003</v>
      </c>
      <c r="I53" s="4">
        <v>5.9999999999999995E-4</v>
      </c>
      <c r="J53" s="4">
        <v>-24.505299999999998</v>
      </c>
      <c r="K53" s="4">
        <v>8.9999999999999998E-4</v>
      </c>
      <c r="L53" s="4">
        <v>5.7000000000000002E-2</v>
      </c>
      <c r="M53" s="4">
        <v>1.0999999999999999E-2</v>
      </c>
      <c r="N53" s="4">
        <v>-9.2999999999999992E-3</v>
      </c>
      <c r="O53" s="4">
        <v>2.9999999999999997E-4</v>
      </c>
      <c r="P53" s="4">
        <v>126.1</v>
      </c>
      <c r="Q53" s="4">
        <v>0.27</v>
      </c>
      <c r="R53" s="4">
        <f t="shared" si="0"/>
        <v>0.2573844583758565</v>
      </c>
      <c r="S53" s="22">
        <f t="shared" si="1"/>
        <v>5.5110074354862231E-4</v>
      </c>
    </row>
    <row r="54" spans="1:19">
      <c r="A54" s="28" t="s">
        <v>1343</v>
      </c>
      <c r="B54" s="85" t="s">
        <v>1431</v>
      </c>
      <c r="C54" s="85"/>
      <c r="D54" s="166">
        <v>0.75</v>
      </c>
      <c r="E54" s="4">
        <v>14</v>
      </c>
      <c r="F54" s="4">
        <v>5</v>
      </c>
      <c r="G54" s="4">
        <v>19</v>
      </c>
      <c r="H54" s="29">
        <v>2.9018999999999999</v>
      </c>
      <c r="I54" s="4">
        <v>6.9999999999999999E-4</v>
      </c>
      <c r="J54" s="29">
        <v>-17.750699999999998</v>
      </c>
      <c r="K54" s="4">
        <v>5.9999999999999995E-4</v>
      </c>
      <c r="L54" s="4">
        <v>0.13800000000000001</v>
      </c>
      <c r="M54" s="4">
        <v>1.7999999999999999E-2</v>
      </c>
      <c r="N54" s="4">
        <v>-1.8599999999999998E-2</v>
      </c>
      <c r="O54" s="4">
        <v>4.0000000000000002E-4</v>
      </c>
      <c r="P54" s="4">
        <v>115.26</v>
      </c>
      <c r="Q54" s="4">
        <v>0.31</v>
      </c>
      <c r="R54" s="29">
        <f t="shared" si="0"/>
        <v>0.23525878407931186</v>
      </c>
      <c r="S54" s="22">
        <f t="shared" si="1"/>
        <v>6.3274529814841816E-4</v>
      </c>
    </row>
    <row r="55" spans="1:19">
      <c r="A55" s="44" t="s">
        <v>1344</v>
      </c>
      <c r="B55" s="104" t="s">
        <v>1432</v>
      </c>
      <c r="C55" s="104"/>
      <c r="D55" s="169">
        <v>0.25</v>
      </c>
      <c r="E55" s="4">
        <v>14</v>
      </c>
      <c r="F55" s="4">
        <v>5</v>
      </c>
      <c r="G55" s="4">
        <v>19</v>
      </c>
      <c r="H55" s="45">
        <v>5.4683999999999999</v>
      </c>
      <c r="I55" s="4">
        <v>5.0000000000000001E-4</v>
      </c>
      <c r="J55" s="45">
        <v>-31.7911</v>
      </c>
      <c r="K55" s="4">
        <v>6.9999999999999999E-4</v>
      </c>
      <c r="L55" s="4">
        <v>2.3E-2</v>
      </c>
      <c r="M55" s="4">
        <v>3.0000000000000001E-3</v>
      </c>
      <c r="N55" s="4">
        <v>-6.4999999999999997E-3</v>
      </c>
      <c r="O55" s="4">
        <v>0</v>
      </c>
      <c r="P55" s="4">
        <v>127.94</v>
      </c>
      <c r="Q55" s="4">
        <v>7.0000000000000007E-2</v>
      </c>
      <c r="R55" s="45">
        <f>P55*E55/G55^3</f>
        <v>0.26114010788744713</v>
      </c>
      <c r="S55" s="22">
        <f>Q55*E55/G55^3</f>
        <v>1.4287797054964282E-4</v>
      </c>
    </row>
    <row r="56" spans="1:19">
      <c r="A56" s="23" t="s">
        <v>1344</v>
      </c>
      <c r="B56" s="83" t="s">
        <v>1432</v>
      </c>
      <c r="C56" s="83"/>
      <c r="D56" s="165">
        <v>0.5</v>
      </c>
      <c r="E56" s="4">
        <v>14</v>
      </c>
      <c r="F56" s="4">
        <v>5</v>
      </c>
      <c r="G56" s="4">
        <v>19</v>
      </c>
      <c r="H56" s="4">
        <v>4.2392000000000003</v>
      </c>
      <c r="I56" s="4">
        <v>4.0000000000000002E-4</v>
      </c>
      <c r="J56" s="4">
        <v>-24.5779</v>
      </c>
      <c r="K56" s="4">
        <v>1E-3</v>
      </c>
      <c r="L56" s="4">
        <v>2.9000000000000001E-2</v>
      </c>
      <c r="M56" s="4">
        <v>4.0000000000000001E-3</v>
      </c>
      <c r="N56" s="4">
        <v>-8.9999999999999993E-3</v>
      </c>
      <c r="O56" s="4">
        <v>2.0000000000000001E-4</v>
      </c>
      <c r="P56" s="4">
        <v>125.89</v>
      </c>
      <c r="Q56" s="4">
        <v>0.23</v>
      </c>
      <c r="R56" s="4">
        <f t="shared" si="0"/>
        <v>0.25695582446420762</v>
      </c>
      <c r="S56" s="22">
        <f t="shared" si="1"/>
        <v>4.6945618894882641E-4</v>
      </c>
    </row>
    <row r="57" spans="1:19">
      <c r="A57" s="28" t="s">
        <v>1344</v>
      </c>
      <c r="B57" s="85" t="s">
        <v>1432</v>
      </c>
      <c r="C57" s="85"/>
      <c r="D57" s="166">
        <v>0.75</v>
      </c>
      <c r="E57" s="4">
        <v>14</v>
      </c>
      <c r="F57" s="4">
        <v>5</v>
      </c>
      <c r="G57" s="4">
        <v>19</v>
      </c>
      <c r="H57" s="29">
        <v>3.0263</v>
      </c>
      <c r="I57" s="4">
        <v>4.0000000000000002E-4</v>
      </c>
      <c r="J57" s="29">
        <v>-17.713100000000001</v>
      </c>
      <c r="K57" s="4">
        <v>6.9999999999999999E-4</v>
      </c>
      <c r="L57" s="4">
        <v>5.5E-2</v>
      </c>
      <c r="M57" s="4">
        <v>7.0000000000000001E-3</v>
      </c>
      <c r="N57" s="4">
        <v>-1.5699999999999999E-2</v>
      </c>
      <c r="O57" s="4">
        <v>5.9999999999999995E-4</v>
      </c>
      <c r="P57" s="4">
        <v>117.36</v>
      </c>
      <c r="Q57" s="4">
        <v>0.35</v>
      </c>
      <c r="R57" s="29">
        <f t="shared" si="0"/>
        <v>0.23954512319580112</v>
      </c>
      <c r="S57" s="22">
        <f t="shared" si="1"/>
        <v>7.143898527482139E-4</v>
      </c>
    </row>
    <row r="58" spans="1:19">
      <c r="A58" s="44" t="s">
        <v>1345</v>
      </c>
      <c r="B58" s="104" t="s">
        <v>1433</v>
      </c>
      <c r="C58" s="104"/>
      <c r="D58" s="169">
        <v>0.25</v>
      </c>
      <c r="E58" s="4">
        <v>14</v>
      </c>
      <c r="F58" s="4">
        <v>5</v>
      </c>
      <c r="G58" s="4">
        <v>19</v>
      </c>
      <c r="H58" s="45">
        <v>5.4457000000000004</v>
      </c>
      <c r="I58" s="4">
        <v>6.9999999999999999E-4</v>
      </c>
      <c r="J58" s="45">
        <v>-31.9663</v>
      </c>
      <c r="K58" s="4">
        <v>1.6999999999999999E-3</v>
      </c>
      <c r="L58" s="4">
        <v>3.1E-2</v>
      </c>
      <c r="M58" s="4">
        <v>8.0000000000000002E-3</v>
      </c>
      <c r="N58" s="4">
        <v>-6.4000000000000003E-3</v>
      </c>
      <c r="O58" s="4">
        <v>2.0000000000000001E-4</v>
      </c>
      <c r="P58" s="4">
        <v>128.21</v>
      </c>
      <c r="Q58" s="4">
        <v>0.17</v>
      </c>
      <c r="R58" s="45">
        <f>P58*E58/G58^3</f>
        <v>0.26169120863099576</v>
      </c>
      <c r="S58" s="22">
        <f>Q58*E58/G58^3</f>
        <v>3.4698935704913258E-4</v>
      </c>
    </row>
    <row r="59" spans="1:19">
      <c r="A59" s="23" t="s">
        <v>1345</v>
      </c>
      <c r="B59" s="83" t="s">
        <v>1433</v>
      </c>
      <c r="C59" s="83"/>
      <c r="D59" s="165">
        <v>0.5</v>
      </c>
      <c r="E59" s="4">
        <v>14</v>
      </c>
      <c r="F59" s="4">
        <v>5</v>
      </c>
      <c r="G59" s="4">
        <v>19</v>
      </c>
      <c r="H59" s="4">
        <v>4.1916000000000002</v>
      </c>
      <c r="I59" s="4">
        <v>8.9999999999999998E-4</v>
      </c>
      <c r="J59" s="4">
        <v>-24.921800000000001</v>
      </c>
      <c r="K59" s="4">
        <v>1.6999999999999999E-3</v>
      </c>
      <c r="L59" s="4">
        <v>4.7E-2</v>
      </c>
      <c r="M59" s="4">
        <v>2.9000000000000001E-2</v>
      </c>
      <c r="N59" s="4">
        <v>-9.1000000000000004E-3</v>
      </c>
      <c r="O59" s="4">
        <v>5.9999999999999995E-4</v>
      </c>
      <c r="P59" s="4">
        <v>126.57</v>
      </c>
      <c r="Q59" s="4">
        <v>0.22</v>
      </c>
      <c r="R59" s="4">
        <f t="shared" si="0"/>
        <v>0.25834378189240415</v>
      </c>
      <c r="S59" s="22">
        <f t="shared" si="1"/>
        <v>4.4904505029887739E-4</v>
      </c>
    </row>
    <row r="60" spans="1:19">
      <c r="A60" s="28" t="s">
        <v>1345</v>
      </c>
      <c r="B60" s="85" t="s">
        <v>1433</v>
      </c>
      <c r="C60" s="85"/>
      <c r="D60" s="166">
        <v>0.75</v>
      </c>
      <c r="E60" s="4">
        <v>14</v>
      </c>
      <c r="F60" s="4">
        <v>5</v>
      </c>
      <c r="G60" s="4">
        <v>19</v>
      </c>
      <c r="H60" s="29">
        <v>2.9398</v>
      </c>
      <c r="I60" s="4">
        <v>5.9999999999999995E-4</v>
      </c>
      <c r="J60" s="29">
        <v>-18.215800000000002</v>
      </c>
      <c r="K60" s="4">
        <v>5.9999999999999995E-4</v>
      </c>
      <c r="L60" s="4">
        <v>9.4E-2</v>
      </c>
      <c r="M60" s="4">
        <v>6.0000000000000001E-3</v>
      </c>
      <c r="N60" s="4">
        <v>-1.67E-2</v>
      </c>
      <c r="O60" s="4">
        <v>2.9999999999999997E-4</v>
      </c>
      <c r="P60" s="4">
        <v>118.48</v>
      </c>
      <c r="Q60" s="4">
        <v>0.34</v>
      </c>
      <c r="R60" s="29">
        <f t="shared" si="0"/>
        <v>0.24183117072459542</v>
      </c>
      <c r="S60" s="22">
        <f t="shared" si="1"/>
        <v>6.9397871409826515E-4</v>
      </c>
    </row>
    <row r="61" spans="1:19">
      <c r="A61" s="44" t="s">
        <v>1346</v>
      </c>
      <c r="B61" s="104" t="s">
        <v>1434</v>
      </c>
      <c r="C61" s="104"/>
      <c r="D61" s="169">
        <v>0.25</v>
      </c>
      <c r="E61" s="4">
        <v>14</v>
      </c>
      <c r="F61" s="4">
        <v>5</v>
      </c>
      <c r="G61" s="4">
        <v>19</v>
      </c>
      <c r="H61" s="45">
        <v>5.4288999999999996</v>
      </c>
      <c r="I61" s="4">
        <v>5.0000000000000001E-4</v>
      </c>
      <c r="J61" s="45">
        <v>-31.782399999999999</v>
      </c>
      <c r="K61" s="4">
        <v>1.4E-3</v>
      </c>
      <c r="L61" s="4">
        <v>3.9E-2</v>
      </c>
      <c r="M61" s="4">
        <v>4.0000000000000001E-3</v>
      </c>
      <c r="N61" s="4">
        <v>-6.4999999999999997E-3</v>
      </c>
      <c r="O61" s="4">
        <v>0</v>
      </c>
      <c r="P61" s="4">
        <v>128.1</v>
      </c>
      <c r="Q61" s="4">
        <v>0.11</v>
      </c>
      <c r="R61" s="45">
        <f>P61*E61/G61^3</f>
        <v>0.26146668610584634</v>
      </c>
      <c r="S61" s="22">
        <f>Q61*E61/G61^3</f>
        <v>2.2452252514943869E-4</v>
      </c>
    </row>
    <row r="62" spans="1:19">
      <c r="A62" s="23" t="s">
        <v>1346</v>
      </c>
      <c r="B62" s="83" t="s">
        <v>1434</v>
      </c>
      <c r="C62" s="83"/>
      <c r="D62" s="165">
        <v>0.5</v>
      </c>
      <c r="E62" s="4">
        <v>14</v>
      </c>
      <c r="F62" s="4">
        <v>5</v>
      </c>
      <c r="G62" s="4">
        <v>19</v>
      </c>
      <c r="H62" s="4">
        <v>4.1592000000000002</v>
      </c>
      <c r="I62" s="4">
        <v>8.0000000000000004E-4</v>
      </c>
      <c r="J62" s="4">
        <v>-24.604299999999999</v>
      </c>
      <c r="K62" s="4">
        <v>1.1000000000000001E-3</v>
      </c>
      <c r="L62" s="4">
        <v>5.2999999999999999E-2</v>
      </c>
      <c r="M62" s="4">
        <v>1.0999999999999999E-2</v>
      </c>
      <c r="N62" s="4">
        <v>-9.5999999999999992E-3</v>
      </c>
      <c r="O62" s="4">
        <v>2.0000000000000001E-4</v>
      </c>
      <c r="P62" s="4">
        <v>125.66</v>
      </c>
      <c r="Q62" s="4">
        <v>0.15</v>
      </c>
      <c r="R62" s="4">
        <f t="shared" si="0"/>
        <v>0.25648636827525878</v>
      </c>
      <c r="S62" s="22">
        <f t="shared" si="1"/>
        <v>3.061670797492346E-4</v>
      </c>
    </row>
    <row r="63" spans="1:19">
      <c r="A63" s="28" t="s">
        <v>1346</v>
      </c>
      <c r="B63" s="85" t="s">
        <v>1434</v>
      </c>
      <c r="C63" s="85"/>
      <c r="D63" s="166">
        <v>0.75</v>
      </c>
      <c r="E63" s="4">
        <v>14</v>
      </c>
      <c r="F63" s="4">
        <v>5</v>
      </c>
      <c r="G63" s="4">
        <v>19</v>
      </c>
      <c r="H63" s="41">
        <v>2.8915000000000002</v>
      </c>
      <c r="I63" s="4">
        <v>4.0000000000000002E-4</v>
      </c>
      <c r="J63" s="29">
        <v>-18.0139</v>
      </c>
      <c r="K63" s="4">
        <v>5.9999999999999995E-4</v>
      </c>
      <c r="L63" s="4">
        <v>0.16900000000000001</v>
      </c>
      <c r="M63" s="4">
        <v>1.4E-2</v>
      </c>
      <c r="N63" s="4">
        <v>-1.9800000000000002E-2</v>
      </c>
      <c r="O63" s="4">
        <v>2.0000000000000001E-4</v>
      </c>
      <c r="P63" s="4">
        <v>112.47</v>
      </c>
      <c r="Q63" s="4">
        <v>0.09</v>
      </c>
      <c r="R63" s="29">
        <f t="shared" si="0"/>
        <v>0.22956407639597609</v>
      </c>
      <c r="S63" s="22">
        <f t="shared" si="1"/>
        <v>1.8370024784954074E-4</v>
      </c>
    </row>
    <row r="64" spans="1:19">
      <c r="A64" s="44" t="s">
        <v>1347</v>
      </c>
      <c r="B64" s="168">
        <v>11111111122222</v>
      </c>
      <c r="C64" s="168" t="s">
        <v>17</v>
      </c>
      <c r="D64" s="169">
        <v>0.25</v>
      </c>
      <c r="E64" s="4">
        <v>14</v>
      </c>
      <c r="F64" s="4">
        <v>5</v>
      </c>
      <c r="G64" s="4">
        <v>19</v>
      </c>
      <c r="H64" s="45">
        <v>5.4789000000000003</v>
      </c>
      <c r="I64" s="4">
        <v>8.0000000000000004E-4</v>
      </c>
      <c r="J64" s="45">
        <v>-32.130699999999997</v>
      </c>
      <c r="K64" s="4">
        <v>1.6999999999999999E-3</v>
      </c>
      <c r="L64" s="4">
        <v>3.3000000000000002E-2</v>
      </c>
      <c r="M64" s="4">
        <v>7.0000000000000001E-3</v>
      </c>
      <c r="N64" s="4">
        <v>-6.7999999999999996E-3</v>
      </c>
      <c r="O64" s="4">
        <v>2.0000000000000001E-4</v>
      </c>
      <c r="P64" s="4">
        <v>126.49</v>
      </c>
      <c r="Q64" s="4">
        <v>0.23</v>
      </c>
      <c r="R64" s="45">
        <f>P64*E64/G64^3</f>
        <v>0.25818049278320454</v>
      </c>
      <c r="S64" s="22">
        <f>Q64*E64/G64^3</f>
        <v>4.6945618894882641E-4</v>
      </c>
    </row>
    <row r="65" spans="1:19">
      <c r="A65" s="23" t="s">
        <v>1347</v>
      </c>
      <c r="B65" s="170">
        <v>11111111122222</v>
      </c>
      <c r="C65" s="170" t="s">
        <v>17</v>
      </c>
      <c r="D65" s="165">
        <v>0.5</v>
      </c>
      <c r="E65" s="4">
        <v>14</v>
      </c>
      <c r="F65" s="4">
        <v>5</v>
      </c>
      <c r="G65" s="4">
        <v>19</v>
      </c>
      <c r="H65" s="4">
        <v>4.3079000000000001</v>
      </c>
      <c r="I65" s="4">
        <v>8.0000000000000004E-4</v>
      </c>
      <c r="J65" s="4">
        <v>-26.177900000000001</v>
      </c>
      <c r="K65" s="4">
        <v>2E-3</v>
      </c>
      <c r="L65" s="4">
        <v>0.14499999999999999</v>
      </c>
      <c r="M65" s="4">
        <v>1.6E-2</v>
      </c>
      <c r="N65" s="4">
        <v>-1.6400000000000001E-2</v>
      </c>
      <c r="O65" s="4">
        <v>2.9999999999999997E-4</v>
      </c>
      <c r="P65" s="4">
        <v>106.67</v>
      </c>
      <c r="Q65" s="4">
        <v>0.33</v>
      </c>
      <c r="R65" s="4">
        <f t="shared" si="0"/>
        <v>0.21772561597900569</v>
      </c>
      <c r="S65" s="22">
        <f t="shared" si="1"/>
        <v>6.7356757544831608E-4</v>
      </c>
    </row>
    <row r="66" spans="1:19">
      <c r="A66" s="44" t="s">
        <v>1348</v>
      </c>
      <c r="B66" s="168">
        <v>11111222221111</v>
      </c>
      <c r="C66" s="168" t="s">
        <v>19</v>
      </c>
      <c r="D66" s="169">
        <v>0.25</v>
      </c>
      <c r="E66" s="4">
        <v>14</v>
      </c>
      <c r="F66" s="4">
        <v>5</v>
      </c>
      <c r="G66" s="4">
        <v>19</v>
      </c>
      <c r="H66" s="45">
        <v>5.4123999999999999</v>
      </c>
      <c r="I66" s="4">
        <v>6.9999999999999999E-4</v>
      </c>
      <c r="J66" s="45">
        <v>-31.942499999999999</v>
      </c>
      <c r="K66" s="4">
        <v>1.5E-3</v>
      </c>
      <c r="L66" s="4">
        <v>4.2000000000000003E-2</v>
      </c>
      <c r="M66" s="4">
        <v>1.0999999999999999E-2</v>
      </c>
      <c r="N66" s="4">
        <v>-7.0000000000000001E-3</v>
      </c>
      <c r="O66" s="4">
        <v>2.0000000000000001E-4</v>
      </c>
      <c r="P66" s="4">
        <v>127.36</v>
      </c>
      <c r="Q66" s="4">
        <v>0.3</v>
      </c>
      <c r="R66" s="45">
        <f>P66*E66/G66^3</f>
        <v>0.2599562618457501</v>
      </c>
      <c r="S66" s="22">
        <f>Q66*E66/G66^3</f>
        <v>6.123341594984692E-4</v>
      </c>
    </row>
    <row r="67" spans="1:19">
      <c r="A67" s="23" t="s">
        <v>1348</v>
      </c>
      <c r="B67" s="170">
        <v>11111222221111</v>
      </c>
      <c r="C67" s="170" t="s">
        <v>19</v>
      </c>
      <c r="D67" s="165">
        <v>0.5</v>
      </c>
      <c r="E67" s="4">
        <v>14</v>
      </c>
      <c r="F67" s="4">
        <v>5</v>
      </c>
      <c r="G67" s="4">
        <v>19</v>
      </c>
      <c r="H67" s="4">
        <v>4.1241000000000003</v>
      </c>
      <c r="I67" s="4">
        <v>5.9999999999999995E-4</v>
      </c>
      <c r="J67" s="4">
        <v>-25.314499999999999</v>
      </c>
      <c r="K67" s="4">
        <v>2.9999999999999997E-4</v>
      </c>
      <c r="L67" s="4">
        <v>0.13800000000000001</v>
      </c>
      <c r="M67" s="4">
        <v>1.7000000000000001E-2</v>
      </c>
      <c r="N67" s="4">
        <v>-1.21E-2</v>
      </c>
      <c r="O67" s="4">
        <v>1E-4</v>
      </c>
      <c r="P67" s="4">
        <v>119.72</v>
      </c>
      <c r="Q67" s="4">
        <v>0.33</v>
      </c>
      <c r="R67" s="4">
        <f t="shared" si="0"/>
        <v>0.24436215191718907</v>
      </c>
      <c r="S67" s="22">
        <f t="shared" si="1"/>
        <v>6.7356757544831608E-4</v>
      </c>
    </row>
    <row r="68" spans="1:19">
      <c r="A68" s="44" t="s">
        <v>1349</v>
      </c>
      <c r="B68" s="168">
        <v>22211111111122</v>
      </c>
      <c r="C68" s="168" t="s">
        <v>30</v>
      </c>
      <c r="D68" s="169">
        <v>0.25</v>
      </c>
      <c r="E68" s="4">
        <v>14</v>
      </c>
      <c r="F68" s="4">
        <v>5</v>
      </c>
      <c r="G68" s="4">
        <v>19</v>
      </c>
      <c r="H68" s="45">
        <v>5.5141</v>
      </c>
      <c r="I68" s="4">
        <v>8.9999999999999998E-4</v>
      </c>
      <c r="J68" s="45">
        <v>-31.782900000000001</v>
      </c>
      <c r="K68" s="4">
        <v>1.1999999999999999E-3</v>
      </c>
      <c r="L68" s="4">
        <v>0.02</v>
      </c>
      <c r="M68" s="4">
        <v>5.0000000000000001E-3</v>
      </c>
      <c r="N68" s="4">
        <v>-6.6E-3</v>
      </c>
      <c r="O68" s="4">
        <v>2.9999999999999997E-4</v>
      </c>
      <c r="P68" s="4">
        <v>127.23</v>
      </c>
      <c r="Q68" s="4">
        <v>0.2</v>
      </c>
      <c r="R68" s="45">
        <f>P68*E68/G68^3</f>
        <v>0.25969091704330077</v>
      </c>
      <c r="S68" s="22">
        <f>Q68*E68/G68^3</f>
        <v>4.0822277299897946E-4</v>
      </c>
    </row>
    <row r="69" spans="1:19" ht="17" thickBot="1">
      <c r="A69" s="23" t="s">
        <v>1349</v>
      </c>
      <c r="B69" s="170">
        <v>22211111111122</v>
      </c>
      <c r="C69" s="170" t="s">
        <v>30</v>
      </c>
      <c r="D69" s="165">
        <v>0.5</v>
      </c>
      <c r="E69" s="4">
        <v>14</v>
      </c>
      <c r="F69" s="4">
        <v>5</v>
      </c>
      <c r="G69" s="4">
        <v>19</v>
      </c>
      <c r="H69" s="4">
        <v>4.3516000000000004</v>
      </c>
      <c r="I69" s="4">
        <v>6.9999999999999999E-4</v>
      </c>
      <c r="J69" s="4">
        <v>-24.7563</v>
      </c>
      <c r="K69" s="4">
        <v>1.5E-3</v>
      </c>
      <c r="L69" s="4">
        <v>2.4E-2</v>
      </c>
      <c r="M69" s="4">
        <v>5.0000000000000001E-3</v>
      </c>
      <c r="N69" s="4">
        <v>-9.1000000000000004E-3</v>
      </c>
      <c r="O69" s="4">
        <v>2.9999999999999997E-4</v>
      </c>
      <c r="P69" s="4">
        <v>122.8</v>
      </c>
      <c r="Q69" s="4">
        <v>0.24</v>
      </c>
      <c r="R69" s="4">
        <f t="shared" si="0"/>
        <v>0.25064878262137341</v>
      </c>
      <c r="S69" s="22">
        <f t="shared" si="1"/>
        <v>4.8986732759877531E-4</v>
      </c>
    </row>
    <row r="70" spans="1:19">
      <c r="A70" s="151" t="s">
        <v>1350</v>
      </c>
      <c r="B70" s="145" t="s">
        <v>1438</v>
      </c>
      <c r="C70" s="145"/>
      <c r="D70" s="154">
        <v>0.25</v>
      </c>
      <c r="E70" s="150">
        <v>14</v>
      </c>
      <c r="F70" s="150">
        <v>6</v>
      </c>
      <c r="G70" s="150">
        <v>19</v>
      </c>
      <c r="H70" s="145">
        <v>5.6455000000000002</v>
      </c>
      <c r="I70" s="150">
        <v>5.0000000000000001E-4</v>
      </c>
      <c r="J70" s="145">
        <v>-32.887999999999998</v>
      </c>
      <c r="K70" s="150">
        <v>1.2999999999999999E-3</v>
      </c>
      <c r="L70" s="150">
        <v>2.9000000000000001E-2</v>
      </c>
      <c r="M70" s="150">
        <v>3.0000000000000001E-3</v>
      </c>
      <c r="N70" s="150">
        <v>-6.4000000000000003E-3</v>
      </c>
      <c r="O70" s="150">
        <v>2.0000000000000001E-4</v>
      </c>
      <c r="P70" s="150">
        <v>127.67</v>
      </c>
      <c r="Q70" s="150">
        <v>0.17</v>
      </c>
      <c r="R70" s="145">
        <f>P70*E70/G70^3</f>
        <v>0.26058900714389854</v>
      </c>
      <c r="S70" s="144">
        <f>Q70*E70/G70^3</f>
        <v>3.4698935704913258E-4</v>
      </c>
    </row>
    <row r="71" spans="1:19">
      <c r="A71" s="23" t="s">
        <v>1350</v>
      </c>
      <c r="B71" s="4" t="s">
        <v>1438</v>
      </c>
      <c r="D71" s="83">
        <v>0.5</v>
      </c>
      <c r="E71" s="4">
        <v>14</v>
      </c>
      <c r="F71" s="4">
        <v>6</v>
      </c>
      <c r="G71" s="4">
        <v>19</v>
      </c>
      <c r="H71" s="4">
        <v>4.5891000000000002</v>
      </c>
      <c r="I71" s="4">
        <v>5.0000000000000001E-4</v>
      </c>
      <c r="J71" s="4">
        <v>-26.814299999999999</v>
      </c>
      <c r="K71" s="4">
        <v>1.6999999999999999E-3</v>
      </c>
      <c r="L71" s="4">
        <v>3.6999999999999998E-2</v>
      </c>
      <c r="M71" s="4">
        <v>1.0999999999999999E-2</v>
      </c>
      <c r="N71" s="4">
        <v>-8.5000000000000006E-3</v>
      </c>
      <c r="O71" s="4">
        <v>4.0000000000000002E-4</v>
      </c>
      <c r="P71" s="4">
        <v>125.34</v>
      </c>
      <c r="Q71" s="4">
        <v>0.34</v>
      </c>
      <c r="R71" s="4">
        <f t="shared" si="0"/>
        <v>0.25583321183846042</v>
      </c>
      <c r="S71" s="22">
        <f t="shared" si="1"/>
        <v>6.9397871409826515E-4</v>
      </c>
    </row>
    <row r="72" spans="1:19">
      <c r="A72" s="28" t="s">
        <v>1350</v>
      </c>
      <c r="B72" s="29" t="s">
        <v>1438</v>
      </c>
      <c r="C72" s="29"/>
      <c r="D72" s="85">
        <v>0.75</v>
      </c>
      <c r="E72" s="4">
        <v>14</v>
      </c>
      <c r="F72" s="4">
        <v>6</v>
      </c>
      <c r="G72" s="4">
        <v>19</v>
      </c>
      <c r="H72" s="29">
        <v>3.5385</v>
      </c>
      <c r="I72" s="4">
        <v>5.9999999999999995E-4</v>
      </c>
      <c r="J72" s="29">
        <v>-21.141200000000001</v>
      </c>
      <c r="K72" s="4">
        <v>8.0000000000000004E-4</v>
      </c>
      <c r="L72" s="4">
        <v>9.5000000000000001E-2</v>
      </c>
      <c r="M72" s="4">
        <v>4.0000000000000001E-3</v>
      </c>
      <c r="N72" s="4">
        <v>-1.5100000000000001E-2</v>
      </c>
      <c r="O72" s="4">
        <v>2.9999999999999997E-4</v>
      </c>
      <c r="P72" s="4">
        <v>115.39</v>
      </c>
      <c r="Q72" s="4">
        <v>0.2</v>
      </c>
      <c r="R72" s="29">
        <f t="shared" si="0"/>
        <v>0.23552412888176119</v>
      </c>
      <c r="S72" s="22">
        <f t="shared" si="1"/>
        <v>4.0822277299897946E-4</v>
      </c>
    </row>
    <row r="73" spans="1:19">
      <c r="A73" s="44" t="s">
        <v>1351</v>
      </c>
      <c r="B73" s="45" t="s">
        <v>1439</v>
      </c>
      <c r="C73" s="45"/>
      <c r="D73" s="169">
        <v>0.25</v>
      </c>
      <c r="E73" s="4">
        <v>14</v>
      </c>
      <c r="F73" s="4">
        <v>6</v>
      </c>
      <c r="G73" s="4">
        <v>19</v>
      </c>
      <c r="H73" s="45">
        <v>5.5880000000000001</v>
      </c>
      <c r="I73" s="4">
        <v>5.9999999999999995E-4</v>
      </c>
      <c r="J73" s="45">
        <v>-33.037999999999997</v>
      </c>
      <c r="K73" s="4">
        <v>1.6999999999999999E-3</v>
      </c>
      <c r="L73" s="4">
        <v>4.2999999999999997E-2</v>
      </c>
      <c r="M73" s="4">
        <v>7.0000000000000001E-3</v>
      </c>
      <c r="N73" s="4">
        <v>-6.4999999999999997E-3</v>
      </c>
      <c r="O73" s="4">
        <v>2.0000000000000001E-4</v>
      </c>
      <c r="P73" s="4">
        <v>127.76</v>
      </c>
      <c r="Q73" s="4">
        <v>0.14000000000000001</v>
      </c>
      <c r="R73" s="45">
        <f>P73*E73/G73^3</f>
        <v>0.26077270739174807</v>
      </c>
      <c r="S73" s="22">
        <f>Q73*E73/G73^3</f>
        <v>2.8575594109928564E-4</v>
      </c>
    </row>
    <row r="74" spans="1:19">
      <c r="A74" s="23" t="s">
        <v>1351</v>
      </c>
      <c r="B74" s="4" t="s">
        <v>1439</v>
      </c>
      <c r="D74" s="165">
        <v>0.5</v>
      </c>
      <c r="E74" s="4">
        <v>14</v>
      </c>
      <c r="F74" s="4">
        <v>6</v>
      </c>
      <c r="G74" s="4">
        <v>19</v>
      </c>
      <c r="H74" s="4">
        <v>4.4573999999999998</v>
      </c>
      <c r="I74" s="4">
        <v>8.0000000000000004E-4</v>
      </c>
      <c r="J74" s="4">
        <v>-27.296600000000002</v>
      </c>
      <c r="K74" s="4">
        <v>2.0999999999999999E-3</v>
      </c>
      <c r="L74" s="4">
        <v>0.112</v>
      </c>
      <c r="M74" s="4">
        <v>1.6E-2</v>
      </c>
      <c r="N74" s="4">
        <v>-1.0699999999999999E-2</v>
      </c>
      <c r="O74" s="4">
        <v>6.9999999999999999E-4</v>
      </c>
      <c r="P74" s="4">
        <v>121.94</v>
      </c>
      <c r="Q74" s="4">
        <v>0.88</v>
      </c>
      <c r="R74" s="4">
        <f t="shared" si="0"/>
        <v>0.24889342469747774</v>
      </c>
      <c r="S74" s="22">
        <f t="shared" si="1"/>
        <v>1.7961802011955096E-3</v>
      </c>
    </row>
    <row r="75" spans="1:19">
      <c r="A75" s="44" t="s">
        <v>1352</v>
      </c>
      <c r="B75" s="45" t="s">
        <v>1440</v>
      </c>
      <c r="C75" s="45"/>
      <c r="D75" s="169">
        <v>0.25</v>
      </c>
      <c r="E75" s="4">
        <v>14</v>
      </c>
      <c r="F75" s="4">
        <v>6</v>
      </c>
      <c r="G75" s="4">
        <v>19</v>
      </c>
      <c r="H75" s="45">
        <v>5.6125999999999996</v>
      </c>
      <c r="I75" s="4">
        <v>8.9999999999999998E-4</v>
      </c>
      <c r="J75" s="45">
        <v>-33.034399999999998</v>
      </c>
      <c r="K75" s="4">
        <v>1.5E-3</v>
      </c>
      <c r="L75" s="4">
        <v>0.03</v>
      </c>
      <c r="M75" s="4">
        <v>5.0000000000000001E-3</v>
      </c>
      <c r="N75" s="4">
        <v>-6.3E-3</v>
      </c>
      <c r="O75" s="4">
        <v>2.9999999999999997E-4</v>
      </c>
      <c r="P75" s="4">
        <v>128.15</v>
      </c>
      <c r="Q75" s="4">
        <v>0.22</v>
      </c>
      <c r="R75" s="45">
        <f>P75*E75/G75^3</f>
        <v>0.26156874179909612</v>
      </c>
      <c r="S75" s="22">
        <f>Q75*E75/G75^3</f>
        <v>4.4904505029887739E-4</v>
      </c>
    </row>
    <row r="76" spans="1:19">
      <c r="A76" s="23" t="s">
        <v>1352</v>
      </c>
      <c r="B76" s="4" t="s">
        <v>1440</v>
      </c>
      <c r="D76" s="165">
        <v>0.5</v>
      </c>
      <c r="E76" s="4">
        <v>14</v>
      </c>
      <c r="F76" s="4">
        <v>6</v>
      </c>
      <c r="G76" s="4">
        <v>19</v>
      </c>
      <c r="H76" s="4">
        <v>4.5212000000000003</v>
      </c>
      <c r="I76" s="4">
        <v>6.9999999999999999E-4</v>
      </c>
      <c r="J76" s="4">
        <v>-27.081600000000002</v>
      </c>
      <c r="K76" s="4">
        <v>1.4E-3</v>
      </c>
      <c r="L76" s="4">
        <v>5.8999999999999997E-2</v>
      </c>
      <c r="M76" s="4">
        <v>3.0000000000000001E-3</v>
      </c>
      <c r="N76" s="4">
        <v>-8.6E-3</v>
      </c>
      <c r="O76" s="4">
        <v>5.9999999999999995E-4</v>
      </c>
      <c r="P76" s="4">
        <v>126.39</v>
      </c>
      <c r="Q76" s="4">
        <v>0.4</v>
      </c>
      <c r="R76" s="4">
        <f t="shared" si="0"/>
        <v>0.25797638139670509</v>
      </c>
      <c r="S76" s="22">
        <f t="shared" si="1"/>
        <v>8.1644554599795893E-4</v>
      </c>
    </row>
    <row r="77" spans="1:19">
      <c r="A77" s="28" t="s">
        <v>1352</v>
      </c>
      <c r="B77" s="29" t="s">
        <v>1440</v>
      </c>
      <c r="C77" s="29"/>
      <c r="D77" s="166">
        <v>0.75</v>
      </c>
      <c r="E77" s="4">
        <v>14</v>
      </c>
      <c r="F77" s="4">
        <v>6</v>
      </c>
      <c r="G77" s="4">
        <v>19</v>
      </c>
      <c r="H77" s="29">
        <v>3.423</v>
      </c>
      <c r="I77" s="4">
        <v>8.0000000000000004E-4</v>
      </c>
      <c r="J77" s="29">
        <v>-21.477499999999999</v>
      </c>
      <c r="K77" s="4">
        <v>1.6000000000000001E-3</v>
      </c>
      <c r="L77" s="4">
        <v>0.13</v>
      </c>
      <c r="M77" s="4">
        <v>1.7000000000000001E-2</v>
      </c>
      <c r="N77" s="4">
        <v>-1.46E-2</v>
      </c>
      <c r="O77" s="4">
        <v>5.0000000000000001E-4</v>
      </c>
      <c r="P77" s="4">
        <v>118.43</v>
      </c>
      <c r="Q77" s="4">
        <v>0.35</v>
      </c>
      <c r="R77" s="29">
        <f t="shared" si="0"/>
        <v>0.24172911503134567</v>
      </c>
      <c r="S77" s="22">
        <f t="shared" si="1"/>
        <v>7.143898527482139E-4</v>
      </c>
    </row>
    <row r="78" spans="1:19">
      <c r="A78" s="44" t="s">
        <v>1353</v>
      </c>
      <c r="B78" s="45" t="s">
        <v>1441</v>
      </c>
      <c r="C78" s="45"/>
      <c r="D78" s="169">
        <v>0.25</v>
      </c>
      <c r="E78" s="4">
        <v>14</v>
      </c>
      <c r="F78" s="4">
        <v>6</v>
      </c>
      <c r="G78" s="4">
        <v>19</v>
      </c>
      <c r="H78" s="45">
        <v>5.6688000000000001</v>
      </c>
      <c r="I78" s="4">
        <v>5.9999999999999995E-4</v>
      </c>
      <c r="J78" s="45">
        <v>-33.011800000000001</v>
      </c>
      <c r="K78" s="4">
        <v>8.0000000000000004E-4</v>
      </c>
      <c r="L78" s="4">
        <v>3.4000000000000002E-2</v>
      </c>
      <c r="M78" s="4">
        <v>3.0000000000000001E-3</v>
      </c>
      <c r="N78" s="4">
        <v>-6.4000000000000003E-3</v>
      </c>
      <c r="O78" s="4">
        <v>2.0000000000000001E-4</v>
      </c>
      <c r="P78" s="4">
        <v>127.11</v>
      </c>
      <c r="Q78" s="4">
        <v>0.11</v>
      </c>
      <c r="R78" s="45">
        <f>P78*E78/G78^3</f>
        <v>0.25944598337950137</v>
      </c>
      <c r="S78" s="22">
        <f>Q78*E78/G78^3</f>
        <v>2.2452252514943869E-4</v>
      </c>
    </row>
    <row r="79" spans="1:19">
      <c r="A79" s="23" t="s">
        <v>1353</v>
      </c>
      <c r="B79" s="4" t="s">
        <v>1441</v>
      </c>
      <c r="D79" s="165">
        <v>0.5</v>
      </c>
      <c r="E79" s="4">
        <v>14</v>
      </c>
      <c r="F79" s="4">
        <v>6</v>
      </c>
      <c r="G79" s="4">
        <v>19</v>
      </c>
      <c r="H79" s="4">
        <v>4.6368</v>
      </c>
      <c r="I79" s="4">
        <v>8.0000000000000004E-4</v>
      </c>
      <c r="J79" s="4">
        <v>-27.299800000000001</v>
      </c>
      <c r="K79" s="4">
        <v>1.4E-3</v>
      </c>
      <c r="L79" s="4">
        <v>6.0999999999999999E-2</v>
      </c>
      <c r="M79" s="4">
        <v>0.01</v>
      </c>
      <c r="N79" s="4">
        <v>-1.0500000000000001E-2</v>
      </c>
      <c r="O79" s="4">
        <v>2.9999999999999997E-4</v>
      </c>
      <c r="P79" s="4">
        <v>119.4</v>
      </c>
      <c r="Q79" s="4">
        <v>0.35</v>
      </c>
      <c r="R79" s="4">
        <f t="shared" si="0"/>
        <v>0.24370899548039074</v>
      </c>
      <c r="S79" s="22">
        <f t="shared" si="1"/>
        <v>7.143898527482139E-4</v>
      </c>
    </row>
    <row r="80" spans="1:19">
      <c r="A80" s="44" t="s">
        <v>1354</v>
      </c>
      <c r="B80" s="45" t="s">
        <v>1442</v>
      </c>
      <c r="C80" s="45"/>
      <c r="D80" s="169">
        <v>0.25</v>
      </c>
      <c r="E80" s="4">
        <v>14</v>
      </c>
      <c r="F80" s="4">
        <v>6</v>
      </c>
      <c r="G80" s="4">
        <v>19</v>
      </c>
      <c r="H80" s="45">
        <v>5.6367000000000003</v>
      </c>
      <c r="I80" s="4">
        <v>2.9999999999999997E-4</v>
      </c>
      <c r="J80" s="45">
        <v>-32.963799999999999</v>
      </c>
      <c r="K80" s="4">
        <v>5.9999999999999995E-4</v>
      </c>
      <c r="L80" s="4">
        <v>2.8000000000000001E-2</v>
      </c>
      <c r="M80" s="4">
        <v>7.0000000000000001E-3</v>
      </c>
      <c r="N80" s="4">
        <v>-6.4000000000000003E-3</v>
      </c>
      <c r="O80" s="4">
        <v>2.0000000000000001E-4</v>
      </c>
      <c r="P80" s="4">
        <v>127.84</v>
      </c>
      <c r="Q80" s="4">
        <v>0.08</v>
      </c>
      <c r="R80" s="45">
        <f>P80*E80/G80^3</f>
        <v>0.26093599650094768</v>
      </c>
      <c r="S80" s="22">
        <f>Q80*E80/G80^3</f>
        <v>1.6328910919959178E-4</v>
      </c>
    </row>
    <row r="81" spans="1:19">
      <c r="A81" s="23" t="s">
        <v>1354</v>
      </c>
      <c r="B81" s="4" t="s">
        <v>1442</v>
      </c>
      <c r="D81" s="165">
        <v>0.5</v>
      </c>
      <c r="E81" s="4">
        <v>14</v>
      </c>
      <c r="F81" s="4">
        <v>6</v>
      </c>
      <c r="G81" s="4">
        <v>19</v>
      </c>
      <c r="H81" s="4">
        <v>4.5717999999999996</v>
      </c>
      <c r="I81" s="4">
        <v>2.0000000000000001E-4</v>
      </c>
      <c r="J81" s="4">
        <v>-26.9924</v>
      </c>
      <c r="K81" s="4">
        <v>8.0000000000000004E-4</v>
      </c>
      <c r="L81" s="4">
        <v>4.8000000000000001E-2</v>
      </c>
      <c r="M81" s="4">
        <v>5.0000000000000001E-3</v>
      </c>
      <c r="N81" s="4">
        <v>-8.6E-3</v>
      </c>
      <c r="O81" s="4">
        <v>2.9999999999999997E-4</v>
      </c>
      <c r="P81" s="4">
        <v>125.26</v>
      </c>
      <c r="Q81" s="4">
        <v>0.39</v>
      </c>
      <c r="R81" s="4">
        <f t="shared" ref="R81:R90" si="2">P81*E81/G81^3</f>
        <v>0.25566992272926081</v>
      </c>
      <c r="S81" s="22">
        <f t="shared" ref="S81:S82" si="3">Q81*E81/G81^3</f>
        <v>7.9603440734800986E-4</v>
      </c>
    </row>
    <row r="82" spans="1:19">
      <c r="A82" s="28" t="s">
        <v>1354</v>
      </c>
      <c r="B82" s="29" t="s">
        <v>1442</v>
      </c>
      <c r="C82" s="29"/>
      <c r="D82" s="166">
        <v>0.75</v>
      </c>
      <c r="E82" s="4">
        <v>14</v>
      </c>
      <c r="F82" s="4">
        <v>6</v>
      </c>
      <c r="G82" s="4">
        <v>19</v>
      </c>
      <c r="H82" s="29">
        <v>3.5137</v>
      </c>
      <c r="I82" s="4">
        <v>5.9999999999999995E-4</v>
      </c>
      <c r="J82" s="29">
        <v>-21.495699999999999</v>
      </c>
      <c r="K82" s="4">
        <v>2E-3</v>
      </c>
      <c r="L82" s="4">
        <v>0.108</v>
      </c>
      <c r="M82" s="4">
        <v>1.7000000000000001E-2</v>
      </c>
      <c r="N82" s="4">
        <v>-1.4999999999999999E-2</v>
      </c>
      <c r="O82" s="4">
        <v>1.1999999999999999E-3</v>
      </c>
      <c r="P82" s="4">
        <v>114.67</v>
      </c>
      <c r="Q82" s="4">
        <v>0.92</v>
      </c>
      <c r="R82" s="29">
        <f t="shared" si="2"/>
        <v>0.23405452689896489</v>
      </c>
      <c r="S82" s="22">
        <f t="shared" si="3"/>
        <v>1.8778247557953056E-3</v>
      </c>
    </row>
    <row r="83" spans="1:19">
      <c r="A83" s="44" t="s">
        <v>1355</v>
      </c>
      <c r="B83" s="45" t="s">
        <v>1443</v>
      </c>
      <c r="C83" s="45"/>
      <c r="D83" s="169">
        <v>0.25</v>
      </c>
      <c r="E83" s="4">
        <v>14</v>
      </c>
      <c r="F83" s="4">
        <v>6</v>
      </c>
      <c r="G83" s="4">
        <v>19</v>
      </c>
      <c r="H83" s="45">
        <v>5.6223000000000001</v>
      </c>
      <c r="I83" s="4">
        <v>8.9999999999999998E-4</v>
      </c>
      <c r="J83" s="45">
        <v>-32.879600000000003</v>
      </c>
      <c r="K83" s="4">
        <v>2.7000000000000001E-3</v>
      </c>
      <c r="L83" s="4">
        <v>3.9E-2</v>
      </c>
      <c r="M83" s="4">
        <v>4.0000000000000001E-3</v>
      </c>
      <c r="N83" s="4">
        <v>-6.4000000000000003E-3</v>
      </c>
      <c r="O83" s="4">
        <v>2.9999999999999997E-4</v>
      </c>
      <c r="P83" s="4">
        <v>127.97</v>
      </c>
      <c r="Q83" s="4">
        <v>0.31</v>
      </c>
      <c r="R83" s="45">
        <f>P83*E83/G83^3</f>
        <v>0.26120134130339701</v>
      </c>
      <c r="S83" s="22">
        <f>Q83*E83/G83^3</f>
        <v>6.3274529814841816E-4</v>
      </c>
    </row>
    <row r="84" spans="1:19">
      <c r="A84" s="23" t="s">
        <v>1355</v>
      </c>
      <c r="B84" s="4" t="s">
        <v>1443</v>
      </c>
      <c r="D84" s="165">
        <v>0.5</v>
      </c>
      <c r="E84" s="4">
        <v>14</v>
      </c>
      <c r="F84" s="4">
        <v>6</v>
      </c>
      <c r="G84" s="4">
        <v>19</v>
      </c>
      <c r="H84" s="39">
        <v>4.5414000000000003</v>
      </c>
      <c r="I84" s="4">
        <v>6.9999999999999999E-4</v>
      </c>
      <c r="J84" s="4">
        <v>-26.7806</v>
      </c>
      <c r="K84" s="4">
        <v>1E-3</v>
      </c>
      <c r="L84" s="4">
        <v>5.2999999999999999E-2</v>
      </c>
      <c r="M84" s="4">
        <v>5.0000000000000001E-3</v>
      </c>
      <c r="N84" s="4">
        <v>-8.6999999999999994E-3</v>
      </c>
      <c r="O84" s="4">
        <v>2.9999999999999997E-4</v>
      </c>
      <c r="P84" s="4">
        <v>125.68</v>
      </c>
      <c r="Q84" s="4">
        <v>0.28000000000000003</v>
      </c>
      <c r="R84" s="4">
        <f t="shared" si="2"/>
        <v>0.25652719055255868</v>
      </c>
      <c r="S84" s="22">
        <f t="shared" si="1"/>
        <v>5.7151188219857127E-4</v>
      </c>
    </row>
    <row r="85" spans="1:19">
      <c r="A85" s="28" t="s">
        <v>1355</v>
      </c>
      <c r="B85" s="29" t="s">
        <v>1443</v>
      </c>
      <c r="C85" s="29"/>
      <c r="D85" s="166">
        <v>0.75</v>
      </c>
      <c r="E85" s="4">
        <v>14</v>
      </c>
      <c r="F85" s="4">
        <v>6</v>
      </c>
      <c r="G85" s="4">
        <v>19</v>
      </c>
      <c r="H85" s="29">
        <v>3.4565000000000001</v>
      </c>
      <c r="I85" s="4">
        <v>5.0000000000000001E-4</v>
      </c>
      <c r="J85" s="29">
        <v>-21.052099999999999</v>
      </c>
      <c r="K85" s="4">
        <v>1.1999999999999999E-3</v>
      </c>
      <c r="L85" s="4">
        <v>0.11600000000000001</v>
      </c>
      <c r="M85" s="4">
        <v>1.2E-2</v>
      </c>
      <c r="N85" s="4">
        <v>-1.4500000000000001E-2</v>
      </c>
      <c r="O85" s="4">
        <v>5.9999999999999995E-4</v>
      </c>
      <c r="P85" s="4">
        <v>117.09</v>
      </c>
      <c r="Q85" s="4">
        <v>0.57999999999999996</v>
      </c>
      <c r="R85" s="29">
        <f t="shared" si="2"/>
        <v>0.23899402245225251</v>
      </c>
      <c r="S85" s="22">
        <f t="shared" si="1"/>
        <v>1.1838460416970403E-3</v>
      </c>
    </row>
    <row r="86" spans="1:19">
      <c r="A86" s="44" t="s">
        <v>1356</v>
      </c>
      <c r="B86" s="45" t="s">
        <v>1444</v>
      </c>
      <c r="C86" s="45"/>
      <c r="D86" s="169">
        <v>0.25</v>
      </c>
      <c r="E86" s="4">
        <v>14</v>
      </c>
      <c r="F86" s="4">
        <v>6</v>
      </c>
      <c r="G86" s="4">
        <v>19</v>
      </c>
      <c r="H86" s="45">
        <v>5.6166999999999998</v>
      </c>
      <c r="I86" s="4">
        <v>1E-3</v>
      </c>
      <c r="J86" s="45">
        <v>-33.220500000000001</v>
      </c>
      <c r="K86" s="4">
        <v>1.8E-3</v>
      </c>
      <c r="L86" s="4">
        <v>0.04</v>
      </c>
      <c r="M86" s="4">
        <v>1.2E-2</v>
      </c>
      <c r="N86" s="4">
        <v>-6.7999999999999996E-3</v>
      </c>
      <c r="O86" s="4">
        <v>1E-4</v>
      </c>
      <c r="P86" s="4">
        <v>126.28</v>
      </c>
      <c r="Q86" s="4">
        <v>0.14000000000000001</v>
      </c>
      <c r="R86" s="45">
        <f>P86*E86/G86^3</f>
        <v>0.25775185887155561</v>
      </c>
      <c r="S86" s="22">
        <f>Q86*E86/G86^3</f>
        <v>2.8575594109928564E-4</v>
      </c>
    </row>
    <row r="87" spans="1:19">
      <c r="A87" s="23" t="s">
        <v>1356</v>
      </c>
      <c r="B87" s="4" t="s">
        <v>1444</v>
      </c>
      <c r="D87" s="165">
        <v>0.5</v>
      </c>
      <c r="E87" s="4">
        <v>14</v>
      </c>
      <c r="F87" s="4">
        <v>6</v>
      </c>
      <c r="G87" s="4">
        <v>19</v>
      </c>
      <c r="H87" s="39">
        <v>4.5210999999999997</v>
      </c>
      <c r="I87" s="4">
        <v>8.0000000000000004E-4</v>
      </c>
      <c r="J87" s="4">
        <v>-28.317299999999999</v>
      </c>
      <c r="K87" s="4">
        <v>2.2000000000000001E-3</v>
      </c>
      <c r="L87" s="4">
        <v>0.215</v>
      </c>
      <c r="M87" s="4">
        <v>2.5000000000000001E-2</v>
      </c>
      <c r="N87" s="4">
        <v>-1.5100000000000001E-2</v>
      </c>
      <c r="O87" s="4">
        <v>5.0000000000000001E-4</v>
      </c>
      <c r="P87" s="4">
        <v>107.62</v>
      </c>
      <c r="Q87" s="4">
        <v>0.8</v>
      </c>
      <c r="R87" s="4">
        <f t="shared" si="2"/>
        <v>0.21966467415075086</v>
      </c>
      <c r="S87" s="22">
        <f t="shared" si="1"/>
        <v>1.6328910919959179E-3</v>
      </c>
    </row>
    <row r="88" spans="1:19">
      <c r="A88" s="44" t="s">
        <v>1357</v>
      </c>
      <c r="B88" s="45" t="s">
        <v>1445</v>
      </c>
      <c r="C88" s="45"/>
      <c r="D88" s="104">
        <v>0.25</v>
      </c>
      <c r="E88" s="4">
        <v>14</v>
      </c>
      <c r="F88" s="4">
        <v>6</v>
      </c>
      <c r="G88" s="4">
        <v>19</v>
      </c>
      <c r="H88" s="45">
        <v>5.6367000000000003</v>
      </c>
      <c r="I88" s="4">
        <v>5.9999999999999995E-4</v>
      </c>
      <c r="J88" s="45">
        <v>-32.866900000000001</v>
      </c>
      <c r="K88" s="4">
        <v>1.6999999999999999E-3</v>
      </c>
      <c r="L88" s="4">
        <v>3.1E-2</v>
      </c>
      <c r="M88" s="4">
        <v>0.01</v>
      </c>
      <c r="N88" s="4">
        <v>-6.4000000000000003E-3</v>
      </c>
      <c r="O88" s="4">
        <v>2.0000000000000001E-4</v>
      </c>
      <c r="P88" s="4">
        <v>127.89</v>
      </c>
      <c r="Q88" s="4">
        <v>0.18</v>
      </c>
      <c r="R88" s="45">
        <f>P88*E88/G88^3</f>
        <v>0.2610380521941974</v>
      </c>
      <c r="S88" s="22">
        <f>Q88*E88/G88^3</f>
        <v>3.6740049569908149E-4</v>
      </c>
    </row>
    <row r="89" spans="1:19">
      <c r="A89" s="23" t="s">
        <v>1357</v>
      </c>
      <c r="B89" s="4" t="s">
        <v>1445</v>
      </c>
      <c r="D89" s="83">
        <v>0.5</v>
      </c>
      <c r="E89" s="4">
        <v>14</v>
      </c>
      <c r="F89" s="4">
        <v>6</v>
      </c>
      <c r="G89" s="4">
        <v>19</v>
      </c>
      <c r="H89" s="4">
        <v>4.5731999999999999</v>
      </c>
      <c r="I89" s="4">
        <v>8.9999999999999998E-4</v>
      </c>
      <c r="J89" s="4">
        <v>-26.759499999999999</v>
      </c>
      <c r="K89" s="4">
        <v>1E-3</v>
      </c>
      <c r="L89" s="4">
        <v>4.3999999999999997E-2</v>
      </c>
      <c r="M89" s="4">
        <v>1.2999999999999999E-2</v>
      </c>
      <c r="N89" s="4">
        <v>-8.3000000000000001E-3</v>
      </c>
      <c r="O89" s="4">
        <v>1E-4</v>
      </c>
      <c r="P89" s="4">
        <v>125.57</v>
      </c>
      <c r="Q89" s="4">
        <v>0.09</v>
      </c>
      <c r="R89" s="4">
        <f t="shared" si="2"/>
        <v>0.25630266802740925</v>
      </c>
      <c r="S89" s="22">
        <f t="shared" si="1"/>
        <v>1.8370024784954074E-4</v>
      </c>
    </row>
    <row r="90" spans="1:19">
      <c r="A90" s="28" t="s">
        <v>1357</v>
      </c>
      <c r="B90" s="29" t="s">
        <v>1445</v>
      </c>
      <c r="C90" s="29"/>
      <c r="D90" s="85">
        <v>0.75</v>
      </c>
      <c r="E90" s="4">
        <v>14</v>
      </c>
      <c r="F90" s="4">
        <v>6</v>
      </c>
      <c r="G90" s="4">
        <v>19</v>
      </c>
      <c r="H90" s="29">
        <v>3.5108999999999999</v>
      </c>
      <c r="I90" s="4">
        <v>5.0000000000000001E-4</v>
      </c>
      <c r="J90" s="29">
        <v>-21.025200000000002</v>
      </c>
      <c r="K90" s="4">
        <v>1.1000000000000001E-3</v>
      </c>
      <c r="L90" s="4">
        <v>8.8999999999999996E-2</v>
      </c>
      <c r="M90" s="4">
        <v>2.1000000000000001E-2</v>
      </c>
      <c r="N90" s="4">
        <v>-1.44E-2</v>
      </c>
      <c r="O90" s="4">
        <v>5.0000000000000001E-4</v>
      </c>
      <c r="P90" s="4">
        <v>116.51</v>
      </c>
      <c r="Q90" s="4">
        <v>0.41</v>
      </c>
      <c r="R90" s="29">
        <f t="shared" si="2"/>
        <v>0.23781017641055549</v>
      </c>
      <c r="S90" s="22">
        <f t="shared" si="1"/>
        <v>8.3685668464790778E-4</v>
      </c>
    </row>
    <row r="91" spans="1:19">
      <c r="A91" s="44" t="s">
        <v>1358</v>
      </c>
      <c r="B91" s="45" t="s">
        <v>1446</v>
      </c>
      <c r="C91" s="45"/>
      <c r="D91" s="104">
        <v>0.25</v>
      </c>
      <c r="E91" s="4">
        <v>14</v>
      </c>
      <c r="F91" s="4">
        <v>6</v>
      </c>
      <c r="G91" s="4">
        <v>19</v>
      </c>
      <c r="H91" s="45">
        <v>5.6615000000000002</v>
      </c>
      <c r="I91" s="4">
        <v>4.0000000000000002E-4</v>
      </c>
      <c r="J91" s="45">
        <v>-32.911999999999999</v>
      </c>
      <c r="K91" s="4">
        <v>1.1999999999999999E-3</v>
      </c>
      <c r="L91" s="4">
        <v>3.9E-2</v>
      </c>
      <c r="M91" s="4">
        <v>6.0000000000000001E-3</v>
      </c>
      <c r="N91" s="4">
        <v>-6.1999999999999998E-3</v>
      </c>
      <c r="O91" s="4">
        <v>2.0000000000000001E-4</v>
      </c>
      <c r="P91" s="4">
        <v>128.03</v>
      </c>
      <c r="Q91" s="4">
        <v>0.28999999999999998</v>
      </c>
      <c r="R91" s="45">
        <f>P91*E91/G91^3</f>
        <v>0.26132380813529671</v>
      </c>
      <c r="S91" s="22">
        <f>Q91*E91/G91^3</f>
        <v>5.9192302084852013E-4</v>
      </c>
    </row>
    <row r="92" spans="1:19">
      <c r="A92" s="23" t="s">
        <v>1358</v>
      </c>
      <c r="B92" s="4" t="s">
        <v>1446</v>
      </c>
      <c r="D92" s="83">
        <v>0.5</v>
      </c>
      <c r="E92" s="4">
        <v>14</v>
      </c>
      <c r="F92" s="4">
        <v>6</v>
      </c>
      <c r="G92" s="4">
        <v>19</v>
      </c>
      <c r="H92" s="4">
        <v>4.6253000000000002</v>
      </c>
      <c r="I92" s="4">
        <v>5.9999999999999995E-4</v>
      </c>
      <c r="J92" s="4">
        <v>-26.870899999999999</v>
      </c>
      <c r="K92" s="4">
        <v>8.9999999999999998E-4</v>
      </c>
      <c r="L92" s="4">
        <v>3.6999999999999998E-2</v>
      </c>
      <c r="M92" s="4">
        <v>6.0000000000000001E-3</v>
      </c>
      <c r="N92" s="4">
        <v>-8.0999999999999996E-3</v>
      </c>
      <c r="O92" s="4">
        <v>5.0000000000000001E-4</v>
      </c>
      <c r="P92" s="4">
        <v>125.5</v>
      </c>
      <c r="Q92" s="4">
        <v>0.32</v>
      </c>
      <c r="R92" s="4">
        <f t="shared" si="0"/>
        <v>0.25615979005685963</v>
      </c>
      <c r="S92" s="22">
        <f t="shared" si="1"/>
        <v>6.5315643679836712E-4</v>
      </c>
    </row>
    <row r="93" spans="1:19">
      <c r="A93" s="28" t="s">
        <v>1358</v>
      </c>
      <c r="B93" s="29" t="s">
        <v>1446</v>
      </c>
      <c r="C93" s="29"/>
      <c r="D93" s="85">
        <v>0.75</v>
      </c>
      <c r="E93" s="4">
        <v>14</v>
      </c>
      <c r="F93" s="4">
        <v>6</v>
      </c>
      <c r="G93" s="4">
        <v>19</v>
      </c>
      <c r="H93" s="29">
        <v>3.6065</v>
      </c>
      <c r="I93" s="4">
        <v>8.9999999999999998E-4</v>
      </c>
      <c r="J93" s="29">
        <v>-21.2349</v>
      </c>
      <c r="K93" s="4">
        <v>1.6000000000000001E-3</v>
      </c>
      <c r="L93" s="4">
        <v>7.2999999999999995E-2</v>
      </c>
      <c r="M93" s="4">
        <v>1.2E-2</v>
      </c>
      <c r="N93" s="4">
        <v>-1.26E-2</v>
      </c>
      <c r="O93" s="4">
        <v>5.0000000000000001E-4</v>
      </c>
      <c r="P93" s="4">
        <v>117.7</v>
      </c>
      <c r="Q93" s="4">
        <v>0.13</v>
      </c>
      <c r="R93" s="29">
        <f t="shared" si="0"/>
        <v>0.24023910190989939</v>
      </c>
      <c r="S93" s="22">
        <f t="shared" si="1"/>
        <v>2.6534480244933667E-4</v>
      </c>
    </row>
    <row r="94" spans="1:19">
      <c r="A94" s="44" t="s">
        <v>1359</v>
      </c>
      <c r="B94" s="168">
        <v>11111111222222</v>
      </c>
      <c r="C94" s="168" t="s">
        <v>17</v>
      </c>
      <c r="D94" s="104">
        <v>0.25</v>
      </c>
      <c r="E94" s="4">
        <v>14</v>
      </c>
      <c r="F94" s="4">
        <v>6</v>
      </c>
      <c r="G94" s="4">
        <v>19</v>
      </c>
      <c r="H94" s="45">
        <v>5.6562000000000001</v>
      </c>
      <c r="I94" s="4">
        <v>4.0000000000000002E-4</v>
      </c>
      <c r="J94" s="45">
        <v>-33.3583</v>
      </c>
      <c r="K94" s="4">
        <v>1.1999999999999999E-3</v>
      </c>
      <c r="L94" s="4">
        <v>4.2999999999999997E-2</v>
      </c>
      <c r="M94" s="4">
        <v>2E-3</v>
      </c>
      <c r="N94" s="4">
        <v>-6.7999999999999996E-3</v>
      </c>
      <c r="O94" s="4">
        <v>2.0000000000000001E-4</v>
      </c>
      <c r="P94" s="4">
        <v>125.69</v>
      </c>
      <c r="Q94" s="4">
        <v>0.24</v>
      </c>
      <c r="R94" s="45">
        <f>P94*E94/G94^3</f>
        <v>0.2565476016912086</v>
      </c>
      <c r="S94" s="22">
        <f>Q94*E94/G94^3</f>
        <v>4.8986732759877531E-4</v>
      </c>
    </row>
    <row r="95" spans="1:19">
      <c r="A95" s="23" t="s">
        <v>1359</v>
      </c>
      <c r="B95" s="170">
        <v>11111111222222</v>
      </c>
      <c r="C95" s="170" t="s">
        <v>17</v>
      </c>
      <c r="D95" s="83">
        <v>0.5</v>
      </c>
      <c r="E95" s="4">
        <v>14</v>
      </c>
      <c r="F95" s="4">
        <v>6</v>
      </c>
      <c r="G95" s="4">
        <v>19</v>
      </c>
      <c r="H95" s="4">
        <v>4.6098999999999997</v>
      </c>
      <c r="I95" s="4">
        <v>6.9999999999999999E-4</v>
      </c>
      <c r="J95" s="4">
        <v>-29.090299999999999</v>
      </c>
      <c r="K95" s="4">
        <v>1.5E-3</v>
      </c>
      <c r="L95" s="4">
        <v>7.1999999999999995E-2</v>
      </c>
      <c r="M95" s="4">
        <v>5.0000000000000001E-3</v>
      </c>
      <c r="N95" s="4">
        <v>-1.9E-2</v>
      </c>
      <c r="O95" s="4">
        <v>1E-4</v>
      </c>
      <c r="P95" s="4">
        <v>95.18</v>
      </c>
      <c r="Q95" s="4">
        <v>0.12</v>
      </c>
      <c r="R95" s="4">
        <f t="shared" si="0"/>
        <v>0.19427321767021433</v>
      </c>
      <c r="S95" s="22">
        <f t="shared" si="1"/>
        <v>2.4493366379938766E-4</v>
      </c>
    </row>
    <row r="96" spans="1:19">
      <c r="A96" s="44" t="s">
        <v>1360</v>
      </c>
      <c r="B96" s="168">
        <v>11112222221111</v>
      </c>
      <c r="C96" s="168" t="s">
        <v>19</v>
      </c>
      <c r="D96" s="104">
        <v>0.25</v>
      </c>
      <c r="E96" s="4">
        <v>14</v>
      </c>
      <c r="F96" s="4">
        <v>6</v>
      </c>
      <c r="G96" s="4">
        <v>19</v>
      </c>
      <c r="H96" s="45">
        <v>5.5796000000000001</v>
      </c>
      <c r="I96" s="4">
        <v>8.9999999999999998E-4</v>
      </c>
      <c r="J96" s="45">
        <v>-33.113100000000003</v>
      </c>
      <c r="K96" s="4">
        <v>2.3E-3</v>
      </c>
      <c r="L96" s="4">
        <v>5.5E-2</v>
      </c>
      <c r="M96" s="4">
        <v>0.01</v>
      </c>
      <c r="N96" s="4">
        <v>-6.8999999999999999E-3</v>
      </c>
      <c r="O96" s="4">
        <v>2.0000000000000001E-4</v>
      </c>
      <c r="P96" s="4">
        <v>126.98</v>
      </c>
      <c r="Q96" s="4">
        <v>0.18</v>
      </c>
      <c r="R96" s="45">
        <f>P96*E96/G96^3</f>
        <v>0.25918063857705204</v>
      </c>
      <c r="S96" s="22">
        <f>Q96*E96/G96^3</f>
        <v>3.6740049569908149E-4</v>
      </c>
    </row>
    <row r="97" spans="1:19">
      <c r="A97" s="23" t="s">
        <v>1360</v>
      </c>
      <c r="B97" s="170">
        <v>11112222221111</v>
      </c>
      <c r="C97" s="170" t="s">
        <v>19</v>
      </c>
      <c r="D97" s="83">
        <v>0.5</v>
      </c>
      <c r="E97" s="4">
        <v>14</v>
      </c>
      <c r="F97" s="4">
        <v>6</v>
      </c>
      <c r="G97" s="4">
        <v>19</v>
      </c>
      <c r="H97" s="4">
        <v>4.4363999999999999</v>
      </c>
      <c r="I97" s="4">
        <v>4.0000000000000002E-4</v>
      </c>
      <c r="J97" s="4">
        <v>-27.848299999999998</v>
      </c>
      <c r="K97" s="4">
        <v>5.0000000000000001E-4</v>
      </c>
      <c r="L97" s="4">
        <v>0.19400000000000001</v>
      </c>
      <c r="M97" s="4">
        <v>1.2999999999999999E-2</v>
      </c>
      <c r="N97" s="4">
        <v>-1.2699999999999999E-2</v>
      </c>
      <c r="O97" s="4">
        <v>4.0000000000000002E-4</v>
      </c>
      <c r="P97" s="4">
        <v>115.78</v>
      </c>
      <c r="Q97" s="4">
        <v>0.26</v>
      </c>
      <c r="R97" s="4">
        <f t="shared" si="0"/>
        <v>0.23632016328910921</v>
      </c>
      <c r="S97" s="22">
        <f t="shared" si="1"/>
        <v>5.3068960489867335E-4</v>
      </c>
    </row>
    <row r="98" spans="1:19">
      <c r="A98" s="44" t="s">
        <v>1361</v>
      </c>
      <c r="B98" s="168">
        <v>22211111111222</v>
      </c>
      <c r="C98" s="168" t="s">
        <v>30</v>
      </c>
      <c r="D98" s="104">
        <v>0.25</v>
      </c>
      <c r="E98" s="4">
        <v>14</v>
      </c>
      <c r="F98" s="4">
        <v>6</v>
      </c>
      <c r="G98" s="4">
        <v>19</v>
      </c>
      <c r="H98" s="45">
        <v>5.7141999999999999</v>
      </c>
      <c r="I98" s="4">
        <v>5.9999999999999995E-4</v>
      </c>
      <c r="J98" s="45">
        <v>-32.890700000000002</v>
      </c>
      <c r="K98" s="4">
        <v>1.6000000000000001E-3</v>
      </c>
      <c r="L98" s="4">
        <v>2.3E-2</v>
      </c>
      <c r="M98" s="4">
        <v>4.0000000000000001E-3</v>
      </c>
      <c r="N98" s="4">
        <v>-6.3E-3</v>
      </c>
      <c r="O98" s="4">
        <v>1E-4</v>
      </c>
      <c r="P98" s="4">
        <v>126.92</v>
      </c>
      <c r="Q98" s="4">
        <v>0.14000000000000001</v>
      </c>
      <c r="R98" s="45">
        <f>P98*E98/G98^3</f>
        <v>0.25905817174515239</v>
      </c>
      <c r="S98" s="22">
        <f>Q98*E98/G98^3</f>
        <v>2.8575594109928564E-4</v>
      </c>
    </row>
    <row r="99" spans="1:19" ht="17" thickBot="1">
      <c r="A99" s="23" t="s">
        <v>1361</v>
      </c>
      <c r="B99" s="170">
        <v>22211111111222</v>
      </c>
      <c r="C99" s="170" t="s">
        <v>30</v>
      </c>
      <c r="D99" s="83">
        <v>0.5</v>
      </c>
      <c r="E99" s="4">
        <v>14</v>
      </c>
      <c r="F99" s="4">
        <v>6</v>
      </c>
      <c r="G99" s="4">
        <v>19</v>
      </c>
      <c r="H99" s="39">
        <v>4.7533000000000003</v>
      </c>
      <c r="I99" s="4">
        <v>8.0000000000000004E-4</v>
      </c>
      <c r="J99" s="4">
        <v>-27.067299999999999</v>
      </c>
      <c r="K99" s="4">
        <v>5.9999999999999995E-4</v>
      </c>
      <c r="L99" s="4">
        <v>2.1999999999999999E-2</v>
      </c>
      <c r="M99" s="4">
        <v>3.0000000000000001E-3</v>
      </c>
      <c r="N99" s="4">
        <v>-8.6999999999999994E-3</v>
      </c>
      <c r="O99" s="4">
        <v>2.0000000000000001E-4</v>
      </c>
      <c r="P99" s="4">
        <v>121.17</v>
      </c>
      <c r="Q99" s="4">
        <v>0.25</v>
      </c>
      <c r="R99" s="4">
        <f t="shared" si="0"/>
        <v>0.24732176702143172</v>
      </c>
      <c r="S99" s="22">
        <f t="shared" si="1"/>
        <v>5.1027846624872428E-4</v>
      </c>
    </row>
    <row r="100" spans="1:19">
      <c r="A100" s="151" t="s">
        <v>1362</v>
      </c>
      <c r="B100" s="145" t="s">
        <v>1450</v>
      </c>
      <c r="C100" s="145"/>
      <c r="D100" s="154">
        <v>0.25</v>
      </c>
      <c r="E100" s="150">
        <v>14</v>
      </c>
      <c r="F100" s="150">
        <v>7</v>
      </c>
      <c r="G100" s="150">
        <v>19</v>
      </c>
      <c r="H100" s="145">
        <v>5.8799000000000001</v>
      </c>
      <c r="I100" s="150">
        <v>2.9999999999999997E-4</v>
      </c>
      <c r="J100" s="145">
        <v>-34.3142</v>
      </c>
      <c r="K100" s="150">
        <v>8.9999999999999998E-4</v>
      </c>
      <c r="L100" s="150">
        <v>3.5000000000000003E-2</v>
      </c>
      <c r="M100" s="150">
        <v>5.0000000000000001E-3</v>
      </c>
      <c r="N100" s="150">
        <v>-6.0000000000000001E-3</v>
      </c>
      <c r="O100" s="150">
        <v>1E-4</v>
      </c>
      <c r="P100" s="150">
        <v>127.65</v>
      </c>
      <c r="Q100" s="150">
        <v>0.11</v>
      </c>
      <c r="R100" s="145">
        <f>P100*E100/G100^3</f>
        <v>0.26054818486659864</v>
      </c>
      <c r="S100" s="144">
        <f>Q100*E100/G100^3</f>
        <v>2.2452252514943869E-4</v>
      </c>
    </row>
    <row r="101" spans="1:19">
      <c r="A101" s="23" t="s">
        <v>1362</v>
      </c>
      <c r="B101" s="4" t="s">
        <v>1450</v>
      </c>
      <c r="D101" s="83">
        <v>0.5</v>
      </c>
      <c r="E101" s="4">
        <v>14</v>
      </c>
      <c r="F101" s="4">
        <v>7</v>
      </c>
      <c r="G101" s="4">
        <v>19</v>
      </c>
      <c r="H101" s="4">
        <v>5.0536000000000003</v>
      </c>
      <c r="I101" s="4">
        <v>8.9999999999999998E-4</v>
      </c>
      <c r="J101" s="4">
        <v>-29.7073</v>
      </c>
      <c r="K101" s="4">
        <v>1.5E-3</v>
      </c>
      <c r="L101" s="4">
        <v>0.04</v>
      </c>
      <c r="M101" s="4">
        <v>4.0000000000000001E-3</v>
      </c>
      <c r="N101" s="4">
        <v>-8.0999999999999996E-3</v>
      </c>
      <c r="O101" s="4">
        <v>1E-4</v>
      </c>
      <c r="P101" s="4">
        <v>123.94</v>
      </c>
      <c r="Q101" s="4">
        <v>0.12</v>
      </c>
      <c r="R101" s="4">
        <f t="shared" si="0"/>
        <v>0.25297565242746756</v>
      </c>
      <c r="S101" s="22">
        <f t="shared" si="1"/>
        <v>2.4493366379938766E-4</v>
      </c>
    </row>
    <row r="102" spans="1:19">
      <c r="A102" s="28" t="s">
        <v>1362</v>
      </c>
      <c r="B102" s="29" t="s">
        <v>1450</v>
      </c>
      <c r="C102" s="29"/>
      <c r="D102" s="85">
        <v>0.75</v>
      </c>
      <c r="E102" s="4">
        <v>14</v>
      </c>
      <c r="F102" s="4">
        <v>7</v>
      </c>
      <c r="G102" s="4">
        <v>19</v>
      </c>
      <c r="H102" s="29">
        <v>4.2178000000000004</v>
      </c>
      <c r="I102" s="4">
        <v>1E-3</v>
      </c>
      <c r="J102" s="29">
        <v>-25.520499999999998</v>
      </c>
      <c r="K102" s="4">
        <v>1.8E-3</v>
      </c>
      <c r="L102" s="4">
        <v>0.108</v>
      </c>
      <c r="M102" s="4">
        <v>1.0999999999999999E-2</v>
      </c>
      <c r="N102" s="4">
        <v>-1.3899999999999999E-2</v>
      </c>
      <c r="O102" s="4">
        <v>1E-4</v>
      </c>
      <c r="P102" s="4">
        <v>111.92</v>
      </c>
      <c r="Q102" s="4">
        <v>0.25</v>
      </c>
      <c r="R102" s="29">
        <f t="shared" si="0"/>
        <v>0.22844146377022892</v>
      </c>
      <c r="S102" s="22">
        <f t="shared" si="1"/>
        <v>5.1027846624872428E-4</v>
      </c>
    </row>
    <row r="103" spans="1:19">
      <c r="A103" s="44" t="s">
        <v>1363</v>
      </c>
      <c r="B103" s="45" t="s">
        <v>1451</v>
      </c>
      <c r="C103" s="45"/>
      <c r="D103" s="104">
        <v>0.25</v>
      </c>
      <c r="E103" s="4">
        <v>14</v>
      </c>
      <c r="F103" s="4">
        <v>7</v>
      </c>
      <c r="G103" s="4">
        <v>19</v>
      </c>
      <c r="H103" s="45">
        <v>5.8807999999999998</v>
      </c>
      <c r="I103" s="4">
        <v>8.9999999999999998E-4</v>
      </c>
      <c r="J103" s="45">
        <v>-34.103999999999999</v>
      </c>
      <c r="K103" s="4">
        <v>6.9999999999999999E-4</v>
      </c>
      <c r="L103" s="4">
        <v>3.4000000000000002E-2</v>
      </c>
      <c r="M103" s="4">
        <v>1.4999999999999999E-2</v>
      </c>
      <c r="N103" s="4">
        <v>-6.1000000000000004E-3</v>
      </c>
      <c r="O103" s="4">
        <v>2.9999999999999997E-4</v>
      </c>
      <c r="P103" s="4">
        <v>127.57</v>
      </c>
      <c r="Q103" s="4">
        <v>0.22</v>
      </c>
      <c r="R103" s="45">
        <f>P103*E103/G103^3</f>
        <v>0.26038489575739904</v>
      </c>
      <c r="S103" s="22">
        <f>Q103*E103/G103^3</f>
        <v>4.4904505029887739E-4</v>
      </c>
    </row>
    <row r="104" spans="1:19">
      <c r="A104" s="23" t="s">
        <v>1363</v>
      </c>
      <c r="B104" s="4" t="s">
        <v>1451</v>
      </c>
      <c r="D104" s="83">
        <v>0.5</v>
      </c>
      <c r="E104" s="4">
        <v>14</v>
      </c>
      <c r="F104" s="4">
        <v>7</v>
      </c>
      <c r="G104" s="4">
        <v>19</v>
      </c>
      <c r="H104" s="4">
        <v>5.0454999999999997</v>
      </c>
      <c r="I104" s="4">
        <v>5.9999999999999995E-4</v>
      </c>
      <c r="J104" s="4">
        <v>-29.805599999999998</v>
      </c>
      <c r="K104" s="4">
        <v>1.1999999999999999E-3</v>
      </c>
      <c r="L104" s="4">
        <v>4.5999999999999999E-2</v>
      </c>
      <c r="M104" s="4">
        <v>1.4999999999999999E-2</v>
      </c>
      <c r="N104" s="4">
        <v>-7.7000000000000002E-3</v>
      </c>
      <c r="O104" s="4">
        <v>2.9999999999999997E-4</v>
      </c>
      <c r="P104" s="4">
        <v>124.98</v>
      </c>
      <c r="Q104" s="4">
        <v>0.26</v>
      </c>
      <c r="R104" s="4">
        <f t="shared" si="0"/>
        <v>0.25509841084706225</v>
      </c>
      <c r="S104" s="22">
        <f t="shared" si="1"/>
        <v>5.3068960489867335E-4</v>
      </c>
    </row>
    <row r="105" spans="1:19">
      <c r="A105" s="28" t="s">
        <v>1363</v>
      </c>
      <c r="B105" s="29" t="s">
        <v>1451</v>
      </c>
      <c r="C105" s="29"/>
      <c r="D105" s="85">
        <v>0.75</v>
      </c>
      <c r="E105" s="4">
        <v>14</v>
      </c>
      <c r="F105" s="4">
        <v>7</v>
      </c>
      <c r="G105" s="4">
        <v>19</v>
      </c>
      <c r="H105" s="29">
        <v>4.2622</v>
      </c>
      <c r="I105" s="4">
        <v>6.9999999999999999E-4</v>
      </c>
      <c r="J105" s="29">
        <v>-25.063600000000001</v>
      </c>
      <c r="K105" s="4">
        <v>2E-3</v>
      </c>
      <c r="L105" s="4">
        <v>7.8E-2</v>
      </c>
      <c r="M105" s="4">
        <v>1.7999999999999999E-2</v>
      </c>
      <c r="N105" s="4">
        <v>-1.29E-2</v>
      </c>
      <c r="O105" s="4">
        <v>5.9999999999999995E-4</v>
      </c>
      <c r="P105" s="4">
        <v>112.38</v>
      </c>
      <c r="Q105" s="4">
        <v>0.37</v>
      </c>
      <c r="R105" s="29">
        <f t="shared" si="0"/>
        <v>0.22938037614812654</v>
      </c>
      <c r="S105" s="22">
        <f t="shared" si="1"/>
        <v>7.5521213004811193E-4</v>
      </c>
    </row>
    <row r="106" spans="1:19">
      <c r="A106" s="44" t="s">
        <v>1364</v>
      </c>
      <c r="B106" s="45" t="s">
        <v>1452</v>
      </c>
      <c r="C106" s="45"/>
      <c r="D106" s="104">
        <v>0.25</v>
      </c>
      <c r="E106" s="4">
        <v>14</v>
      </c>
      <c r="F106" s="4">
        <v>7</v>
      </c>
      <c r="G106" s="4">
        <v>19</v>
      </c>
      <c r="H106" s="45">
        <v>5.8635999999999999</v>
      </c>
      <c r="I106" s="4">
        <v>8.9999999999999998E-4</v>
      </c>
      <c r="J106" s="45">
        <v>-34.350200000000001</v>
      </c>
      <c r="K106" s="4">
        <v>1E-3</v>
      </c>
      <c r="L106" s="4">
        <v>3.2000000000000001E-2</v>
      </c>
      <c r="M106" s="4">
        <v>3.0000000000000001E-3</v>
      </c>
      <c r="N106" s="4">
        <v>-6.3E-3</v>
      </c>
      <c r="O106" s="4">
        <v>2.9999999999999997E-4</v>
      </c>
      <c r="P106" s="4">
        <v>127.54</v>
      </c>
      <c r="Q106" s="4">
        <v>0.21</v>
      </c>
      <c r="R106" s="45">
        <f>P106*E106/G106^3</f>
        <v>0.26032366234144921</v>
      </c>
      <c r="S106" s="22">
        <f>Q106*E106/G106^3</f>
        <v>4.2863391164892843E-4</v>
      </c>
    </row>
    <row r="107" spans="1:19">
      <c r="A107" s="23" t="s">
        <v>1364</v>
      </c>
      <c r="B107" s="4" t="s">
        <v>1452</v>
      </c>
      <c r="D107" s="83">
        <v>0.5</v>
      </c>
      <c r="E107" s="4">
        <v>14</v>
      </c>
      <c r="F107" s="4">
        <v>7</v>
      </c>
      <c r="G107" s="4">
        <v>19</v>
      </c>
      <c r="H107" s="4">
        <v>5.0167000000000002</v>
      </c>
      <c r="I107" s="4">
        <v>8.0000000000000004E-4</v>
      </c>
      <c r="J107" s="4">
        <v>-29.7895</v>
      </c>
      <c r="K107" s="4">
        <v>2.3999999999999998E-3</v>
      </c>
      <c r="L107" s="4">
        <v>4.9000000000000002E-2</v>
      </c>
      <c r="M107" s="4">
        <v>1.7999999999999999E-2</v>
      </c>
      <c r="N107" s="4">
        <v>-8.5000000000000006E-3</v>
      </c>
      <c r="O107" s="4">
        <v>1E-4</v>
      </c>
      <c r="P107" s="4">
        <v>123.57</v>
      </c>
      <c r="Q107" s="4">
        <v>0.2</v>
      </c>
      <c r="R107" s="4">
        <f t="shared" si="0"/>
        <v>0.25222044029741947</v>
      </c>
      <c r="S107" s="22">
        <f t="shared" si="1"/>
        <v>4.0822277299897946E-4</v>
      </c>
    </row>
    <row r="108" spans="1:19">
      <c r="A108" s="28" t="s">
        <v>1364</v>
      </c>
      <c r="B108" s="29" t="s">
        <v>1452</v>
      </c>
      <c r="C108" s="29"/>
      <c r="D108" s="85">
        <v>0.75</v>
      </c>
      <c r="E108" s="4">
        <v>14</v>
      </c>
      <c r="F108" s="4">
        <v>7</v>
      </c>
      <c r="G108" s="4">
        <v>19</v>
      </c>
      <c r="H108" s="29">
        <v>4.1494</v>
      </c>
      <c r="I108" s="4">
        <v>1E-4</v>
      </c>
      <c r="J108" s="29">
        <v>-25.687100000000001</v>
      </c>
      <c r="K108" s="4">
        <v>5.0000000000000001E-4</v>
      </c>
      <c r="L108" s="4">
        <v>0.13100000000000001</v>
      </c>
      <c r="M108" s="4">
        <v>7.0000000000000001E-3</v>
      </c>
      <c r="N108" s="4">
        <v>-1.5599999999999999E-2</v>
      </c>
      <c r="O108" s="4">
        <v>2.9999999999999997E-4</v>
      </c>
      <c r="P108" s="4">
        <v>109.42</v>
      </c>
      <c r="Q108" s="4">
        <v>0.34</v>
      </c>
      <c r="R108" s="29">
        <f t="shared" si="0"/>
        <v>0.22333867910774166</v>
      </c>
      <c r="S108" s="22">
        <f t="shared" si="1"/>
        <v>6.9397871409826515E-4</v>
      </c>
    </row>
    <row r="109" spans="1:19">
      <c r="A109" s="44" t="s">
        <v>1365</v>
      </c>
      <c r="B109" s="45" t="s">
        <v>1453</v>
      </c>
      <c r="C109" s="45"/>
      <c r="D109" s="104">
        <v>0.25</v>
      </c>
      <c r="E109" s="4">
        <v>14</v>
      </c>
      <c r="F109" s="4">
        <v>7</v>
      </c>
      <c r="G109" s="4">
        <v>19</v>
      </c>
      <c r="H109" s="45">
        <v>5.8639000000000001</v>
      </c>
      <c r="I109" s="4">
        <v>4.0000000000000002E-4</v>
      </c>
      <c r="J109" s="45">
        <v>-34.222799999999999</v>
      </c>
      <c r="K109" s="4">
        <v>1.5E-3</v>
      </c>
      <c r="L109" s="4">
        <v>3.7999999999999999E-2</v>
      </c>
      <c r="M109" s="4">
        <v>6.0000000000000001E-3</v>
      </c>
      <c r="N109" s="4">
        <v>-6.1000000000000004E-3</v>
      </c>
      <c r="O109" s="4">
        <v>2.0000000000000001E-4</v>
      </c>
      <c r="P109" s="4">
        <v>127.93</v>
      </c>
      <c r="Q109" s="4">
        <v>0.23</v>
      </c>
      <c r="R109" s="45">
        <f>P109*E109/G109^3</f>
        <v>0.2611196967487972</v>
      </c>
      <c r="S109" s="22">
        <f>Q109*E109/G109^3</f>
        <v>4.6945618894882641E-4</v>
      </c>
    </row>
    <row r="110" spans="1:19">
      <c r="A110" s="23" t="s">
        <v>1365</v>
      </c>
      <c r="B110" s="4" t="s">
        <v>1453</v>
      </c>
      <c r="D110" s="83">
        <v>0.5</v>
      </c>
      <c r="E110" s="4">
        <v>14</v>
      </c>
      <c r="F110" s="4">
        <v>7</v>
      </c>
      <c r="G110" s="4">
        <v>19</v>
      </c>
      <c r="H110" s="4">
        <v>5.0289000000000001</v>
      </c>
      <c r="I110" s="4">
        <v>8.0000000000000004E-4</v>
      </c>
      <c r="J110" s="4">
        <v>-29.4376</v>
      </c>
      <c r="K110" s="4">
        <v>8.0000000000000004E-4</v>
      </c>
      <c r="L110" s="4">
        <v>3.1E-2</v>
      </c>
      <c r="M110" s="4">
        <v>5.0000000000000001E-3</v>
      </c>
      <c r="N110" s="4">
        <v>-7.1999999999999998E-3</v>
      </c>
      <c r="O110" s="4">
        <v>1E-4</v>
      </c>
      <c r="P110" s="4">
        <v>126.56</v>
      </c>
      <c r="Q110" s="4">
        <v>0.15</v>
      </c>
      <c r="R110" s="4">
        <f t="shared" si="0"/>
        <v>0.25832337075375422</v>
      </c>
      <c r="S110" s="22">
        <f t="shared" si="1"/>
        <v>3.061670797492346E-4</v>
      </c>
    </row>
    <row r="111" spans="1:19">
      <c r="A111" s="28" t="s">
        <v>1365</v>
      </c>
      <c r="B111" s="29" t="s">
        <v>1453</v>
      </c>
      <c r="C111" s="29"/>
      <c r="D111" s="85">
        <v>0.75</v>
      </c>
      <c r="E111" s="4">
        <v>14</v>
      </c>
      <c r="F111" s="4">
        <v>7</v>
      </c>
      <c r="G111" s="4">
        <v>19</v>
      </c>
      <c r="H111" s="29">
        <v>4.1962000000000002</v>
      </c>
      <c r="I111" s="4">
        <v>5.9999999999999995E-4</v>
      </c>
      <c r="J111" s="29">
        <v>-24.885300000000001</v>
      </c>
      <c r="K111" s="4">
        <v>5.9999999999999995E-4</v>
      </c>
      <c r="L111" s="4">
        <v>0.05</v>
      </c>
      <c r="M111" s="4">
        <v>1.4E-2</v>
      </c>
      <c r="N111" s="4">
        <v>-9.7999999999999997E-3</v>
      </c>
      <c r="O111" s="4">
        <v>5.9999999999999995E-4</v>
      </c>
      <c r="P111" s="4">
        <v>122.24</v>
      </c>
      <c r="Q111" s="4">
        <v>0.22</v>
      </c>
      <c r="R111" s="29">
        <f t="shared" si="0"/>
        <v>0.24950575885697623</v>
      </c>
      <c r="S111" s="22">
        <f t="shared" si="1"/>
        <v>4.4904505029887739E-4</v>
      </c>
    </row>
    <row r="112" spans="1:19">
      <c r="A112" s="33" t="s">
        <v>1365</v>
      </c>
      <c r="B112" s="34" t="s">
        <v>1453</v>
      </c>
      <c r="C112" s="34"/>
      <c r="D112" s="98">
        <v>1</v>
      </c>
      <c r="E112" s="4">
        <v>14</v>
      </c>
      <c r="F112" s="4">
        <v>7</v>
      </c>
      <c r="G112" s="4">
        <v>19</v>
      </c>
      <c r="H112" s="34">
        <v>3.3786</v>
      </c>
      <c r="I112" s="4">
        <v>2.9999999999999997E-4</v>
      </c>
      <c r="J112" s="34">
        <v>-20.802900000000001</v>
      </c>
      <c r="K112" s="4">
        <v>4.0000000000000002E-4</v>
      </c>
      <c r="L112" s="4">
        <v>9.0999999999999998E-2</v>
      </c>
      <c r="M112" s="4">
        <v>1.2999999999999999E-2</v>
      </c>
      <c r="N112" s="4">
        <v>-1.6E-2</v>
      </c>
      <c r="O112" s="4">
        <v>2.0000000000000001E-4</v>
      </c>
      <c r="P112" s="4">
        <v>110.5</v>
      </c>
      <c r="Q112" s="4">
        <v>0.25</v>
      </c>
      <c r="R112" s="34">
        <f>P112*E112/G112^3</f>
        <v>0.22554308208193613</v>
      </c>
      <c r="S112" s="22">
        <f t="shared" si="1"/>
        <v>5.1027846624872428E-4</v>
      </c>
    </row>
    <row r="113" spans="1:19">
      <c r="A113" s="44" t="s">
        <v>1366</v>
      </c>
      <c r="B113" s="45" t="s">
        <v>1454</v>
      </c>
      <c r="C113" s="45"/>
      <c r="D113" s="104">
        <v>0.25</v>
      </c>
      <c r="E113" s="4">
        <v>14</v>
      </c>
      <c r="F113" s="4">
        <v>7</v>
      </c>
      <c r="G113" s="4">
        <v>19</v>
      </c>
      <c r="H113" s="45">
        <v>5.8354999999999997</v>
      </c>
      <c r="I113" s="4">
        <v>6.9999999999999999E-4</v>
      </c>
      <c r="J113" s="45">
        <v>-34.040100000000002</v>
      </c>
      <c r="K113" s="4">
        <v>1.1000000000000001E-3</v>
      </c>
      <c r="L113" s="4">
        <v>3.4000000000000002E-2</v>
      </c>
      <c r="M113" s="4">
        <v>4.0000000000000001E-3</v>
      </c>
      <c r="N113" s="4">
        <v>-6.3E-3</v>
      </c>
      <c r="O113" s="4">
        <v>2.0000000000000001E-4</v>
      </c>
      <c r="P113" s="4">
        <v>127.84</v>
      </c>
      <c r="Q113" s="4">
        <v>0.16</v>
      </c>
      <c r="R113" s="45">
        <f>P113*E113/G113^3</f>
        <v>0.26093599650094768</v>
      </c>
      <c r="S113" s="22">
        <f>Q113*E113/G113^3</f>
        <v>3.2657821839918356E-4</v>
      </c>
    </row>
    <row r="114" spans="1:19">
      <c r="A114" s="23" t="s">
        <v>1366</v>
      </c>
      <c r="B114" s="4" t="s">
        <v>1454</v>
      </c>
      <c r="D114" s="83">
        <v>0.5</v>
      </c>
      <c r="E114" s="4">
        <v>14</v>
      </c>
      <c r="F114" s="4">
        <v>7</v>
      </c>
      <c r="G114" s="4">
        <v>19</v>
      </c>
      <c r="H114" s="4">
        <v>4.9691999999999998</v>
      </c>
      <c r="I114" s="4">
        <v>5.9999999999999995E-4</v>
      </c>
      <c r="J114" s="4">
        <v>-29.131599999999999</v>
      </c>
      <c r="K114" s="4">
        <v>2E-3</v>
      </c>
      <c r="L114" s="4">
        <v>4.7E-2</v>
      </c>
      <c r="M114" s="4">
        <v>8.0000000000000002E-3</v>
      </c>
      <c r="N114" s="4">
        <v>-8.0000000000000002E-3</v>
      </c>
      <c r="O114" s="4">
        <v>1E-4</v>
      </c>
      <c r="P114" s="4">
        <v>125.58</v>
      </c>
      <c r="Q114" s="4">
        <v>0.11</v>
      </c>
      <c r="R114" s="4">
        <f t="shared" si="0"/>
        <v>0.25632307916605918</v>
      </c>
      <c r="S114" s="22">
        <f t="shared" si="1"/>
        <v>2.2452252514943869E-4</v>
      </c>
    </row>
    <row r="115" spans="1:19">
      <c r="A115" s="28" t="s">
        <v>1366</v>
      </c>
      <c r="B115" s="29" t="s">
        <v>1454</v>
      </c>
      <c r="C115" s="29"/>
      <c r="D115" s="85">
        <v>0.75</v>
      </c>
      <c r="E115" s="4">
        <v>14</v>
      </c>
      <c r="F115" s="4">
        <v>7</v>
      </c>
      <c r="G115" s="4">
        <v>19</v>
      </c>
      <c r="H115" s="29">
        <v>4.1014999999999997</v>
      </c>
      <c r="I115" s="4">
        <v>1E-3</v>
      </c>
      <c r="J115" s="29">
        <v>-24.5961</v>
      </c>
      <c r="K115" s="4">
        <v>1.4E-3</v>
      </c>
      <c r="L115" s="4">
        <v>9.6000000000000002E-2</v>
      </c>
      <c r="M115" s="4">
        <v>5.0000000000000001E-3</v>
      </c>
      <c r="N115" s="4">
        <v>-1.2200000000000001E-2</v>
      </c>
      <c r="O115" s="4">
        <v>5.0000000000000001E-4</v>
      </c>
      <c r="P115" s="4">
        <v>117.61</v>
      </c>
      <c r="Q115" s="4">
        <v>0.37</v>
      </c>
      <c r="R115" s="29">
        <f t="shared" si="0"/>
        <v>0.24005540166204986</v>
      </c>
      <c r="S115" s="22">
        <f t="shared" si="1"/>
        <v>7.5521213004811193E-4</v>
      </c>
    </row>
    <row r="116" spans="1:19">
      <c r="A116" s="44" t="s">
        <v>1367</v>
      </c>
      <c r="B116" s="45" t="s">
        <v>1455</v>
      </c>
      <c r="C116" s="45"/>
      <c r="D116" s="104">
        <v>0.25</v>
      </c>
      <c r="E116" s="4">
        <v>14</v>
      </c>
      <c r="F116" s="4">
        <v>7</v>
      </c>
      <c r="G116" s="4">
        <v>19</v>
      </c>
      <c r="H116" s="45">
        <v>5.8585000000000003</v>
      </c>
      <c r="I116" s="4">
        <v>5.9999999999999995E-4</v>
      </c>
      <c r="J116" s="45">
        <v>-34.275799999999997</v>
      </c>
      <c r="K116" s="4">
        <v>5.0000000000000001E-4</v>
      </c>
      <c r="L116" s="4">
        <v>2.9000000000000001E-2</v>
      </c>
      <c r="M116" s="4">
        <v>2.3E-2</v>
      </c>
      <c r="N116" s="4">
        <v>-6.1000000000000004E-3</v>
      </c>
      <c r="O116" s="4">
        <v>2.0000000000000001E-4</v>
      </c>
      <c r="P116" s="4">
        <v>127.61</v>
      </c>
      <c r="Q116" s="4">
        <v>0.17</v>
      </c>
      <c r="R116" s="45">
        <f>P116*E116/G116^3</f>
        <v>0.26046654031199884</v>
      </c>
      <c r="S116" s="22">
        <f>Q116*E116/G116^3</f>
        <v>3.4698935704913258E-4</v>
      </c>
    </row>
    <row r="117" spans="1:19">
      <c r="A117" s="23" t="s">
        <v>1367</v>
      </c>
      <c r="B117" s="4" t="s">
        <v>1455</v>
      </c>
      <c r="D117" s="83">
        <v>0.5</v>
      </c>
      <c r="E117" s="4">
        <v>14</v>
      </c>
      <c r="F117" s="4">
        <v>7</v>
      </c>
      <c r="G117" s="4">
        <v>19</v>
      </c>
      <c r="H117" s="4">
        <v>5.0125000000000002</v>
      </c>
      <c r="I117" s="4">
        <v>5.9999999999999995E-4</v>
      </c>
      <c r="J117" s="4">
        <v>-29.653400000000001</v>
      </c>
      <c r="K117" s="4">
        <v>8.0000000000000004E-4</v>
      </c>
      <c r="L117" s="4">
        <v>4.4999999999999998E-2</v>
      </c>
      <c r="M117" s="4">
        <v>8.9999999999999993E-3</v>
      </c>
      <c r="N117" s="4">
        <v>-8.2000000000000007E-3</v>
      </c>
      <c r="O117" s="4">
        <v>1E-4</v>
      </c>
      <c r="P117" s="4">
        <v>124.14</v>
      </c>
      <c r="Q117" s="4">
        <v>0.18</v>
      </c>
      <c r="R117" s="4">
        <f t="shared" si="0"/>
        <v>0.25338387520046657</v>
      </c>
      <c r="S117" s="22">
        <f t="shared" si="1"/>
        <v>3.6740049569908149E-4</v>
      </c>
    </row>
    <row r="118" spans="1:19">
      <c r="A118" s="28" t="s">
        <v>1367</v>
      </c>
      <c r="B118" s="29" t="s">
        <v>1455</v>
      </c>
      <c r="C118" s="29"/>
      <c r="D118" s="85">
        <v>0.75</v>
      </c>
      <c r="E118" s="4">
        <v>14</v>
      </c>
      <c r="F118" s="4">
        <v>7</v>
      </c>
      <c r="G118" s="4">
        <v>19</v>
      </c>
      <c r="H118" s="29">
        <v>4.1632999999999996</v>
      </c>
      <c r="I118" s="4">
        <v>4.0000000000000002E-4</v>
      </c>
      <c r="J118" s="29">
        <v>-25.520099999999999</v>
      </c>
      <c r="K118" s="4">
        <v>1.6999999999999999E-3</v>
      </c>
      <c r="L118" s="4">
        <v>0.121</v>
      </c>
      <c r="M118" s="4">
        <v>1.7999999999999999E-2</v>
      </c>
      <c r="N118" s="4">
        <v>-1.2999999999999999E-2</v>
      </c>
      <c r="O118" s="4">
        <v>5.0000000000000001E-4</v>
      </c>
      <c r="P118" s="4">
        <v>113.68</v>
      </c>
      <c r="Q118" s="4">
        <v>0.34</v>
      </c>
      <c r="R118" s="29">
        <f t="shared" si="0"/>
        <v>0.23203382417261992</v>
      </c>
      <c r="S118" s="22">
        <f t="shared" si="1"/>
        <v>6.9397871409826515E-4</v>
      </c>
    </row>
    <row r="119" spans="1:19">
      <c r="A119" s="44" t="s">
        <v>1368</v>
      </c>
      <c r="B119" s="45" t="s">
        <v>1456</v>
      </c>
      <c r="C119" s="45"/>
      <c r="D119" s="104">
        <v>0.25</v>
      </c>
      <c r="E119" s="4">
        <v>14</v>
      </c>
      <c r="F119" s="4">
        <v>7</v>
      </c>
      <c r="G119" s="4">
        <v>19</v>
      </c>
      <c r="H119" s="45">
        <v>5.8746</v>
      </c>
      <c r="I119" s="4">
        <v>2.0000000000000001E-4</v>
      </c>
      <c r="J119" s="45">
        <v>-34.241700000000002</v>
      </c>
      <c r="K119" s="4">
        <v>4.0000000000000002E-4</v>
      </c>
      <c r="L119" s="4">
        <v>3.2000000000000001E-2</v>
      </c>
      <c r="M119" s="4">
        <v>7.0000000000000001E-3</v>
      </c>
      <c r="N119" s="4">
        <v>-6.1000000000000004E-3</v>
      </c>
      <c r="O119" s="4">
        <v>1E-4</v>
      </c>
      <c r="P119" s="4">
        <v>127.88</v>
      </c>
      <c r="Q119" s="4">
        <v>0.06</v>
      </c>
      <c r="R119" s="45">
        <f>P119*E119/G119^3</f>
        <v>0.26101764105554742</v>
      </c>
      <c r="S119" s="22">
        <f>Q119*E119/G119^3</f>
        <v>1.2246683189969383E-4</v>
      </c>
    </row>
    <row r="120" spans="1:19">
      <c r="A120" s="23" t="s">
        <v>1368</v>
      </c>
      <c r="B120" s="4" t="s">
        <v>1456</v>
      </c>
      <c r="D120" s="83">
        <v>0.5</v>
      </c>
      <c r="E120" s="4">
        <v>14</v>
      </c>
      <c r="F120" s="4">
        <v>7</v>
      </c>
      <c r="G120" s="4">
        <v>19</v>
      </c>
      <c r="H120" s="4">
        <v>5.0499000000000001</v>
      </c>
      <c r="I120" s="4">
        <v>4.0000000000000002E-4</v>
      </c>
      <c r="J120" s="4">
        <v>-29.4985</v>
      </c>
      <c r="K120" s="4">
        <v>1E-3</v>
      </c>
      <c r="L120" s="4">
        <v>2.5000000000000001E-2</v>
      </c>
      <c r="M120" s="4">
        <v>4.0000000000000001E-3</v>
      </c>
      <c r="N120" s="4">
        <v>-7.7000000000000002E-3</v>
      </c>
      <c r="O120" s="4">
        <v>2.0000000000000001E-4</v>
      </c>
      <c r="P120" s="4">
        <v>125.52</v>
      </c>
      <c r="Q120" s="4">
        <v>0.18</v>
      </c>
      <c r="R120" s="4">
        <f t="shared" si="0"/>
        <v>0.25620061233415947</v>
      </c>
      <c r="S120" s="22">
        <f t="shared" si="1"/>
        <v>3.6740049569908149E-4</v>
      </c>
    </row>
    <row r="121" spans="1:19">
      <c r="A121" s="28" t="s">
        <v>1368</v>
      </c>
      <c r="B121" s="29" t="s">
        <v>1456</v>
      </c>
      <c r="C121" s="29"/>
      <c r="D121" s="85">
        <v>0.75</v>
      </c>
      <c r="E121" s="4">
        <v>14</v>
      </c>
      <c r="F121" s="4">
        <v>7</v>
      </c>
      <c r="G121" s="4">
        <v>19</v>
      </c>
      <c r="H121" s="29">
        <v>4.2293000000000003</v>
      </c>
      <c r="I121" s="4">
        <v>8.9999999999999998E-4</v>
      </c>
      <c r="J121" s="29">
        <v>-25.020299999999999</v>
      </c>
      <c r="K121" s="4">
        <v>1.1999999999999999E-3</v>
      </c>
      <c r="L121" s="4">
        <v>3.2000000000000001E-2</v>
      </c>
      <c r="M121" s="4">
        <v>7.0000000000000001E-3</v>
      </c>
      <c r="N121" s="4">
        <v>-9.9000000000000008E-3</v>
      </c>
      <c r="O121" s="4">
        <v>5.0000000000000001E-4</v>
      </c>
      <c r="P121" s="4">
        <v>120.62</v>
      </c>
      <c r="Q121" s="4">
        <v>0.39</v>
      </c>
      <c r="R121" s="29">
        <f t="shared" si="0"/>
        <v>0.24619915439568452</v>
      </c>
      <c r="S121" s="22">
        <f t="shared" si="1"/>
        <v>7.9603440734800986E-4</v>
      </c>
    </row>
    <row r="122" spans="1:19">
      <c r="A122" s="33" t="s">
        <v>1368</v>
      </c>
      <c r="B122" s="34" t="s">
        <v>1456</v>
      </c>
      <c r="C122" s="34"/>
      <c r="D122" s="98">
        <v>1</v>
      </c>
      <c r="E122" s="4">
        <v>14</v>
      </c>
      <c r="F122" s="4">
        <v>7</v>
      </c>
      <c r="G122" s="4">
        <v>19</v>
      </c>
      <c r="H122" s="34">
        <v>3.4337</v>
      </c>
      <c r="I122" s="4">
        <v>8.9999999999999998E-4</v>
      </c>
      <c r="J122" s="34">
        <v>-21.090699999999998</v>
      </c>
      <c r="K122" s="4">
        <v>1.6000000000000001E-3</v>
      </c>
      <c r="L122" s="4">
        <v>8.1000000000000003E-2</v>
      </c>
      <c r="M122" s="4">
        <v>1.4E-2</v>
      </c>
      <c r="N122" s="4">
        <v>-1.6799999999999999E-2</v>
      </c>
      <c r="O122" s="4">
        <v>1E-4</v>
      </c>
      <c r="P122" s="4">
        <v>106.53</v>
      </c>
      <c r="Q122" s="4">
        <v>0.18</v>
      </c>
      <c r="R122" s="34">
        <f>P122*E122/G122^3</f>
        <v>0.21743986003790641</v>
      </c>
      <c r="S122" s="22">
        <f t="shared" si="1"/>
        <v>3.6740049569908149E-4</v>
      </c>
    </row>
    <row r="123" spans="1:19">
      <c r="A123" s="44" t="s">
        <v>1369</v>
      </c>
      <c r="B123" s="45" t="s">
        <v>1457</v>
      </c>
      <c r="C123" s="45"/>
      <c r="D123" s="104">
        <v>0.25</v>
      </c>
      <c r="E123" s="4">
        <v>14</v>
      </c>
      <c r="F123" s="4">
        <v>7</v>
      </c>
      <c r="G123" s="4">
        <v>19</v>
      </c>
      <c r="H123" s="45">
        <v>5.8216999999999999</v>
      </c>
      <c r="I123" s="4">
        <v>1E-3</v>
      </c>
      <c r="J123" s="45">
        <v>-34.476999999999997</v>
      </c>
      <c r="K123" s="4">
        <v>1.4E-3</v>
      </c>
      <c r="L123" s="4">
        <v>4.5999999999999999E-2</v>
      </c>
      <c r="M123" s="4">
        <v>5.0000000000000001E-3</v>
      </c>
      <c r="N123" s="4">
        <v>-6.7000000000000002E-3</v>
      </c>
      <c r="O123" s="4">
        <v>2.0000000000000001E-4</v>
      </c>
      <c r="P123" s="4">
        <v>126.58</v>
      </c>
      <c r="Q123" s="4">
        <v>0.23</v>
      </c>
      <c r="R123" s="45">
        <f>P123*E123/G123^3</f>
        <v>0.25836419303105407</v>
      </c>
      <c r="S123" s="22">
        <f>Q123*E123/G123^3</f>
        <v>4.6945618894882641E-4</v>
      </c>
    </row>
    <row r="124" spans="1:19">
      <c r="A124" s="23" t="s">
        <v>1369</v>
      </c>
      <c r="B124" s="4" t="s">
        <v>1457</v>
      </c>
      <c r="D124" s="83">
        <v>0.5</v>
      </c>
      <c r="E124" s="4">
        <v>14</v>
      </c>
      <c r="F124" s="4">
        <v>7</v>
      </c>
      <c r="G124" s="4">
        <v>19</v>
      </c>
      <c r="H124" s="39">
        <v>4.9124999999999996</v>
      </c>
      <c r="I124" s="4">
        <v>6.9999999999999999E-4</v>
      </c>
      <c r="J124" s="4">
        <v>-30.513000000000002</v>
      </c>
      <c r="K124" s="4">
        <v>1.6000000000000001E-3</v>
      </c>
      <c r="L124" s="4">
        <v>0.16800000000000001</v>
      </c>
      <c r="M124" s="4">
        <v>6.0000000000000001E-3</v>
      </c>
      <c r="N124" s="4">
        <v>-1.17E-2</v>
      </c>
      <c r="O124" s="4">
        <v>4.0000000000000002E-4</v>
      </c>
      <c r="P124" s="4">
        <v>114.73</v>
      </c>
      <c r="Q124" s="4">
        <v>0.44</v>
      </c>
      <c r="R124" s="4">
        <f t="shared" si="0"/>
        <v>0.23417699373086456</v>
      </c>
      <c r="S124" s="22">
        <f t="shared" ref="S124:S128" si="4">Q124*E124/G124^3</f>
        <v>8.9809010059775478E-4</v>
      </c>
    </row>
    <row r="125" spans="1:19">
      <c r="A125" s="44" t="s">
        <v>1370</v>
      </c>
      <c r="B125" s="45" t="s">
        <v>1458</v>
      </c>
      <c r="C125" s="45"/>
      <c r="D125" s="169">
        <v>0.25</v>
      </c>
      <c r="E125" s="4">
        <v>14</v>
      </c>
      <c r="F125" s="4">
        <v>7</v>
      </c>
      <c r="G125" s="4">
        <v>19</v>
      </c>
      <c r="H125" s="45">
        <v>5.8441000000000001</v>
      </c>
      <c r="I125" s="4">
        <v>4.0000000000000002E-4</v>
      </c>
      <c r="J125" s="45">
        <v>-34.245600000000003</v>
      </c>
      <c r="K125" s="4">
        <v>8.9999999999999998E-4</v>
      </c>
      <c r="L125" s="4">
        <v>3.3000000000000002E-2</v>
      </c>
      <c r="M125" s="4">
        <v>5.0000000000000001E-3</v>
      </c>
      <c r="N125" s="4">
        <v>-6.1999999999999998E-3</v>
      </c>
      <c r="O125" s="4">
        <v>1E-4</v>
      </c>
      <c r="P125" s="4">
        <v>127.86</v>
      </c>
      <c r="Q125" s="4">
        <v>0.11</v>
      </c>
      <c r="R125" s="45">
        <f>P125*E125/G125^3</f>
        <v>0.26097681877824758</v>
      </c>
      <c r="S125" s="22">
        <f t="shared" si="4"/>
        <v>2.2452252514943869E-4</v>
      </c>
    </row>
    <row r="126" spans="1:19">
      <c r="A126" s="23" t="s">
        <v>1370</v>
      </c>
      <c r="B126" s="4" t="s">
        <v>1458</v>
      </c>
      <c r="D126" s="165">
        <v>0.5</v>
      </c>
      <c r="E126" s="4">
        <v>14</v>
      </c>
      <c r="F126" s="4">
        <v>7</v>
      </c>
      <c r="G126" s="4">
        <v>19</v>
      </c>
      <c r="H126" s="4">
        <v>4.9814999999999996</v>
      </c>
      <c r="I126" s="4">
        <v>6.9999999999999999E-4</v>
      </c>
      <c r="J126" s="4">
        <v>-29.571300000000001</v>
      </c>
      <c r="K126" s="4">
        <v>1.6000000000000001E-3</v>
      </c>
      <c r="L126" s="4">
        <v>0.06</v>
      </c>
      <c r="M126" s="4">
        <v>7.0000000000000001E-3</v>
      </c>
      <c r="N126" s="4">
        <v>-8.2000000000000007E-3</v>
      </c>
      <c r="O126" s="4">
        <v>1E-4</v>
      </c>
      <c r="P126" s="4">
        <v>124.88</v>
      </c>
      <c r="Q126" s="4">
        <v>0.1</v>
      </c>
      <c r="R126" s="4">
        <f t="shared" si="0"/>
        <v>0.25489429946056275</v>
      </c>
      <c r="S126" s="22">
        <f t="shared" si="4"/>
        <v>2.0411138649948973E-4</v>
      </c>
    </row>
    <row r="127" spans="1:19">
      <c r="A127" s="28" t="s">
        <v>1370</v>
      </c>
      <c r="B127" s="29" t="s">
        <v>1458</v>
      </c>
      <c r="C127" s="29"/>
      <c r="D127" s="166">
        <v>0.75</v>
      </c>
      <c r="E127" s="4">
        <v>14</v>
      </c>
      <c r="F127" s="4">
        <v>7</v>
      </c>
      <c r="G127" s="4">
        <v>19</v>
      </c>
      <c r="H127" s="29">
        <v>4.1143999999999998</v>
      </c>
      <c r="I127" s="4">
        <v>2.9999999999999997E-4</v>
      </c>
      <c r="J127" s="29">
        <v>-25.320399999999999</v>
      </c>
      <c r="K127" s="4">
        <v>8.9999999999999998E-4</v>
      </c>
      <c r="L127" s="4">
        <v>0.13</v>
      </c>
      <c r="M127" s="4">
        <v>0.01</v>
      </c>
      <c r="N127" s="4">
        <v>-1.2999999999999999E-2</v>
      </c>
      <c r="O127" s="4">
        <v>2.9999999999999997E-4</v>
      </c>
      <c r="P127" s="4">
        <v>115.68</v>
      </c>
      <c r="Q127" s="4">
        <v>0.4</v>
      </c>
      <c r="R127" s="29">
        <f t="shared" si="0"/>
        <v>0.2361160519026097</v>
      </c>
      <c r="S127" s="22">
        <f t="shared" si="4"/>
        <v>8.1644554599795893E-4</v>
      </c>
    </row>
    <row r="128" spans="1:19">
      <c r="A128" s="133" t="s">
        <v>1371</v>
      </c>
      <c r="B128" s="45" t="s">
        <v>1459</v>
      </c>
      <c r="C128" s="48"/>
      <c r="D128" s="173">
        <v>0.25</v>
      </c>
      <c r="E128" s="4">
        <v>14</v>
      </c>
      <c r="F128" s="4">
        <v>7</v>
      </c>
      <c r="G128" s="4">
        <v>19</v>
      </c>
      <c r="H128" s="45">
        <v>5.8741000000000003</v>
      </c>
      <c r="I128" s="4">
        <v>8.9999999999999998E-4</v>
      </c>
      <c r="J128" s="45">
        <v>-34.366300000000003</v>
      </c>
      <c r="K128" s="4">
        <v>2.3E-3</v>
      </c>
      <c r="L128" s="4">
        <v>2.9000000000000001E-2</v>
      </c>
      <c r="M128" s="4">
        <v>3.0000000000000001E-3</v>
      </c>
      <c r="N128" s="4">
        <v>-6.1999999999999998E-3</v>
      </c>
      <c r="O128" s="4">
        <v>2.9999999999999997E-4</v>
      </c>
      <c r="P128" s="4">
        <v>127.73</v>
      </c>
      <c r="Q128" s="4">
        <v>0.33</v>
      </c>
      <c r="R128" s="45">
        <f>P128*E128/G128^3</f>
        <v>0.26071147397579825</v>
      </c>
      <c r="S128" s="22">
        <f t="shared" si="4"/>
        <v>6.7356757544831608E-4</v>
      </c>
    </row>
    <row r="129" spans="1:19">
      <c r="A129" s="23" t="s">
        <v>1371</v>
      </c>
      <c r="B129" s="4" t="s">
        <v>1459</v>
      </c>
      <c r="D129" s="83">
        <v>0.5</v>
      </c>
      <c r="E129" s="4">
        <v>14</v>
      </c>
      <c r="F129" s="4">
        <v>7</v>
      </c>
      <c r="G129" s="4">
        <v>19</v>
      </c>
      <c r="H129" s="4">
        <v>5.0454999999999997</v>
      </c>
      <c r="I129" s="4">
        <v>5.9999999999999995E-4</v>
      </c>
      <c r="J129" s="4">
        <v>-29.805599999999998</v>
      </c>
      <c r="K129" s="4">
        <v>1.1999999999999999E-3</v>
      </c>
      <c r="L129" s="4">
        <v>4.5999999999999999E-2</v>
      </c>
      <c r="M129" s="4">
        <v>1.4999999999999999E-2</v>
      </c>
      <c r="N129" s="4">
        <v>-7.7000000000000002E-3</v>
      </c>
      <c r="O129" s="4">
        <v>2.9999999999999997E-4</v>
      </c>
      <c r="P129" s="4">
        <v>124.98</v>
      </c>
      <c r="Q129" s="4">
        <v>0.26</v>
      </c>
      <c r="R129" s="4">
        <f t="shared" si="0"/>
        <v>0.25509841084706225</v>
      </c>
      <c r="S129" s="22">
        <f t="shared" si="1"/>
        <v>5.3068960489867335E-4</v>
      </c>
    </row>
    <row r="130" spans="1:19">
      <c r="A130" s="28" t="s">
        <v>1371</v>
      </c>
      <c r="B130" s="29" t="s">
        <v>1459</v>
      </c>
      <c r="C130" s="29"/>
      <c r="D130" s="85">
        <v>0.75</v>
      </c>
      <c r="E130" s="4">
        <v>14</v>
      </c>
      <c r="F130" s="4">
        <v>7</v>
      </c>
      <c r="G130" s="4">
        <v>19</v>
      </c>
      <c r="H130" s="29">
        <v>4.2172999999999998</v>
      </c>
      <c r="I130" s="4">
        <v>5.0000000000000001E-4</v>
      </c>
      <c r="J130" s="29">
        <v>-25.635400000000001</v>
      </c>
      <c r="K130" s="4">
        <v>1.9E-3</v>
      </c>
      <c r="L130" s="4">
        <v>8.7999999999999995E-2</v>
      </c>
      <c r="M130" s="4">
        <v>1.2999999999999999E-2</v>
      </c>
      <c r="N130" s="4">
        <v>-1.18E-2</v>
      </c>
      <c r="O130" s="4">
        <v>5.9999999999999995E-4</v>
      </c>
      <c r="P130" s="4">
        <v>116.56</v>
      </c>
      <c r="Q130" s="4">
        <v>0.56999999999999995</v>
      </c>
      <c r="R130" s="29">
        <f t="shared" si="0"/>
        <v>0.23791223210380524</v>
      </c>
      <c r="S130" s="22">
        <f t="shared" si="1"/>
        <v>1.1634349030470914E-3</v>
      </c>
    </row>
    <row r="131" spans="1:19">
      <c r="A131" s="44" t="s">
        <v>1372</v>
      </c>
      <c r="B131" s="168">
        <v>11111112222222</v>
      </c>
      <c r="C131" s="168" t="s">
        <v>17</v>
      </c>
      <c r="D131" s="104">
        <v>0.25</v>
      </c>
      <c r="E131" s="4">
        <v>14</v>
      </c>
      <c r="F131" s="4">
        <v>7</v>
      </c>
      <c r="G131" s="4">
        <v>19</v>
      </c>
      <c r="H131" s="45">
        <v>5.8586999999999998</v>
      </c>
      <c r="I131" s="4">
        <v>8.0000000000000004E-4</v>
      </c>
      <c r="J131" s="45">
        <v>-34.7577</v>
      </c>
      <c r="K131" s="4">
        <v>5.0000000000000001E-4</v>
      </c>
      <c r="L131" s="4">
        <v>4.9000000000000002E-2</v>
      </c>
      <c r="M131" s="4">
        <v>7.0000000000000001E-3</v>
      </c>
      <c r="N131" s="4">
        <v>-7.0000000000000001E-3</v>
      </c>
      <c r="O131" s="4">
        <v>2.0000000000000001E-4</v>
      </c>
      <c r="P131" s="4">
        <v>124.59</v>
      </c>
      <c r="Q131" s="4">
        <v>0.17</v>
      </c>
      <c r="R131" s="45">
        <f>P131*E131/G131^3</f>
        <v>0.25430237643971426</v>
      </c>
      <c r="S131" s="22">
        <f>Q131*E131/G131^3</f>
        <v>3.4698935704913258E-4</v>
      </c>
    </row>
    <row r="132" spans="1:19">
      <c r="A132" s="23" t="s">
        <v>1372</v>
      </c>
      <c r="B132" s="170">
        <v>11111112222222</v>
      </c>
      <c r="C132" s="170" t="s">
        <v>17</v>
      </c>
      <c r="D132" s="83">
        <v>0.5</v>
      </c>
      <c r="E132" s="4">
        <v>14</v>
      </c>
      <c r="F132" s="4">
        <v>7</v>
      </c>
      <c r="G132" s="4">
        <v>19</v>
      </c>
      <c r="H132" s="4">
        <v>4.9494999999999996</v>
      </c>
      <c r="I132" s="4">
        <v>8.9999999999999998E-4</v>
      </c>
      <c r="J132" s="4">
        <v>-32.151000000000003</v>
      </c>
      <c r="K132" s="4">
        <v>1.2999999999999999E-3</v>
      </c>
      <c r="L132" s="4">
        <v>0.34499999999999997</v>
      </c>
      <c r="M132" s="4">
        <v>3.5999999999999997E-2</v>
      </c>
      <c r="N132" s="4">
        <v>-1.8499999999999999E-2</v>
      </c>
      <c r="O132" s="4">
        <v>2.0000000000000001E-4</v>
      </c>
      <c r="P132" s="4">
        <v>89.29</v>
      </c>
      <c r="Q132" s="4">
        <v>0.2</v>
      </c>
      <c r="R132" s="4">
        <f t="shared" si="0"/>
        <v>0.1822510570053944</v>
      </c>
      <c r="S132" s="22">
        <f t="shared" si="1"/>
        <v>4.0822277299897946E-4</v>
      </c>
    </row>
    <row r="133" spans="1:19">
      <c r="A133" s="44" t="s">
        <v>1373</v>
      </c>
      <c r="B133" s="168">
        <v>11112222222111</v>
      </c>
      <c r="C133" s="168" t="s">
        <v>19</v>
      </c>
      <c r="D133" s="104">
        <v>0.25</v>
      </c>
      <c r="E133" s="4">
        <v>14</v>
      </c>
      <c r="F133" s="4">
        <v>7</v>
      </c>
      <c r="G133" s="4">
        <v>19</v>
      </c>
      <c r="H133" s="45">
        <v>5.7804000000000002</v>
      </c>
      <c r="I133" s="4">
        <v>8.9999999999999998E-4</v>
      </c>
      <c r="J133" s="45">
        <v>-34.470599999999997</v>
      </c>
      <c r="K133" s="4">
        <v>1.8E-3</v>
      </c>
      <c r="L133" s="4">
        <v>0.06</v>
      </c>
      <c r="M133" s="4">
        <v>7.0000000000000001E-3</v>
      </c>
      <c r="N133" s="4">
        <v>-6.7999999999999996E-3</v>
      </c>
      <c r="O133" s="4">
        <v>2.0000000000000001E-4</v>
      </c>
      <c r="P133" s="4">
        <v>126.46</v>
      </c>
      <c r="Q133" s="4">
        <v>0.16</v>
      </c>
      <c r="R133" s="45">
        <f>P133*E133/G133^3</f>
        <v>0.25811925936725466</v>
      </c>
      <c r="S133" s="22">
        <f>Q133*E133/G133^3</f>
        <v>3.2657821839918356E-4</v>
      </c>
    </row>
    <row r="134" spans="1:19">
      <c r="A134" s="23" t="s">
        <v>1373</v>
      </c>
      <c r="B134" s="170">
        <v>11112222222111</v>
      </c>
      <c r="C134" s="170" t="s">
        <v>19</v>
      </c>
      <c r="D134" s="83">
        <v>0.5</v>
      </c>
      <c r="E134" s="4">
        <v>14</v>
      </c>
      <c r="F134" s="4">
        <v>7</v>
      </c>
      <c r="G134" s="4">
        <v>19</v>
      </c>
      <c r="H134" s="4">
        <v>4.8136000000000001</v>
      </c>
      <c r="I134" s="4">
        <v>2.9999999999999997E-4</v>
      </c>
      <c r="J134" s="4">
        <v>-30.675799999999999</v>
      </c>
      <c r="K134" s="4">
        <v>2.3999999999999998E-3</v>
      </c>
      <c r="L134" s="4">
        <v>0.22800000000000001</v>
      </c>
      <c r="M134" s="4">
        <v>2.8000000000000001E-2</v>
      </c>
      <c r="N134" s="4">
        <v>-1.2999999999999999E-2</v>
      </c>
      <c r="O134" s="4">
        <v>4.0000000000000002E-4</v>
      </c>
      <c r="P134" s="4">
        <v>112.71</v>
      </c>
      <c r="Q134" s="4">
        <v>0.56000000000000005</v>
      </c>
      <c r="R134" s="4">
        <f t="shared" si="0"/>
        <v>0.23005394372357485</v>
      </c>
      <c r="S134" s="22">
        <f t="shared" si="1"/>
        <v>1.1430237643971425E-3</v>
      </c>
    </row>
    <row r="135" spans="1:19">
      <c r="A135" s="44" t="s">
        <v>1374</v>
      </c>
      <c r="B135" s="168">
        <v>22221111111222</v>
      </c>
      <c r="C135" s="168" t="s">
        <v>30</v>
      </c>
      <c r="D135" s="104">
        <v>0.25</v>
      </c>
      <c r="E135" s="4">
        <v>14</v>
      </c>
      <c r="F135" s="4">
        <v>7</v>
      </c>
      <c r="G135" s="4">
        <v>19</v>
      </c>
      <c r="H135" s="45">
        <v>5.9404000000000003</v>
      </c>
      <c r="I135" s="4">
        <v>4.0000000000000002E-4</v>
      </c>
      <c r="J135" s="45">
        <v>-34.231299999999997</v>
      </c>
      <c r="K135" s="4">
        <v>8.9999999999999998E-4</v>
      </c>
      <c r="L135" s="4">
        <v>4.8000000000000001E-2</v>
      </c>
      <c r="M135" s="4">
        <v>6.0000000000000001E-3</v>
      </c>
      <c r="N135" s="4">
        <v>-6.4000000000000003E-3</v>
      </c>
      <c r="O135" s="4">
        <v>1E-4</v>
      </c>
      <c r="P135" s="4">
        <v>126.29</v>
      </c>
      <c r="Q135" s="4">
        <v>0.09</v>
      </c>
      <c r="R135" s="45">
        <f>P135*E135/G135^3</f>
        <v>0.25777227001020558</v>
      </c>
      <c r="S135" s="22">
        <f>Q135*E135/G135^3</f>
        <v>1.8370024784954074E-4</v>
      </c>
    </row>
    <row r="136" spans="1:19">
      <c r="A136" s="23" t="s">
        <v>1374</v>
      </c>
      <c r="B136" s="170">
        <v>22221111111222</v>
      </c>
      <c r="C136" s="170" t="s">
        <v>30</v>
      </c>
      <c r="D136" s="83">
        <v>0.5</v>
      </c>
      <c r="E136" s="4">
        <v>14</v>
      </c>
      <c r="F136" s="4">
        <v>7</v>
      </c>
      <c r="G136" s="4">
        <v>19</v>
      </c>
      <c r="H136" s="4">
        <v>5.2023999999999999</v>
      </c>
      <c r="I136" s="4">
        <v>4.0000000000000002E-4</v>
      </c>
      <c r="J136" s="4">
        <v>-29.822399999999998</v>
      </c>
      <c r="K136" s="4">
        <v>1E-3</v>
      </c>
      <c r="L136" s="4">
        <v>2.3E-2</v>
      </c>
      <c r="M136" s="4">
        <v>7.0000000000000001E-3</v>
      </c>
      <c r="N136" s="4">
        <v>-8.3000000000000001E-3</v>
      </c>
      <c r="O136" s="4">
        <v>2.0000000000000001E-4</v>
      </c>
      <c r="P136" s="4">
        <v>119.62</v>
      </c>
      <c r="Q136" s="4">
        <v>0.23</v>
      </c>
      <c r="R136" s="4">
        <f t="shared" si="0"/>
        <v>0.24415804053068962</v>
      </c>
      <c r="S136" s="22">
        <f t="shared" si="1"/>
        <v>4.6945618894882641E-4</v>
      </c>
    </row>
    <row r="137" spans="1:19" ht="17" thickBot="1">
      <c r="A137" s="157" t="s">
        <v>1374</v>
      </c>
      <c r="B137" s="158">
        <v>22221111111222</v>
      </c>
      <c r="C137" s="158" t="s">
        <v>30</v>
      </c>
      <c r="D137" s="159">
        <v>0.75</v>
      </c>
      <c r="E137" s="56">
        <v>14</v>
      </c>
      <c r="F137" s="56">
        <v>7</v>
      </c>
      <c r="G137" s="56">
        <v>19</v>
      </c>
      <c r="H137" s="146">
        <v>4.5941999999999998</v>
      </c>
      <c r="I137" s="56">
        <v>5.9999999999999995E-4</v>
      </c>
      <c r="J137" s="146">
        <v>-26.4876</v>
      </c>
      <c r="K137" s="56">
        <v>1.6999999999999999E-3</v>
      </c>
      <c r="L137" s="56">
        <v>3.7999999999999999E-2</v>
      </c>
      <c r="M137" s="56">
        <v>8.9999999999999993E-3</v>
      </c>
      <c r="N137" s="56">
        <v>-1.3299999999999999E-2</v>
      </c>
      <c r="O137" s="56">
        <v>2.0000000000000001E-4</v>
      </c>
      <c r="P137" s="56">
        <v>102.2</v>
      </c>
      <c r="Q137" s="56">
        <v>0.27</v>
      </c>
      <c r="R137" s="146">
        <f t="shared" si="0"/>
        <v>0.2086018370024785</v>
      </c>
      <c r="S137" s="57">
        <f t="shared" si="1"/>
        <v>5.5110074354862231E-4</v>
      </c>
    </row>
    <row r="138" spans="1:19">
      <c r="A138" s="44" t="s">
        <v>1375</v>
      </c>
      <c r="B138" s="45" t="s">
        <v>1463</v>
      </c>
      <c r="C138" s="45"/>
      <c r="D138" s="104">
        <v>0.25</v>
      </c>
      <c r="E138" s="4">
        <v>14</v>
      </c>
      <c r="F138" s="4">
        <v>8</v>
      </c>
      <c r="G138" s="4">
        <v>19</v>
      </c>
      <c r="H138" s="45">
        <v>6.1078999999999999</v>
      </c>
      <c r="I138" s="4">
        <v>6.9999999999999999E-4</v>
      </c>
      <c r="J138" s="45">
        <v>-35.686599999999999</v>
      </c>
      <c r="K138" s="4">
        <v>5.0000000000000001E-4</v>
      </c>
      <c r="L138" s="4">
        <v>3.2000000000000001E-2</v>
      </c>
      <c r="M138" s="4">
        <v>6.0000000000000001E-3</v>
      </c>
      <c r="N138" s="4">
        <v>-6.0000000000000001E-3</v>
      </c>
      <c r="O138" s="4">
        <v>2.9999999999999997E-4</v>
      </c>
      <c r="P138" s="4">
        <v>127.76</v>
      </c>
      <c r="Q138" s="4">
        <v>0.15</v>
      </c>
      <c r="R138" s="45">
        <f>P138*E138/G138^3</f>
        <v>0.26077270739174807</v>
      </c>
      <c r="S138" s="22">
        <f>Q138*E138/G138^3</f>
        <v>3.061670797492346E-4</v>
      </c>
    </row>
    <row r="139" spans="1:19">
      <c r="A139" s="23" t="s">
        <v>1375</v>
      </c>
      <c r="B139" s="4" t="s">
        <v>1463</v>
      </c>
      <c r="D139" s="83">
        <v>0.5</v>
      </c>
      <c r="E139" s="4">
        <v>14</v>
      </c>
      <c r="F139" s="4">
        <v>8</v>
      </c>
      <c r="G139" s="4">
        <v>19</v>
      </c>
      <c r="H139" s="4">
        <v>5.5109000000000004</v>
      </c>
      <c r="I139" s="4">
        <v>6.9999999999999999E-4</v>
      </c>
      <c r="J139" s="4">
        <v>-32.432099999999998</v>
      </c>
      <c r="K139" s="4">
        <v>1.6000000000000001E-3</v>
      </c>
      <c r="L139" s="4">
        <v>4.2999999999999997E-2</v>
      </c>
      <c r="M139" s="4">
        <v>1.4E-2</v>
      </c>
      <c r="N139" s="4">
        <v>-7.3000000000000001E-3</v>
      </c>
      <c r="O139" s="4">
        <v>4.0000000000000002E-4</v>
      </c>
      <c r="P139" s="4">
        <v>125.12</v>
      </c>
      <c r="Q139" s="4">
        <v>0.51</v>
      </c>
      <c r="R139" s="4">
        <f t="shared" si="0"/>
        <v>0.25538416678816156</v>
      </c>
      <c r="S139" s="22">
        <f t="shared" si="1"/>
        <v>1.0409680711473976E-3</v>
      </c>
    </row>
    <row r="140" spans="1:19">
      <c r="A140" s="28" t="s">
        <v>1375</v>
      </c>
      <c r="B140" s="29" t="s">
        <v>1463</v>
      </c>
      <c r="C140" s="29"/>
      <c r="D140" s="85">
        <v>0.75</v>
      </c>
      <c r="E140" s="4">
        <v>14</v>
      </c>
      <c r="F140" s="4">
        <v>8</v>
      </c>
      <c r="G140" s="4">
        <v>19</v>
      </c>
      <c r="H140" s="29">
        <v>4.9109999999999996</v>
      </c>
      <c r="I140" s="4">
        <v>1E-3</v>
      </c>
      <c r="J140" s="29">
        <v>-29.481200000000001</v>
      </c>
      <c r="K140" s="4">
        <v>1.6000000000000001E-3</v>
      </c>
      <c r="L140" s="4">
        <v>7.0999999999999994E-2</v>
      </c>
      <c r="M140" s="4">
        <v>0.02</v>
      </c>
      <c r="N140" s="4">
        <v>-0.01</v>
      </c>
      <c r="O140" s="4">
        <v>1E-4</v>
      </c>
      <c r="P140" s="4">
        <v>118.35</v>
      </c>
      <c r="Q140" s="4">
        <v>0.11</v>
      </c>
      <c r="R140" s="29">
        <f t="shared" si="0"/>
        <v>0.24156582592214607</v>
      </c>
      <c r="S140" s="22">
        <f t="shared" si="1"/>
        <v>2.2452252514943869E-4</v>
      </c>
    </row>
    <row r="141" spans="1:19">
      <c r="A141" s="33" t="s">
        <v>1375</v>
      </c>
      <c r="B141" s="34" t="s">
        <v>1463</v>
      </c>
      <c r="C141" s="34"/>
      <c r="D141" s="98">
        <v>1</v>
      </c>
      <c r="E141" s="4">
        <v>14</v>
      </c>
      <c r="F141" s="4">
        <v>8</v>
      </c>
      <c r="G141" s="4">
        <v>19</v>
      </c>
      <c r="H141" s="34">
        <v>4.3102</v>
      </c>
      <c r="I141" s="4">
        <v>8.9999999999999998E-4</v>
      </c>
      <c r="J141" s="34">
        <v>-27.078700000000001</v>
      </c>
      <c r="K141" s="4">
        <v>3.2000000000000002E-3</v>
      </c>
      <c r="L141" s="4">
        <v>0.14499999999999999</v>
      </c>
      <c r="M141" s="4">
        <v>2.3E-2</v>
      </c>
      <c r="N141" s="4">
        <v>-1.5900000000000001E-2</v>
      </c>
      <c r="O141" s="4">
        <v>2.9999999999999997E-4</v>
      </c>
      <c r="P141" s="4">
        <v>103.16</v>
      </c>
      <c r="Q141" s="4">
        <v>0.47</v>
      </c>
      <c r="R141" s="34">
        <f>P141*E141/G141^3</f>
        <v>0.21056130631287359</v>
      </c>
      <c r="S141" s="22">
        <f t="shared" si="1"/>
        <v>9.5932351654760167E-4</v>
      </c>
    </row>
    <row r="142" spans="1:19">
      <c r="A142" s="44" t="s">
        <v>1376</v>
      </c>
      <c r="B142" s="45" t="s">
        <v>1464</v>
      </c>
      <c r="C142" s="45"/>
      <c r="D142" s="104">
        <v>0.25</v>
      </c>
      <c r="E142" s="4">
        <v>14</v>
      </c>
      <c r="F142" s="4">
        <v>8</v>
      </c>
      <c r="G142" s="4">
        <v>19</v>
      </c>
      <c r="H142" s="45">
        <v>6.1471999999999998</v>
      </c>
      <c r="I142" s="4">
        <v>5.9999999999999995E-4</v>
      </c>
      <c r="J142" s="45">
        <v>-35.6614</v>
      </c>
      <c r="K142" s="4">
        <v>1E-3</v>
      </c>
      <c r="L142" s="4">
        <v>2.1000000000000001E-2</v>
      </c>
      <c r="M142" s="4">
        <v>5.0000000000000001E-3</v>
      </c>
      <c r="N142" s="4">
        <v>-5.8999999999999999E-3</v>
      </c>
      <c r="O142" s="4">
        <v>2.9999999999999997E-4</v>
      </c>
      <c r="P142" s="4">
        <v>127.4</v>
      </c>
      <c r="Q142" s="4">
        <v>0.38</v>
      </c>
      <c r="R142" s="45">
        <f>P142*E142/G142^3</f>
        <v>0.26003790640034991</v>
      </c>
      <c r="S142" s="22">
        <f>Q142*E142/G142^3</f>
        <v>7.75623268698061E-4</v>
      </c>
    </row>
    <row r="143" spans="1:19">
      <c r="A143" s="23" t="s">
        <v>1376</v>
      </c>
      <c r="B143" s="4" t="s">
        <v>1464</v>
      </c>
      <c r="D143" s="83">
        <v>0.5</v>
      </c>
      <c r="E143" s="4">
        <v>14</v>
      </c>
      <c r="F143" s="4">
        <v>8</v>
      </c>
      <c r="G143" s="4">
        <v>19</v>
      </c>
      <c r="H143" s="4">
        <v>5.5899000000000001</v>
      </c>
      <c r="I143" s="4">
        <v>5.0000000000000001E-4</v>
      </c>
      <c r="J143" s="4">
        <v>-32.405299999999997</v>
      </c>
      <c r="K143" s="4">
        <v>1.1999999999999999E-3</v>
      </c>
      <c r="L143" s="4">
        <v>3.1E-2</v>
      </c>
      <c r="M143" s="4">
        <v>8.0000000000000002E-3</v>
      </c>
      <c r="N143" s="4">
        <v>-7.1000000000000004E-3</v>
      </c>
      <c r="O143" s="4">
        <v>2.0000000000000001E-4</v>
      </c>
      <c r="P143" s="4">
        <v>124.09</v>
      </c>
      <c r="Q143" s="4">
        <v>0.16</v>
      </c>
      <c r="R143" s="4">
        <f t="shared" si="0"/>
        <v>0.25328181950721679</v>
      </c>
      <c r="S143" s="22">
        <f t="shared" si="1"/>
        <v>3.2657821839918356E-4</v>
      </c>
    </row>
    <row r="144" spans="1:19">
      <c r="A144" s="28" t="s">
        <v>1376</v>
      </c>
      <c r="B144" s="29" t="s">
        <v>1464</v>
      </c>
      <c r="C144" s="29"/>
      <c r="D144" s="85">
        <v>0.75</v>
      </c>
      <c r="E144" s="4">
        <v>14</v>
      </c>
      <c r="F144" s="4">
        <v>8</v>
      </c>
      <c r="G144" s="4">
        <v>19</v>
      </c>
      <c r="H144" s="29">
        <v>5.0385</v>
      </c>
      <c r="I144" s="4">
        <v>1E-3</v>
      </c>
      <c r="J144" s="29">
        <v>-29.4742</v>
      </c>
      <c r="K144" s="4">
        <v>1.5E-3</v>
      </c>
      <c r="L144" s="4">
        <v>0.04</v>
      </c>
      <c r="M144" s="4">
        <v>8.0000000000000002E-3</v>
      </c>
      <c r="N144" s="4">
        <v>-9.1999999999999998E-3</v>
      </c>
      <c r="O144" s="4">
        <v>0</v>
      </c>
      <c r="P144" s="4">
        <v>117.18</v>
      </c>
      <c r="Q144" s="4">
        <v>0.03</v>
      </c>
      <c r="R144" s="29">
        <f t="shared" si="0"/>
        <v>0.23917772270010204</v>
      </c>
      <c r="S144" s="22">
        <f t="shared" si="1"/>
        <v>6.1233415949846914E-5</v>
      </c>
    </row>
    <row r="145" spans="1:19">
      <c r="A145" s="33" t="s">
        <v>1376</v>
      </c>
      <c r="B145" s="34" t="s">
        <v>1464</v>
      </c>
      <c r="C145" s="34"/>
      <c r="D145" s="98">
        <v>1</v>
      </c>
      <c r="E145" s="4">
        <v>14</v>
      </c>
      <c r="F145" s="4">
        <v>8</v>
      </c>
      <c r="G145" s="4">
        <v>19</v>
      </c>
      <c r="H145" s="38">
        <v>4.5148000000000001</v>
      </c>
      <c r="I145" s="39">
        <v>5.0000000000000001E-4</v>
      </c>
      <c r="J145" s="38">
        <v>-27.0977</v>
      </c>
      <c r="K145" s="39">
        <v>8.9999999999999998E-4</v>
      </c>
      <c r="L145" s="39">
        <v>8.7999999999999995E-2</v>
      </c>
      <c r="M145" s="39">
        <v>7.0000000000000001E-3</v>
      </c>
      <c r="N145" s="39">
        <v>-1.41E-2</v>
      </c>
      <c r="O145" s="39">
        <v>1E-4</v>
      </c>
      <c r="P145" s="39">
        <v>102.44</v>
      </c>
      <c r="Q145" s="39">
        <v>0.08</v>
      </c>
      <c r="R145" s="34">
        <f>P145*E145/G145^3</f>
        <v>0.20909170433007726</v>
      </c>
      <c r="S145" s="22">
        <f t="shared" si="1"/>
        <v>1.6328910919959178E-4</v>
      </c>
    </row>
    <row r="146" spans="1:19">
      <c r="A146" s="44" t="s">
        <v>1377</v>
      </c>
      <c r="B146" s="45" t="s">
        <v>1465</v>
      </c>
      <c r="C146" s="45"/>
      <c r="D146" s="104">
        <v>0.25</v>
      </c>
      <c r="E146" s="4">
        <v>14</v>
      </c>
      <c r="F146" s="4">
        <v>8</v>
      </c>
      <c r="G146" s="4">
        <v>19</v>
      </c>
      <c r="H146" s="48">
        <v>6.0742000000000003</v>
      </c>
      <c r="I146" s="4">
        <v>8.0000000000000004E-4</v>
      </c>
      <c r="J146" s="45">
        <v>-35.876399999999997</v>
      </c>
      <c r="K146" s="4">
        <v>1.2999999999999999E-3</v>
      </c>
      <c r="L146" s="4">
        <v>4.4999999999999998E-2</v>
      </c>
      <c r="M146" s="4">
        <v>3.0000000000000001E-3</v>
      </c>
      <c r="N146" s="4">
        <v>-6.1000000000000004E-3</v>
      </c>
      <c r="O146" s="4">
        <v>2.0000000000000001E-4</v>
      </c>
      <c r="P146" s="4">
        <v>127.2</v>
      </c>
      <c r="Q146" s="4">
        <v>0.22</v>
      </c>
      <c r="R146" s="45">
        <f>P146*E146/G146^3</f>
        <v>0.25962968362735089</v>
      </c>
      <c r="S146" s="22">
        <f>Q146*E146/G146^3</f>
        <v>4.4904505029887739E-4</v>
      </c>
    </row>
    <row r="147" spans="1:19">
      <c r="A147" s="23" t="s">
        <v>1377</v>
      </c>
      <c r="B147" s="4" t="s">
        <v>1465</v>
      </c>
      <c r="D147" s="83">
        <v>0.5</v>
      </c>
      <c r="E147" s="4">
        <v>14</v>
      </c>
      <c r="F147" s="4">
        <v>8</v>
      </c>
      <c r="G147" s="4">
        <v>19</v>
      </c>
      <c r="H147" s="4">
        <v>5.4297000000000004</v>
      </c>
      <c r="I147" s="4">
        <v>5.9999999999999995E-4</v>
      </c>
      <c r="J147" s="4">
        <v>-33.015700000000002</v>
      </c>
      <c r="K147" s="4">
        <v>1.9E-3</v>
      </c>
      <c r="L147" s="4">
        <v>9.8000000000000004E-2</v>
      </c>
      <c r="M147" s="4">
        <v>1.2E-2</v>
      </c>
      <c r="N147" s="4">
        <v>-8.8000000000000005E-3</v>
      </c>
      <c r="O147" s="4">
        <v>5.0000000000000001E-4</v>
      </c>
      <c r="P147" s="4">
        <v>121.12</v>
      </c>
      <c r="Q147" s="4">
        <v>0.52</v>
      </c>
      <c r="R147" s="4">
        <f t="shared" si="0"/>
        <v>0.24721971132818196</v>
      </c>
      <c r="S147" s="22">
        <f t="shared" si="1"/>
        <v>1.0613792097973467E-3</v>
      </c>
    </row>
    <row r="148" spans="1:19">
      <c r="A148" s="28" t="s">
        <v>1377</v>
      </c>
      <c r="B148" s="29" t="s">
        <v>1465</v>
      </c>
      <c r="C148" s="29"/>
      <c r="D148" s="85">
        <v>0.75</v>
      </c>
      <c r="E148" s="4">
        <v>14</v>
      </c>
      <c r="F148" s="4">
        <v>8</v>
      </c>
      <c r="G148" s="4">
        <v>19</v>
      </c>
      <c r="H148" s="41">
        <v>4.7397999999999998</v>
      </c>
      <c r="I148" s="4">
        <v>6.9999999999999999E-4</v>
      </c>
      <c r="J148" s="29">
        <v>-30.994299999999999</v>
      </c>
      <c r="K148" s="4">
        <v>5.0000000000000001E-4</v>
      </c>
      <c r="L148" s="4">
        <v>0.217</v>
      </c>
      <c r="M148" s="4">
        <v>1.0999999999999999E-2</v>
      </c>
      <c r="N148" s="4">
        <v>-1.61E-2</v>
      </c>
      <c r="O148" s="4">
        <v>2.0000000000000001E-4</v>
      </c>
      <c r="P148" s="4">
        <v>101.03</v>
      </c>
      <c r="Q148" s="4">
        <v>0.34</v>
      </c>
      <c r="R148" s="29">
        <f t="shared" si="0"/>
        <v>0.20621373378043448</v>
      </c>
      <c r="S148" s="22">
        <f t="shared" si="1"/>
        <v>6.9397871409826515E-4</v>
      </c>
    </row>
    <row r="149" spans="1:19">
      <c r="A149" s="44" t="s">
        <v>1378</v>
      </c>
      <c r="B149" s="45" t="s">
        <v>1466</v>
      </c>
      <c r="C149" s="45"/>
      <c r="D149" s="104">
        <v>0.25</v>
      </c>
      <c r="E149" s="4">
        <v>14</v>
      </c>
      <c r="F149" s="4">
        <v>8</v>
      </c>
      <c r="G149" s="4">
        <v>19</v>
      </c>
      <c r="H149" s="45">
        <v>6.0766</v>
      </c>
      <c r="I149" s="4">
        <v>5.9999999999999995E-4</v>
      </c>
      <c r="J149" s="45">
        <v>-35.7517</v>
      </c>
      <c r="K149" s="4">
        <v>6.9999999999999999E-4</v>
      </c>
      <c r="L149" s="4">
        <v>4.2999999999999997E-2</v>
      </c>
      <c r="M149" s="4">
        <v>8.0000000000000002E-3</v>
      </c>
      <c r="N149" s="4">
        <v>-6.1999999999999998E-3</v>
      </c>
      <c r="O149" s="4">
        <v>1E-4</v>
      </c>
      <c r="P149" s="4">
        <v>127.3</v>
      </c>
      <c r="Q149" s="4">
        <v>0.09</v>
      </c>
      <c r="R149" s="45">
        <f>P149*E149/G149^3</f>
        <v>0.2598337950138504</v>
      </c>
      <c r="S149" s="22">
        <f>Q149*E149/G149^3</f>
        <v>1.8370024784954074E-4</v>
      </c>
    </row>
    <row r="150" spans="1:19">
      <c r="A150" s="23" t="s">
        <v>1378</v>
      </c>
      <c r="B150" s="4" t="s">
        <v>1466</v>
      </c>
      <c r="D150" s="83">
        <v>0.5</v>
      </c>
      <c r="E150" s="4">
        <v>14</v>
      </c>
      <c r="F150" s="4">
        <v>8</v>
      </c>
      <c r="G150" s="4">
        <v>19</v>
      </c>
      <c r="H150" s="39">
        <v>5.4330999999999996</v>
      </c>
      <c r="I150" s="4">
        <v>5.0000000000000001E-4</v>
      </c>
      <c r="J150" s="4">
        <v>-32.707099999999997</v>
      </c>
      <c r="K150" s="4">
        <v>1.2999999999999999E-3</v>
      </c>
      <c r="L150" s="4">
        <v>0.1</v>
      </c>
      <c r="M150" s="4">
        <v>6.0000000000000001E-3</v>
      </c>
      <c r="N150" s="4">
        <v>-8.6999999999999994E-3</v>
      </c>
      <c r="O150" s="4">
        <v>2.0000000000000001E-4</v>
      </c>
      <c r="P150" s="4">
        <v>121.83</v>
      </c>
      <c r="Q150" s="4">
        <v>0.09</v>
      </c>
      <c r="R150" s="4">
        <f t="shared" si="0"/>
        <v>0.24866890217232832</v>
      </c>
      <c r="S150" s="22">
        <f t="shared" si="1"/>
        <v>1.8370024784954074E-4</v>
      </c>
    </row>
    <row r="151" spans="1:19">
      <c r="A151" s="28" t="s">
        <v>1378</v>
      </c>
      <c r="B151" s="29" t="s">
        <v>1466</v>
      </c>
      <c r="C151" s="29"/>
      <c r="D151" s="85">
        <v>0.75</v>
      </c>
      <c r="E151" s="4">
        <v>14</v>
      </c>
      <c r="F151" s="4">
        <v>8</v>
      </c>
      <c r="G151" s="4">
        <v>19</v>
      </c>
      <c r="H151" s="41">
        <v>4.7481999999999998</v>
      </c>
      <c r="I151" s="4">
        <v>1E-4</v>
      </c>
      <c r="J151" s="29">
        <v>-30.3291</v>
      </c>
      <c r="K151" s="4">
        <v>8.0000000000000004E-4</v>
      </c>
      <c r="L151" s="4">
        <v>0.20200000000000001</v>
      </c>
      <c r="M151" s="4">
        <v>4.0000000000000001E-3</v>
      </c>
      <c r="N151" s="4">
        <v>-1.52E-2</v>
      </c>
      <c r="O151" s="4">
        <v>2.0000000000000001E-4</v>
      </c>
      <c r="P151" s="4">
        <v>104.75</v>
      </c>
      <c r="Q151" s="4">
        <v>0.28000000000000003</v>
      </c>
      <c r="R151" s="29">
        <f t="shared" si="0"/>
        <v>0.21380667735821549</v>
      </c>
      <c r="S151" s="22">
        <f t="shared" si="1"/>
        <v>5.7151188219857127E-4</v>
      </c>
    </row>
    <row r="152" spans="1:19">
      <c r="A152" s="44" t="s">
        <v>1379</v>
      </c>
      <c r="B152" s="45" t="s">
        <v>1467</v>
      </c>
      <c r="C152" s="45"/>
      <c r="D152" s="104">
        <v>0.25</v>
      </c>
      <c r="E152" s="4">
        <v>14</v>
      </c>
      <c r="F152" s="4">
        <v>8</v>
      </c>
      <c r="G152" s="4">
        <v>19</v>
      </c>
      <c r="H152" s="45">
        <v>6.0765000000000002</v>
      </c>
      <c r="I152" s="4">
        <v>8.0000000000000004E-4</v>
      </c>
      <c r="J152" s="45">
        <v>-35.707599999999999</v>
      </c>
      <c r="K152" s="4">
        <v>6.9999999999999999E-4</v>
      </c>
      <c r="L152" s="4">
        <v>4.2999999999999997E-2</v>
      </c>
      <c r="M152" s="4">
        <v>4.0000000000000001E-3</v>
      </c>
      <c r="N152" s="4">
        <v>-6.1999999999999998E-3</v>
      </c>
      <c r="O152" s="4">
        <v>1E-4</v>
      </c>
      <c r="P152" s="4">
        <v>126.85</v>
      </c>
      <c r="Q152" s="4">
        <v>0.14000000000000001</v>
      </c>
      <c r="R152" s="45">
        <f>P152*E152/G152^3</f>
        <v>0.25891529377460271</v>
      </c>
      <c r="S152" s="22">
        <f>Q152*E152/G152^3</f>
        <v>2.8575594109928564E-4</v>
      </c>
    </row>
    <row r="153" spans="1:19">
      <c r="A153" s="23" t="s">
        <v>1379</v>
      </c>
      <c r="B153" s="4" t="s">
        <v>1467</v>
      </c>
      <c r="D153" s="83">
        <v>0.5</v>
      </c>
      <c r="E153" s="4">
        <v>14</v>
      </c>
      <c r="F153" s="4">
        <v>8</v>
      </c>
      <c r="G153" s="4">
        <v>19</v>
      </c>
      <c r="H153" s="39">
        <v>5.4340999999999999</v>
      </c>
      <c r="I153" s="4">
        <v>8.9999999999999998E-4</v>
      </c>
      <c r="J153" s="4">
        <v>-32.697299999999998</v>
      </c>
      <c r="K153" s="4">
        <v>8.9999999999999998E-4</v>
      </c>
      <c r="L153" s="4">
        <v>0.10199999999999999</v>
      </c>
      <c r="M153" s="4">
        <v>2.1000000000000001E-2</v>
      </c>
      <c r="N153" s="4">
        <v>-8.9999999999999993E-3</v>
      </c>
      <c r="O153" s="4">
        <v>2.0000000000000001E-4</v>
      </c>
      <c r="P153" s="4">
        <v>120.02</v>
      </c>
      <c r="Q153" s="4">
        <v>0.28999999999999998</v>
      </c>
      <c r="R153" s="4">
        <f t="shared" si="0"/>
        <v>0.24497448607668756</v>
      </c>
      <c r="S153" s="22">
        <f t="shared" si="1"/>
        <v>5.9192302084852013E-4</v>
      </c>
    </row>
    <row r="154" spans="1:19">
      <c r="A154" s="44" t="s">
        <v>1380</v>
      </c>
      <c r="B154" s="45" t="s">
        <v>1468</v>
      </c>
      <c r="C154" s="45"/>
      <c r="D154" s="104">
        <v>0.25</v>
      </c>
      <c r="E154" s="4">
        <v>14</v>
      </c>
      <c r="F154" s="4">
        <v>8</v>
      </c>
      <c r="G154" s="4">
        <v>19</v>
      </c>
      <c r="H154" s="45">
        <v>6.1510999999999996</v>
      </c>
      <c r="I154" s="4">
        <v>4.0000000000000002E-4</v>
      </c>
      <c r="J154" s="45">
        <v>-35.825000000000003</v>
      </c>
      <c r="K154" s="4">
        <v>2.0000000000000001E-4</v>
      </c>
      <c r="L154" s="4">
        <v>3.1E-2</v>
      </c>
      <c r="M154" s="4">
        <v>6.0000000000000001E-3</v>
      </c>
      <c r="N154" s="4">
        <v>-6.0000000000000001E-3</v>
      </c>
      <c r="O154" s="4">
        <v>2.0000000000000001E-4</v>
      </c>
      <c r="P154" s="4">
        <v>126.99</v>
      </c>
      <c r="Q154" s="4">
        <v>0.21</v>
      </c>
      <c r="R154" s="45">
        <f>P154*E154/G154^3</f>
        <v>0.25920104971570196</v>
      </c>
      <c r="S154" s="22">
        <f>Q154*E154/G154^3</f>
        <v>4.2863391164892843E-4</v>
      </c>
    </row>
    <row r="155" spans="1:19">
      <c r="A155" s="23" t="s">
        <v>1380</v>
      </c>
      <c r="B155" s="4" t="s">
        <v>1468</v>
      </c>
      <c r="D155" s="83">
        <v>0.5</v>
      </c>
      <c r="E155" s="4">
        <v>14</v>
      </c>
      <c r="F155" s="4">
        <v>8</v>
      </c>
      <c r="G155" s="4">
        <v>19</v>
      </c>
      <c r="H155" s="39">
        <v>5.5983999999999998</v>
      </c>
      <c r="I155" s="4">
        <v>8.0000000000000004E-4</v>
      </c>
      <c r="J155" s="4">
        <v>-32.809800000000003</v>
      </c>
      <c r="K155" s="4">
        <v>1.9E-3</v>
      </c>
      <c r="L155" s="4">
        <v>3.2000000000000001E-2</v>
      </c>
      <c r="M155" s="4">
        <v>3.0000000000000001E-3</v>
      </c>
      <c r="N155" s="4">
        <v>-7.4999999999999997E-3</v>
      </c>
      <c r="O155" s="4">
        <v>1E-4</v>
      </c>
      <c r="P155" s="4">
        <v>122.64</v>
      </c>
      <c r="Q155" s="4">
        <v>0.11</v>
      </c>
      <c r="R155" s="4">
        <f t="shared" si="0"/>
        <v>0.2503222044029742</v>
      </c>
      <c r="S155" s="22">
        <f t="shared" si="1"/>
        <v>2.2452252514943869E-4</v>
      </c>
    </row>
    <row r="156" spans="1:19">
      <c r="A156" s="28" t="s">
        <v>1380</v>
      </c>
      <c r="B156" s="29" t="s">
        <v>1468</v>
      </c>
      <c r="C156" s="29"/>
      <c r="D156" s="85">
        <v>0.75</v>
      </c>
      <c r="E156" s="4">
        <v>14</v>
      </c>
      <c r="F156" s="4">
        <v>8</v>
      </c>
      <c r="G156" s="4">
        <v>19</v>
      </c>
      <c r="H156" s="29">
        <v>5.0563000000000002</v>
      </c>
      <c r="I156" s="4">
        <v>1E-3</v>
      </c>
      <c r="J156" s="29">
        <v>-30.274000000000001</v>
      </c>
      <c r="K156" s="4">
        <v>5.0000000000000001E-4</v>
      </c>
      <c r="L156" s="4">
        <v>7.2999999999999995E-2</v>
      </c>
      <c r="M156" s="4">
        <v>5.0000000000000001E-3</v>
      </c>
      <c r="N156" s="4">
        <v>-1.0800000000000001E-2</v>
      </c>
      <c r="O156" s="4">
        <v>1E-4</v>
      </c>
      <c r="P156" s="4">
        <v>112.18</v>
      </c>
      <c r="Q156" s="4">
        <v>0.05</v>
      </c>
      <c r="R156" s="29">
        <f t="shared" si="0"/>
        <v>0.22897215337512758</v>
      </c>
      <c r="S156" s="22">
        <f t="shared" si="1"/>
        <v>1.0205569324974487E-4</v>
      </c>
    </row>
    <row r="157" spans="1:19">
      <c r="A157" s="44" t="s">
        <v>1381</v>
      </c>
      <c r="B157" s="45" t="s">
        <v>1469</v>
      </c>
      <c r="C157" s="45"/>
      <c r="D157" s="104">
        <v>0.25</v>
      </c>
      <c r="E157" s="4">
        <v>14</v>
      </c>
      <c r="F157" s="4">
        <v>8</v>
      </c>
      <c r="G157" s="4">
        <v>19</v>
      </c>
      <c r="H157" s="45">
        <v>6.1253000000000002</v>
      </c>
      <c r="I157" s="4">
        <v>5.9999999999999995E-4</v>
      </c>
      <c r="J157" s="45">
        <v>-35.728900000000003</v>
      </c>
      <c r="K157" s="4">
        <v>2.3999999999999998E-3</v>
      </c>
      <c r="L157" s="4">
        <v>3.9E-2</v>
      </c>
      <c r="M157" s="4">
        <v>2E-3</v>
      </c>
      <c r="N157" s="4">
        <v>-5.8999999999999999E-3</v>
      </c>
      <c r="O157" s="4">
        <v>2.0000000000000001E-4</v>
      </c>
      <c r="P157" s="4">
        <v>127.55</v>
      </c>
      <c r="Q157" s="4">
        <v>0.24</v>
      </c>
      <c r="R157" s="45">
        <f>P157*E157/G157^3</f>
        <v>0.26034407348009914</v>
      </c>
      <c r="S157" s="22">
        <f>Q157*E157/G157^3</f>
        <v>4.8986732759877531E-4</v>
      </c>
    </row>
    <row r="158" spans="1:19">
      <c r="A158" s="23" t="s">
        <v>1381</v>
      </c>
      <c r="B158" s="4" t="s">
        <v>1469</v>
      </c>
      <c r="D158" s="83">
        <v>0.5</v>
      </c>
      <c r="E158" s="4">
        <v>14</v>
      </c>
      <c r="F158" s="4">
        <v>8</v>
      </c>
      <c r="G158" s="4">
        <v>19</v>
      </c>
      <c r="H158" s="39">
        <v>5.5461999999999998</v>
      </c>
      <c r="I158" s="4">
        <v>8.9999999999999998E-4</v>
      </c>
      <c r="J158" s="4">
        <v>-32.549900000000001</v>
      </c>
      <c r="K158" s="4">
        <v>1.6000000000000001E-3</v>
      </c>
      <c r="L158" s="4">
        <v>4.1000000000000002E-2</v>
      </c>
      <c r="M158" s="4">
        <v>5.0000000000000001E-3</v>
      </c>
      <c r="N158" s="4">
        <v>-7.4000000000000003E-3</v>
      </c>
      <c r="O158" s="4">
        <v>2.0000000000000001E-4</v>
      </c>
      <c r="P158" s="4">
        <v>124.41</v>
      </c>
      <c r="Q158" s="4">
        <v>0.2</v>
      </c>
      <c r="R158" s="4">
        <f t="shared" si="0"/>
        <v>0.25393497594401515</v>
      </c>
      <c r="S158" s="22">
        <f t="shared" si="1"/>
        <v>4.0822277299897946E-4</v>
      </c>
    </row>
    <row r="159" spans="1:19">
      <c r="A159" s="28" t="s">
        <v>1381</v>
      </c>
      <c r="B159" s="29" t="s">
        <v>1469</v>
      </c>
      <c r="C159" s="29"/>
      <c r="D159" s="85">
        <v>0.75</v>
      </c>
      <c r="E159" s="4">
        <v>14</v>
      </c>
      <c r="F159" s="4">
        <v>8</v>
      </c>
      <c r="G159" s="4">
        <v>19</v>
      </c>
      <c r="H159" s="29">
        <v>4.9733999999999998</v>
      </c>
      <c r="I159" s="4">
        <v>8.9999999999999998E-4</v>
      </c>
      <c r="J159" s="29">
        <v>-29.721</v>
      </c>
      <c r="K159" s="4">
        <v>6.9999999999999999E-4</v>
      </c>
      <c r="L159" s="4">
        <v>7.0999999999999994E-2</v>
      </c>
      <c r="M159" s="4">
        <v>1.2999999999999999E-2</v>
      </c>
      <c r="N159" s="4">
        <v>-9.7000000000000003E-3</v>
      </c>
      <c r="O159" s="4">
        <v>1E-4</v>
      </c>
      <c r="P159" s="4">
        <v>117.36</v>
      </c>
      <c r="Q159" s="4">
        <v>0.1</v>
      </c>
      <c r="R159" s="29">
        <f t="shared" si="0"/>
        <v>0.23954512319580112</v>
      </c>
      <c r="S159" s="22">
        <f t="shared" si="1"/>
        <v>2.0411138649948973E-4</v>
      </c>
    </row>
    <row r="160" spans="1:19">
      <c r="A160" s="33" t="s">
        <v>1381</v>
      </c>
      <c r="B160" s="34" t="s">
        <v>1469</v>
      </c>
      <c r="C160" s="34"/>
      <c r="D160" s="98">
        <v>1</v>
      </c>
      <c r="E160" s="4">
        <v>14</v>
      </c>
      <c r="F160" s="4">
        <v>8</v>
      </c>
      <c r="G160" s="4">
        <v>19</v>
      </c>
      <c r="H160" s="34">
        <v>4.4203999999999999</v>
      </c>
      <c r="I160" s="4">
        <v>1E-3</v>
      </c>
      <c r="J160" s="34">
        <v>-27.526199999999999</v>
      </c>
      <c r="K160" s="4">
        <v>2.8E-3</v>
      </c>
      <c r="L160" s="4">
        <v>0.121</v>
      </c>
      <c r="M160" s="4">
        <v>1.2E-2</v>
      </c>
      <c r="N160" s="4">
        <v>-1.4999999999999999E-2</v>
      </c>
      <c r="O160" s="4">
        <v>4.0000000000000002E-4</v>
      </c>
      <c r="P160" s="4">
        <v>101.76</v>
      </c>
      <c r="Q160" s="4">
        <v>0.51</v>
      </c>
      <c r="R160" s="34">
        <f>P160*E160/G160^3</f>
        <v>0.20770374690188076</v>
      </c>
      <c r="S160" s="22">
        <f t="shared" si="1"/>
        <v>1.0409680711473976E-3</v>
      </c>
    </row>
    <row r="161" spans="1:19">
      <c r="A161" s="133" t="s">
        <v>1382</v>
      </c>
      <c r="B161" s="45" t="s">
        <v>1470</v>
      </c>
      <c r="C161" s="48"/>
      <c r="D161" s="173">
        <v>0.25</v>
      </c>
      <c r="E161" s="4">
        <v>14</v>
      </c>
      <c r="F161" s="4">
        <v>8</v>
      </c>
      <c r="G161" s="4">
        <v>19</v>
      </c>
      <c r="H161" s="45">
        <v>6.1501999999999999</v>
      </c>
      <c r="I161" s="4">
        <v>2.0000000000000001E-4</v>
      </c>
      <c r="J161" s="45">
        <v>-35.908099999999997</v>
      </c>
      <c r="K161" s="4">
        <v>5.9999999999999995E-4</v>
      </c>
      <c r="L161" s="4">
        <v>3.2000000000000001E-2</v>
      </c>
      <c r="M161" s="4">
        <v>2E-3</v>
      </c>
      <c r="N161" s="4">
        <v>-5.4999999999999997E-3</v>
      </c>
      <c r="O161" s="4">
        <v>2.0000000000000001E-4</v>
      </c>
      <c r="P161" s="4">
        <v>127.93</v>
      </c>
      <c r="Q161" s="4">
        <v>0.2</v>
      </c>
      <c r="R161" s="45">
        <f>P161*E161/G161^3</f>
        <v>0.2611196967487972</v>
      </c>
      <c r="S161" s="22">
        <f>Q161*E161/G161^3</f>
        <v>4.0822277299897946E-4</v>
      </c>
    </row>
    <row r="162" spans="1:19">
      <c r="A162" s="23" t="s">
        <v>1382</v>
      </c>
      <c r="B162" s="4" t="s">
        <v>1470</v>
      </c>
      <c r="D162" s="83">
        <v>0.5</v>
      </c>
      <c r="E162" s="4">
        <v>14</v>
      </c>
      <c r="F162" s="4">
        <v>8</v>
      </c>
      <c r="G162" s="4">
        <v>19</v>
      </c>
      <c r="H162" s="39">
        <v>5.5945999999999998</v>
      </c>
      <c r="I162" s="4">
        <v>8.0000000000000004E-4</v>
      </c>
      <c r="J162" s="4">
        <v>-32.863799999999998</v>
      </c>
      <c r="K162" s="4">
        <v>2.5999999999999999E-3</v>
      </c>
      <c r="L162" s="4">
        <v>3.2000000000000001E-2</v>
      </c>
      <c r="M162" s="4">
        <v>2E-3</v>
      </c>
      <c r="N162" s="4">
        <v>-7.1000000000000004E-3</v>
      </c>
      <c r="O162" s="4">
        <v>2.0000000000000001E-4</v>
      </c>
      <c r="P162" s="4">
        <v>124.73</v>
      </c>
      <c r="Q162" s="4">
        <v>0.27</v>
      </c>
      <c r="R162" s="4">
        <f t="shared" si="0"/>
        <v>0.25458813238081351</v>
      </c>
      <c r="S162" s="22">
        <f t="shared" si="1"/>
        <v>5.5110074354862231E-4</v>
      </c>
    </row>
    <row r="163" spans="1:19">
      <c r="A163" s="28" t="s">
        <v>1382</v>
      </c>
      <c r="B163" s="29" t="s">
        <v>1470</v>
      </c>
      <c r="C163" s="29"/>
      <c r="D163" s="85">
        <v>0.75</v>
      </c>
      <c r="E163" s="4">
        <v>14</v>
      </c>
      <c r="F163" s="4">
        <v>8</v>
      </c>
      <c r="G163" s="4">
        <v>19</v>
      </c>
      <c r="H163" s="29">
        <v>5.0335999999999999</v>
      </c>
      <c r="I163" s="4">
        <v>8.9999999999999998E-4</v>
      </c>
      <c r="J163" s="29">
        <v>-30.085599999999999</v>
      </c>
      <c r="K163" s="4">
        <v>1.1000000000000001E-3</v>
      </c>
      <c r="L163" s="4">
        <v>5.6000000000000001E-2</v>
      </c>
      <c r="M163" s="4">
        <v>1.4999999999999999E-2</v>
      </c>
      <c r="N163" s="4">
        <v>-9.7000000000000003E-3</v>
      </c>
      <c r="O163" s="4">
        <v>2.0000000000000001E-4</v>
      </c>
      <c r="P163" s="4">
        <v>118.19</v>
      </c>
      <c r="Q163" s="4">
        <v>0.16</v>
      </c>
      <c r="R163" s="29">
        <f t="shared" si="0"/>
        <v>0.24123924770374688</v>
      </c>
      <c r="S163" s="22">
        <f t="shared" si="1"/>
        <v>3.2657821839918356E-4</v>
      </c>
    </row>
    <row r="164" spans="1:19">
      <c r="A164" s="33" t="s">
        <v>1382</v>
      </c>
      <c r="B164" s="34" t="s">
        <v>1470</v>
      </c>
      <c r="C164" s="34"/>
      <c r="D164" s="98">
        <v>1</v>
      </c>
      <c r="E164" s="4">
        <v>14</v>
      </c>
      <c r="F164" s="4">
        <v>8</v>
      </c>
      <c r="G164" s="4">
        <v>19</v>
      </c>
      <c r="H164" s="34">
        <v>4.4642999999999997</v>
      </c>
      <c r="I164" s="4">
        <v>8.0000000000000004E-4</v>
      </c>
      <c r="J164" s="34">
        <v>-27.76</v>
      </c>
      <c r="K164" s="4">
        <v>2.0999999999999999E-3</v>
      </c>
      <c r="L164" s="4">
        <v>0.14199999999999999</v>
      </c>
      <c r="M164" s="4">
        <v>1.4E-2</v>
      </c>
      <c r="N164" s="4">
        <v>-1.6199999999999999E-2</v>
      </c>
      <c r="O164" s="4">
        <v>4.0000000000000002E-4</v>
      </c>
      <c r="P164" s="4">
        <v>103.13</v>
      </c>
      <c r="Q164" s="4">
        <v>0.38</v>
      </c>
      <c r="R164" s="34">
        <f>P164*E164/G164^3</f>
        <v>0.21050007289692374</v>
      </c>
      <c r="S164" s="22">
        <f t="shared" si="1"/>
        <v>7.75623268698061E-4</v>
      </c>
    </row>
    <row r="165" spans="1:19">
      <c r="A165" s="44" t="s">
        <v>1383</v>
      </c>
      <c r="B165" s="45" t="s">
        <v>1471</v>
      </c>
      <c r="C165" s="45"/>
      <c r="D165" s="104">
        <v>0.25</v>
      </c>
      <c r="E165" s="4">
        <v>14</v>
      </c>
      <c r="F165" s="4">
        <v>8</v>
      </c>
      <c r="G165" s="4">
        <v>19</v>
      </c>
      <c r="H165" s="45">
        <v>6.1696</v>
      </c>
      <c r="I165" s="4">
        <v>2.9999999999999997E-4</v>
      </c>
      <c r="J165" s="45">
        <v>-35.712200000000003</v>
      </c>
      <c r="K165" s="4">
        <v>1.1999999999999999E-3</v>
      </c>
      <c r="L165" s="4">
        <v>2.5000000000000001E-2</v>
      </c>
      <c r="M165" s="4">
        <v>3.0000000000000001E-3</v>
      </c>
      <c r="N165" s="4">
        <v>-5.8999999999999999E-3</v>
      </c>
      <c r="O165" s="4">
        <v>1E-4</v>
      </c>
      <c r="P165" s="4">
        <v>127.06</v>
      </c>
      <c r="Q165" s="4">
        <v>0.12</v>
      </c>
      <c r="R165" s="45">
        <f>P165*E165/G165^3</f>
        <v>0.25934392768625164</v>
      </c>
      <c r="S165" s="22">
        <f>Q165*E165/G165^3</f>
        <v>2.4493366379938766E-4</v>
      </c>
    </row>
    <row r="166" spans="1:19">
      <c r="A166" s="23" t="s">
        <v>1383</v>
      </c>
      <c r="B166" s="4" t="s">
        <v>1471</v>
      </c>
      <c r="D166" s="83">
        <v>0.5</v>
      </c>
      <c r="E166" s="4">
        <v>14</v>
      </c>
      <c r="F166" s="4">
        <v>8</v>
      </c>
      <c r="G166" s="4">
        <v>19</v>
      </c>
      <c r="H166" s="4">
        <v>5.6349999999999998</v>
      </c>
      <c r="I166" s="4">
        <v>5.0000000000000001E-4</v>
      </c>
      <c r="J166" s="4">
        <v>-32.548900000000003</v>
      </c>
      <c r="K166" s="4">
        <v>5.9999999999999995E-4</v>
      </c>
      <c r="L166" s="4">
        <v>3.1E-2</v>
      </c>
      <c r="M166" s="4">
        <v>2E-3</v>
      </c>
      <c r="N166" s="4">
        <v>-7.1999999999999998E-3</v>
      </c>
      <c r="O166" s="4">
        <v>2.0000000000000001E-4</v>
      </c>
      <c r="P166" s="4">
        <v>123.19</v>
      </c>
      <c r="Q166" s="4">
        <v>0.2</v>
      </c>
      <c r="R166" s="4">
        <f t="shared" si="0"/>
        <v>0.25144481702872135</v>
      </c>
      <c r="S166" s="22">
        <f t="shared" si="1"/>
        <v>4.0822277299897946E-4</v>
      </c>
    </row>
    <row r="167" spans="1:19">
      <c r="A167" s="28" t="s">
        <v>1383</v>
      </c>
      <c r="B167" s="29" t="s">
        <v>1471</v>
      </c>
      <c r="C167" s="29"/>
      <c r="D167" s="85">
        <v>0.75</v>
      </c>
      <c r="E167" s="4">
        <v>14</v>
      </c>
      <c r="F167" s="4">
        <v>8</v>
      </c>
      <c r="G167" s="4">
        <v>19</v>
      </c>
      <c r="H167" s="29">
        <v>5.1067</v>
      </c>
      <c r="I167" s="4">
        <v>8.0000000000000004E-4</v>
      </c>
      <c r="J167" s="29">
        <v>-29.7911</v>
      </c>
      <c r="K167" s="4">
        <v>2.7000000000000001E-3</v>
      </c>
      <c r="L167" s="4">
        <v>4.2000000000000003E-2</v>
      </c>
      <c r="M167" s="4">
        <v>1.7000000000000001E-2</v>
      </c>
      <c r="N167" s="4">
        <v>-1.0500000000000001E-2</v>
      </c>
      <c r="O167" s="4">
        <v>5.9999999999999995E-4</v>
      </c>
      <c r="P167" s="4">
        <v>113.58</v>
      </c>
      <c r="Q167" s="4">
        <v>0.42</v>
      </c>
      <c r="R167" s="29">
        <f t="shared" si="0"/>
        <v>0.23182971278612041</v>
      </c>
      <c r="S167" s="22">
        <f t="shared" si="1"/>
        <v>8.5726782329785685E-4</v>
      </c>
    </row>
    <row r="168" spans="1:19">
      <c r="A168" s="33" t="s">
        <v>1383</v>
      </c>
      <c r="B168" s="34" t="s">
        <v>1471</v>
      </c>
      <c r="C168" s="34"/>
      <c r="D168" s="98">
        <v>1</v>
      </c>
      <c r="E168" s="4">
        <v>14</v>
      </c>
      <c r="F168" s="4">
        <v>8</v>
      </c>
      <c r="G168" s="4">
        <v>19</v>
      </c>
      <c r="H168" s="34">
        <v>4.6067999999999998</v>
      </c>
      <c r="I168" s="4">
        <v>8.0000000000000004E-4</v>
      </c>
      <c r="J168" s="34">
        <v>-27.757400000000001</v>
      </c>
      <c r="K168" s="4">
        <v>1.6000000000000001E-3</v>
      </c>
      <c r="L168" s="4">
        <v>7.6999999999999999E-2</v>
      </c>
      <c r="M168" s="4">
        <v>8.9999999999999993E-3</v>
      </c>
      <c r="N168" s="4">
        <v>-1.6899999999999998E-2</v>
      </c>
      <c r="O168" s="4">
        <v>1E-4</v>
      </c>
      <c r="P168" s="4">
        <v>94.4</v>
      </c>
      <c r="Q168" s="4">
        <v>0.23</v>
      </c>
      <c r="R168" s="34">
        <f>P168*E168/G168^3</f>
        <v>0.19268114885551832</v>
      </c>
      <c r="S168" s="22">
        <f t="shared" si="1"/>
        <v>4.6945618894882641E-4</v>
      </c>
    </row>
    <row r="169" spans="1:19">
      <c r="A169" s="44" t="s">
        <v>1384</v>
      </c>
      <c r="B169" s="168">
        <v>11111122222222</v>
      </c>
      <c r="C169" s="168" t="s">
        <v>17</v>
      </c>
      <c r="D169" s="104">
        <v>0.25</v>
      </c>
      <c r="E169" s="4">
        <v>14</v>
      </c>
      <c r="F169" s="4">
        <v>8</v>
      </c>
      <c r="G169" s="4">
        <v>19</v>
      </c>
      <c r="H169" s="45">
        <v>6.0888</v>
      </c>
      <c r="I169" s="4">
        <v>4.0000000000000002E-4</v>
      </c>
      <c r="J169" s="45">
        <v>-36.310099999999998</v>
      </c>
      <c r="K169" s="4">
        <v>1.1999999999999999E-3</v>
      </c>
      <c r="L169" s="4">
        <v>6.8000000000000005E-2</v>
      </c>
      <c r="M169" s="4">
        <v>7.0000000000000001E-3</v>
      </c>
      <c r="N169" s="4">
        <v>-6.8999999999999999E-3</v>
      </c>
      <c r="O169" s="4">
        <v>4.0000000000000002E-4</v>
      </c>
      <c r="P169" s="4">
        <v>124.01</v>
      </c>
      <c r="Q169" s="4">
        <v>0.44</v>
      </c>
      <c r="R169" s="45">
        <f>P169*E169/G169^3</f>
        <v>0.25311853039801724</v>
      </c>
      <c r="S169" s="22">
        <f>Q169*E169/G169^3</f>
        <v>8.9809010059775478E-4</v>
      </c>
    </row>
    <row r="170" spans="1:19">
      <c r="A170" s="23" t="s">
        <v>1384</v>
      </c>
      <c r="B170" s="170">
        <v>11111122222222</v>
      </c>
      <c r="C170" s="170" t="s">
        <v>17</v>
      </c>
      <c r="D170" s="83">
        <v>0.5</v>
      </c>
      <c r="E170" s="4">
        <v>14</v>
      </c>
      <c r="F170" s="4">
        <v>8</v>
      </c>
      <c r="G170" s="4">
        <v>19</v>
      </c>
      <c r="H170" s="39">
        <v>5.3897000000000004</v>
      </c>
      <c r="I170" s="4">
        <v>8.0000000000000004E-4</v>
      </c>
      <c r="J170" s="4">
        <v>-35.188699999999997</v>
      </c>
      <c r="K170" s="4">
        <v>1.9E-3</v>
      </c>
      <c r="L170" s="4">
        <v>0.32</v>
      </c>
      <c r="M170" s="4">
        <v>4.2000000000000003E-2</v>
      </c>
      <c r="N170" s="4">
        <v>-1.7000000000000001E-2</v>
      </c>
      <c r="O170" s="4">
        <v>1E-4</v>
      </c>
      <c r="P170" s="4">
        <v>88.43</v>
      </c>
      <c r="Q170" s="4">
        <v>0.48</v>
      </c>
      <c r="R170" s="4">
        <f t="shared" si="0"/>
        <v>0.18049569908149876</v>
      </c>
      <c r="S170" s="22">
        <f t="shared" si="1"/>
        <v>9.7973465519755063E-4</v>
      </c>
    </row>
    <row r="171" spans="1:19">
      <c r="A171" s="133" t="s">
        <v>1385</v>
      </c>
      <c r="B171" s="168">
        <v>11122222222111</v>
      </c>
      <c r="C171" s="168" t="s">
        <v>19</v>
      </c>
      <c r="D171" s="104">
        <v>0.25</v>
      </c>
      <c r="E171" s="4">
        <v>14</v>
      </c>
      <c r="F171" s="4">
        <v>8</v>
      </c>
      <c r="G171" s="4">
        <v>19</v>
      </c>
      <c r="H171" s="45">
        <v>6.0133000000000001</v>
      </c>
      <c r="I171" s="4">
        <v>1E-3</v>
      </c>
      <c r="J171" s="45">
        <v>-35.987499999999997</v>
      </c>
      <c r="K171" s="4">
        <v>1.4E-3</v>
      </c>
      <c r="L171" s="4">
        <v>6.7000000000000004E-2</v>
      </c>
      <c r="M171" s="4">
        <v>0.01</v>
      </c>
      <c r="N171" s="4">
        <v>-6.4999999999999997E-3</v>
      </c>
      <c r="O171" s="4">
        <v>2.0000000000000001E-4</v>
      </c>
      <c r="P171" s="4">
        <v>126.51</v>
      </c>
      <c r="Q171" s="4">
        <v>0.23</v>
      </c>
      <c r="R171" s="45">
        <f>P171*E171/G171^3</f>
        <v>0.25822131506050444</v>
      </c>
      <c r="S171" s="22">
        <f>Q171*E171/G171^3</f>
        <v>4.6945618894882641E-4</v>
      </c>
    </row>
    <row r="172" spans="1:19">
      <c r="A172" s="89" t="s">
        <v>1385</v>
      </c>
      <c r="B172" s="170">
        <v>11122222222111</v>
      </c>
      <c r="C172" s="170" t="s">
        <v>19</v>
      </c>
      <c r="D172" s="83">
        <v>0.5</v>
      </c>
      <c r="E172" s="4">
        <v>14</v>
      </c>
      <c r="F172" s="4">
        <v>8</v>
      </c>
      <c r="G172" s="4">
        <v>19</v>
      </c>
      <c r="H172" s="4">
        <v>5.2651000000000003</v>
      </c>
      <c r="I172" s="4">
        <v>5.0000000000000001E-4</v>
      </c>
      <c r="J172" s="4">
        <v>-33.690100000000001</v>
      </c>
      <c r="K172" s="4">
        <v>2E-3</v>
      </c>
      <c r="L172" s="4">
        <v>0.22700000000000001</v>
      </c>
      <c r="M172" s="4">
        <v>1.7000000000000001E-2</v>
      </c>
      <c r="N172" s="4">
        <v>-1.2E-2</v>
      </c>
      <c r="O172" s="4">
        <v>1E-4</v>
      </c>
      <c r="P172" s="4">
        <v>112.58</v>
      </c>
      <c r="Q172" s="4">
        <v>0.24</v>
      </c>
      <c r="R172" s="4">
        <f t="shared" si="0"/>
        <v>0.22978859892112552</v>
      </c>
      <c r="S172" s="22">
        <f t="shared" si="1"/>
        <v>4.8986732759877531E-4</v>
      </c>
    </row>
    <row r="173" spans="1:19">
      <c r="A173" s="133" t="s">
        <v>1386</v>
      </c>
      <c r="B173" s="168">
        <v>22221111112222</v>
      </c>
      <c r="C173" s="168" t="s">
        <v>30</v>
      </c>
      <c r="D173" s="104">
        <v>0.25</v>
      </c>
      <c r="E173" s="4">
        <v>14</v>
      </c>
      <c r="F173" s="4">
        <v>8</v>
      </c>
      <c r="G173" s="4">
        <v>19</v>
      </c>
      <c r="H173" s="45">
        <v>6.1988000000000003</v>
      </c>
      <c r="I173" s="4">
        <v>5.0000000000000001E-4</v>
      </c>
      <c r="J173" s="45">
        <v>-35.736499999999999</v>
      </c>
      <c r="K173" s="4">
        <v>1.4E-3</v>
      </c>
      <c r="L173" s="4">
        <v>2.5000000000000001E-2</v>
      </c>
      <c r="M173" s="4">
        <v>5.0000000000000001E-3</v>
      </c>
      <c r="N173" s="4">
        <v>-5.8999999999999999E-3</v>
      </c>
      <c r="O173" s="4">
        <v>2.0000000000000001E-4</v>
      </c>
      <c r="P173" s="4">
        <v>126.32</v>
      </c>
      <c r="Q173" s="4">
        <v>0.19</v>
      </c>
      <c r="R173" s="45">
        <f>P173*E173/G173^3</f>
        <v>0.25783350342615541</v>
      </c>
      <c r="S173" s="22">
        <f>Q173*E173/G173^3</f>
        <v>3.878116343490305E-4</v>
      </c>
    </row>
    <row r="174" spans="1:19">
      <c r="A174" s="89" t="s">
        <v>1386</v>
      </c>
      <c r="B174" s="170">
        <v>22221111112222</v>
      </c>
      <c r="C174" s="170" t="s">
        <v>30</v>
      </c>
      <c r="D174" s="83">
        <v>0.5</v>
      </c>
      <c r="E174" s="4">
        <v>14</v>
      </c>
      <c r="F174" s="4">
        <v>8</v>
      </c>
      <c r="G174" s="4">
        <v>19</v>
      </c>
      <c r="H174" s="4">
        <v>5.7123999999999997</v>
      </c>
      <c r="I174" s="4">
        <v>8.0000000000000004E-4</v>
      </c>
      <c r="J174" s="4">
        <v>-32.838000000000001</v>
      </c>
      <c r="K174" s="4">
        <v>1.9E-3</v>
      </c>
      <c r="L174" s="4">
        <v>2.4E-2</v>
      </c>
      <c r="M174" s="4">
        <v>1E-3</v>
      </c>
      <c r="N174" s="4">
        <v>-7.4999999999999997E-3</v>
      </c>
      <c r="O174" s="4">
        <v>2.0000000000000001E-4</v>
      </c>
      <c r="P174" s="4">
        <v>119.43</v>
      </c>
      <c r="Q174" s="4">
        <v>0.17</v>
      </c>
      <c r="R174" s="4">
        <f t="shared" si="0"/>
        <v>0.24377022889634056</v>
      </c>
      <c r="S174" s="22">
        <f t="shared" si="1"/>
        <v>3.4698935704913258E-4</v>
      </c>
    </row>
    <row r="175" spans="1:19" ht="17" thickBot="1">
      <c r="A175" s="92" t="s">
        <v>1386</v>
      </c>
      <c r="B175" s="171">
        <v>22221111112222</v>
      </c>
      <c r="C175" s="171" t="s">
        <v>30</v>
      </c>
      <c r="D175" s="85">
        <v>0.75</v>
      </c>
      <c r="E175" s="4">
        <v>14</v>
      </c>
      <c r="F175" s="4">
        <v>8</v>
      </c>
      <c r="G175" s="4">
        <v>19</v>
      </c>
      <c r="H175" s="29">
        <v>5.3124000000000002</v>
      </c>
      <c r="I175" s="4">
        <v>6.9999999999999999E-4</v>
      </c>
      <c r="J175" s="29">
        <v>-30.7879</v>
      </c>
      <c r="K175" s="4">
        <v>1.6000000000000001E-3</v>
      </c>
      <c r="L175" s="4">
        <v>3.5000000000000003E-2</v>
      </c>
      <c r="M175" s="4">
        <v>0.01</v>
      </c>
      <c r="N175" s="4">
        <v>-1.0800000000000001E-2</v>
      </c>
      <c r="O175" s="4">
        <v>1E-4</v>
      </c>
      <c r="P175" s="4">
        <v>105.19</v>
      </c>
      <c r="Q175" s="4">
        <v>0.04</v>
      </c>
      <c r="R175" s="29">
        <f t="shared" si="0"/>
        <v>0.21470476745881323</v>
      </c>
      <c r="S175" s="22">
        <f t="shared" si="1"/>
        <v>8.164455459979589E-5</v>
      </c>
    </row>
    <row r="176" spans="1:19">
      <c r="A176" s="151" t="s">
        <v>1387</v>
      </c>
      <c r="B176" s="145" t="s">
        <v>1475</v>
      </c>
      <c r="C176" s="145"/>
      <c r="D176" s="154">
        <v>0.25</v>
      </c>
      <c r="E176" s="150">
        <v>14</v>
      </c>
      <c r="F176" s="150">
        <v>9</v>
      </c>
      <c r="G176" s="150">
        <v>19</v>
      </c>
      <c r="H176" s="145">
        <v>6.3498999999999999</v>
      </c>
      <c r="I176" s="150">
        <v>8.9999999999999998E-4</v>
      </c>
      <c r="J176" s="145">
        <v>-37.445599999999999</v>
      </c>
      <c r="K176" s="150">
        <v>1.6000000000000001E-3</v>
      </c>
      <c r="L176" s="150">
        <v>3.5999999999999997E-2</v>
      </c>
      <c r="M176" s="150">
        <v>7.0000000000000001E-3</v>
      </c>
      <c r="N176" s="150">
        <v>-6.0000000000000001E-3</v>
      </c>
      <c r="O176" s="150">
        <v>1E-4</v>
      </c>
      <c r="P176" s="150">
        <v>127.42</v>
      </c>
      <c r="Q176" s="150">
        <v>0.16</v>
      </c>
      <c r="R176" s="145">
        <f>P176*E176/G176^3</f>
        <v>0.26007872867764981</v>
      </c>
      <c r="S176" s="144">
        <f>Q176*E176/G176^3</f>
        <v>3.2657821839918356E-4</v>
      </c>
    </row>
    <row r="177" spans="1:19">
      <c r="A177" s="23" t="s">
        <v>1387</v>
      </c>
      <c r="B177" s="4" t="s">
        <v>1475</v>
      </c>
      <c r="D177" s="83">
        <v>0.5</v>
      </c>
      <c r="E177" s="4">
        <v>14</v>
      </c>
      <c r="F177" s="4">
        <v>9</v>
      </c>
      <c r="G177" s="4">
        <v>19</v>
      </c>
      <c r="H177" s="4">
        <v>5.9802</v>
      </c>
      <c r="I177" s="4">
        <v>8.0000000000000004E-4</v>
      </c>
      <c r="J177" s="4">
        <v>-36.0291</v>
      </c>
      <c r="K177" s="4">
        <v>6.9999999999999999E-4</v>
      </c>
      <c r="L177" s="4">
        <v>9.7000000000000003E-2</v>
      </c>
      <c r="M177" s="4">
        <v>1.0999999999999999E-2</v>
      </c>
      <c r="N177" s="4">
        <v>-7.6E-3</v>
      </c>
      <c r="O177" s="4">
        <v>1E-4</v>
      </c>
      <c r="P177" s="4">
        <v>123.55</v>
      </c>
      <c r="Q177" s="4">
        <v>0.1</v>
      </c>
      <c r="R177" s="4">
        <f t="shared" si="0"/>
        <v>0.25217961802011957</v>
      </c>
      <c r="S177" s="22">
        <f t="shared" si="1"/>
        <v>2.0411138649948973E-4</v>
      </c>
    </row>
    <row r="178" spans="1:19">
      <c r="A178" s="28" t="s">
        <v>1387</v>
      </c>
      <c r="B178" s="29" t="s">
        <v>1475</v>
      </c>
      <c r="C178" s="29"/>
      <c r="D178" s="85">
        <v>0.75</v>
      </c>
      <c r="E178" s="4">
        <v>14</v>
      </c>
      <c r="F178" s="4">
        <v>9</v>
      </c>
      <c r="G178" s="4">
        <v>19</v>
      </c>
      <c r="H178" s="41">
        <v>5.5857000000000001</v>
      </c>
      <c r="I178" s="4">
        <v>5.0000000000000001E-4</v>
      </c>
      <c r="J178" s="29">
        <v>-35.016500000000001</v>
      </c>
      <c r="K178" s="4">
        <v>1.5E-3</v>
      </c>
      <c r="L178" s="4">
        <v>0.16700000000000001</v>
      </c>
      <c r="M178" s="4">
        <v>1.7000000000000001E-2</v>
      </c>
      <c r="N178" s="4">
        <v>-1.03E-2</v>
      </c>
      <c r="O178" s="4">
        <v>1E-4</v>
      </c>
      <c r="P178" s="4">
        <v>114.87</v>
      </c>
      <c r="Q178" s="4">
        <v>0.12</v>
      </c>
      <c r="R178" s="29">
        <f t="shared" si="0"/>
        <v>0.23446274967196384</v>
      </c>
      <c r="S178" s="22">
        <f t="shared" si="1"/>
        <v>2.4493366379938766E-4</v>
      </c>
    </row>
    <row r="179" spans="1:19">
      <c r="A179" s="44" t="s">
        <v>1388</v>
      </c>
      <c r="B179" s="45" t="s">
        <v>1476</v>
      </c>
      <c r="C179" s="45"/>
      <c r="D179" s="104">
        <v>0.25</v>
      </c>
      <c r="E179" s="4">
        <v>14</v>
      </c>
      <c r="F179" s="4">
        <v>9</v>
      </c>
      <c r="G179" s="4">
        <v>19</v>
      </c>
      <c r="H179" s="45">
        <v>6.4427000000000003</v>
      </c>
      <c r="I179" s="4">
        <v>1E-3</v>
      </c>
      <c r="J179" s="45">
        <v>-37.365400000000001</v>
      </c>
      <c r="K179" s="4">
        <v>1.4E-3</v>
      </c>
      <c r="L179" s="4">
        <v>2.3E-2</v>
      </c>
      <c r="M179" s="4">
        <v>6.0000000000000001E-3</v>
      </c>
      <c r="N179" s="4">
        <v>-5.4999999999999997E-3</v>
      </c>
      <c r="O179" s="4">
        <v>1E-4</v>
      </c>
      <c r="P179" s="4">
        <v>127.63</v>
      </c>
      <c r="Q179" s="4">
        <v>0.11</v>
      </c>
      <c r="R179" s="45">
        <f>P179*E179/G179^3</f>
        <v>0.26050736258929874</v>
      </c>
      <c r="S179" s="22">
        <f>Q179*E179/G179^3</f>
        <v>2.2452252514943869E-4</v>
      </c>
    </row>
    <row r="180" spans="1:19">
      <c r="A180" s="23" t="s">
        <v>1388</v>
      </c>
      <c r="B180" s="4" t="s">
        <v>1476</v>
      </c>
      <c r="D180" s="83">
        <v>0.5</v>
      </c>
      <c r="E180" s="4">
        <v>14</v>
      </c>
      <c r="F180" s="4">
        <v>9</v>
      </c>
      <c r="G180" s="4">
        <v>19</v>
      </c>
      <c r="H180" s="4">
        <v>6.1811999999999996</v>
      </c>
      <c r="I180" s="4">
        <v>5.0000000000000001E-4</v>
      </c>
      <c r="J180" s="4">
        <v>-35.776600000000002</v>
      </c>
      <c r="K180" s="4">
        <v>8.9999999999999998E-4</v>
      </c>
      <c r="L180" s="4">
        <v>3.2000000000000001E-2</v>
      </c>
      <c r="M180" s="4">
        <v>5.0000000000000001E-3</v>
      </c>
      <c r="N180" s="4">
        <v>-6.0000000000000001E-3</v>
      </c>
      <c r="O180" s="4">
        <v>1E-4</v>
      </c>
      <c r="P180" s="4">
        <v>125.42</v>
      </c>
      <c r="Q180" s="4">
        <v>0.16</v>
      </c>
      <c r="R180" s="4">
        <f t="shared" si="0"/>
        <v>0.25599650094766002</v>
      </c>
      <c r="S180" s="22">
        <f t="shared" si="1"/>
        <v>3.2657821839918356E-4</v>
      </c>
    </row>
    <row r="181" spans="1:19">
      <c r="A181" s="28" t="s">
        <v>1388</v>
      </c>
      <c r="B181" s="29" t="s">
        <v>1476</v>
      </c>
      <c r="C181" s="29"/>
      <c r="D181" s="85">
        <v>0.75</v>
      </c>
      <c r="E181" s="4">
        <v>14</v>
      </c>
      <c r="F181" s="4">
        <v>9</v>
      </c>
      <c r="G181" s="4">
        <v>19</v>
      </c>
      <c r="H181" s="29">
        <v>5.9222999999999999</v>
      </c>
      <c r="I181" s="4">
        <v>8.9999999999999998E-4</v>
      </c>
      <c r="J181" s="29">
        <v>-34.412999999999997</v>
      </c>
      <c r="K181" s="4">
        <v>1.1999999999999999E-3</v>
      </c>
      <c r="L181" s="4">
        <v>3.5000000000000003E-2</v>
      </c>
      <c r="M181" s="4">
        <v>7.0000000000000001E-3</v>
      </c>
      <c r="N181" s="4">
        <v>-7.1999999999999998E-3</v>
      </c>
      <c r="O181" s="4">
        <v>2.0000000000000001E-4</v>
      </c>
      <c r="P181" s="4">
        <v>120.91</v>
      </c>
      <c r="Q181" s="4">
        <v>0.14000000000000001</v>
      </c>
      <c r="R181" s="29">
        <f t="shared" ref="R181:R182" si="5">P181*E181/G181^3</f>
        <v>0.24679107741653303</v>
      </c>
      <c r="S181" s="22">
        <f t="shared" ref="S181:S182" si="6">Q181*E181/G181^3</f>
        <v>2.8575594109928564E-4</v>
      </c>
    </row>
    <row r="182" spans="1:19">
      <c r="A182" s="33" t="s">
        <v>1388</v>
      </c>
      <c r="B182" s="34" t="s">
        <v>1476</v>
      </c>
      <c r="C182" s="34"/>
      <c r="D182" s="98">
        <v>1</v>
      </c>
      <c r="E182" s="4">
        <v>14</v>
      </c>
      <c r="F182" s="4">
        <v>9</v>
      </c>
      <c r="G182" s="4">
        <v>19</v>
      </c>
      <c r="H182" s="38">
        <v>5.673</v>
      </c>
      <c r="I182" s="39">
        <v>6.9999999999999999E-4</v>
      </c>
      <c r="J182" s="38">
        <v>-33.332700000000003</v>
      </c>
      <c r="K182" s="39">
        <v>1.5E-3</v>
      </c>
      <c r="L182" s="39">
        <v>4.9000000000000002E-2</v>
      </c>
      <c r="M182" s="39">
        <v>2E-3</v>
      </c>
      <c r="N182" s="39">
        <v>-8.6E-3</v>
      </c>
      <c r="O182" s="39">
        <v>1E-4</v>
      </c>
      <c r="P182" s="39">
        <v>114.42</v>
      </c>
      <c r="Q182" s="39">
        <v>0.12</v>
      </c>
      <c r="R182" s="34">
        <f t="shared" si="5"/>
        <v>0.23354424843271615</v>
      </c>
      <c r="S182" s="22">
        <f t="shared" si="6"/>
        <v>2.4493366379938766E-4</v>
      </c>
    </row>
    <row r="183" spans="1:19">
      <c r="A183" s="44" t="s">
        <v>1389</v>
      </c>
      <c r="B183" s="45" t="s">
        <v>1477</v>
      </c>
      <c r="C183" s="45"/>
      <c r="D183" s="104">
        <v>0.25</v>
      </c>
      <c r="E183" s="4">
        <v>14</v>
      </c>
      <c r="F183" s="4">
        <v>9</v>
      </c>
      <c r="G183" s="4">
        <v>19</v>
      </c>
      <c r="H183" s="45">
        <v>6.3787000000000003</v>
      </c>
      <c r="I183" s="4">
        <v>8.0000000000000004E-4</v>
      </c>
      <c r="J183" s="45">
        <v>-37.281399999999998</v>
      </c>
      <c r="K183" s="4">
        <v>1.1000000000000001E-3</v>
      </c>
      <c r="L183" s="4">
        <v>3.1E-2</v>
      </c>
      <c r="M183" s="4">
        <v>8.9999999999999993E-3</v>
      </c>
      <c r="N183" s="4">
        <v>-5.5999999999999999E-3</v>
      </c>
      <c r="O183" s="4">
        <v>2.0000000000000001E-4</v>
      </c>
      <c r="P183" s="4">
        <v>127.75</v>
      </c>
      <c r="Q183" s="4">
        <v>0.24</v>
      </c>
      <c r="R183" s="45">
        <f>P183*E183/G183^3</f>
        <v>0.26075229625309809</v>
      </c>
      <c r="S183" s="22">
        <f>Q183*E183/G183^3</f>
        <v>4.8986732759877531E-4</v>
      </c>
    </row>
    <row r="184" spans="1:19">
      <c r="A184" s="23" t="s">
        <v>1389</v>
      </c>
      <c r="B184" s="4" t="s">
        <v>1477</v>
      </c>
      <c r="D184" s="83">
        <v>0.5</v>
      </c>
      <c r="E184" s="4">
        <v>14</v>
      </c>
      <c r="F184" s="4">
        <v>9</v>
      </c>
      <c r="G184" s="4">
        <v>19</v>
      </c>
      <c r="H184" s="4">
        <v>6.0500999999999996</v>
      </c>
      <c r="I184" s="4">
        <v>6.9999999999999999E-4</v>
      </c>
      <c r="J184" s="4">
        <v>-35.619999999999997</v>
      </c>
      <c r="K184" s="4">
        <v>5.0000000000000001E-4</v>
      </c>
      <c r="L184" s="4">
        <v>4.5999999999999999E-2</v>
      </c>
      <c r="M184" s="4">
        <v>1.2E-2</v>
      </c>
      <c r="N184" s="4">
        <v>-6.7000000000000002E-3</v>
      </c>
      <c r="O184" s="4">
        <v>2.0000000000000001E-4</v>
      </c>
      <c r="P184" s="4">
        <v>125.1</v>
      </c>
      <c r="Q184" s="4">
        <v>0.2</v>
      </c>
      <c r="R184" s="4">
        <f t="shared" ref="R184:R260" si="7">P184*E184/G184^3</f>
        <v>0.2553433445108616</v>
      </c>
      <c r="S184" s="22">
        <f t="shared" ref="S184:S260" si="8">Q184*E184/G184^3</f>
        <v>4.0822277299897946E-4</v>
      </c>
    </row>
    <row r="185" spans="1:19">
      <c r="A185" s="28" t="s">
        <v>1389</v>
      </c>
      <c r="B185" s="29" t="s">
        <v>1477</v>
      </c>
      <c r="C185" s="29"/>
      <c r="D185" s="85">
        <v>0.75</v>
      </c>
      <c r="E185" s="4">
        <v>14</v>
      </c>
      <c r="F185" s="4">
        <v>9</v>
      </c>
      <c r="G185" s="4">
        <v>19</v>
      </c>
      <c r="H185" s="29">
        <v>5.7157</v>
      </c>
      <c r="I185" s="4">
        <v>5.0000000000000001E-4</v>
      </c>
      <c r="J185" s="29">
        <v>-34.213299999999997</v>
      </c>
      <c r="K185" s="4">
        <v>1.1000000000000001E-3</v>
      </c>
      <c r="L185" s="4">
        <v>7.6999999999999999E-2</v>
      </c>
      <c r="M185" s="4">
        <v>8.9999999999999993E-3</v>
      </c>
      <c r="N185" s="4">
        <v>-8.3000000000000001E-3</v>
      </c>
      <c r="O185" s="4">
        <v>2.9999999999999997E-4</v>
      </c>
      <c r="P185" s="4">
        <v>119.86</v>
      </c>
      <c r="Q185" s="4">
        <v>0.28999999999999998</v>
      </c>
      <c r="R185" s="29">
        <f t="shared" si="7"/>
        <v>0.24464790785828838</v>
      </c>
      <c r="S185" s="22">
        <f t="shared" si="8"/>
        <v>5.9192302084852013E-4</v>
      </c>
    </row>
    <row r="186" spans="1:19">
      <c r="A186" s="33" t="s">
        <v>1389</v>
      </c>
      <c r="B186" s="34" t="s">
        <v>1477</v>
      </c>
      <c r="C186" s="34"/>
      <c r="D186" s="98">
        <v>1</v>
      </c>
      <c r="E186" s="4">
        <v>14</v>
      </c>
      <c r="F186" s="4">
        <v>9</v>
      </c>
      <c r="G186" s="4">
        <v>19</v>
      </c>
      <c r="H186" s="34">
        <v>5.3749000000000002</v>
      </c>
      <c r="I186" s="4">
        <v>5.9999999999999995E-4</v>
      </c>
      <c r="J186" s="34">
        <v>-33.165799999999997</v>
      </c>
      <c r="K186" s="4">
        <v>1.6000000000000001E-3</v>
      </c>
      <c r="L186" s="4">
        <v>0.127</v>
      </c>
      <c r="M186" s="4">
        <v>1.2999999999999999E-2</v>
      </c>
      <c r="N186" s="4">
        <v>-1.09E-2</v>
      </c>
      <c r="O186" s="4">
        <v>2.9999999999999997E-4</v>
      </c>
      <c r="P186" s="4">
        <v>110.75</v>
      </c>
      <c r="Q186" s="4">
        <v>0.46</v>
      </c>
      <c r="R186" s="34">
        <f t="shared" si="7"/>
        <v>0.22605336054818487</v>
      </c>
      <c r="S186" s="22">
        <f t="shared" si="8"/>
        <v>9.3891237789765281E-4</v>
      </c>
    </row>
    <row r="187" spans="1:19">
      <c r="A187" s="44" t="s">
        <v>1390</v>
      </c>
      <c r="B187" s="45" t="s">
        <v>1478</v>
      </c>
      <c r="C187" s="45"/>
      <c r="D187" s="104">
        <v>0.25</v>
      </c>
      <c r="E187" s="4">
        <v>14</v>
      </c>
      <c r="F187" s="4">
        <v>9</v>
      </c>
      <c r="G187" s="4">
        <v>19</v>
      </c>
      <c r="H187" s="45">
        <v>6.3654999999999999</v>
      </c>
      <c r="I187" s="4">
        <v>5.0000000000000001E-4</v>
      </c>
      <c r="J187" s="45">
        <v>-37.598799999999997</v>
      </c>
      <c r="K187" s="4">
        <v>1.5E-3</v>
      </c>
      <c r="L187" s="4">
        <v>4.1000000000000002E-2</v>
      </c>
      <c r="M187" s="4">
        <v>8.9999999999999993E-3</v>
      </c>
      <c r="N187" s="4">
        <v>-5.7000000000000002E-3</v>
      </c>
      <c r="O187" s="4">
        <v>1E-4</v>
      </c>
      <c r="P187" s="4">
        <v>127.62</v>
      </c>
      <c r="Q187" s="4">
        <v>0.15</v>
      </c>
      <c r="R187" s="45">
        <f>P187*E187/G187^3</f>
        <v>0.26048695145064882</v>
      </c>
      <c r="S187" s="22">
        <f>Q187*E187/G187^3</f>
        <v>3.061670797492346E-4</v>
      </c>
    </row>
    <row r="188" spans="1:19">
      <c r="A188" s="23" t="s">
        <v>1390</v>
      </c>
      <c r="B188" s="4" t="s">
        <v>1478</v>
      </c>
      <c r="D188" s="83">
        <v>0.5</v>
      </c>
      <c r="E188" s="4">
        <v>14</v>
      </c>
      <c r="F188" s="4">
        <v>9</v>
      </c>
      <c r="G188" s="4">
        <v>19</v>
      </c>
      <c r="H188" s="4">
        <v>6.0136000000000003</v>
      </c>
      <c r="I188" s="4">
        <v>8.0000000000000004E-4</v>
      </c>
      <c r="J188" s="4">
        <v>-36.327800000000003</v>
      </c>
      <c r="K188" s="4">
        <v>1.4E-3</v>
      </c>
      <c r="L188" s="4">
        <v>7.0999999999999994E-2</v>
      </c>
      <c r="M188" s="4">
        <v>8.9999999999999993E-3</v>
      </c>
      <c r="N188" s="4">
        <v>-7.0000000000000001E-3</v>
      </c>
      <c r="O188" s="4">
        <v>2.0000000000000001E-4</v>
      </c>
      <c r="P188" s="4">
        <v>123.99</v>
      </c>
      <c r="Q188" s="4">
        <v>0.36</v>
      </c>
      <c r="R188" s="4">
        <f t="shared" si="7"/>
        <v>0.25307770812071728</v>
      </c>
      <c r="S188" s="22">
        <f t="shared" si="8"/>
        <v>7.3480099139816297E-4</v>
      </c>
    </row>
    <row r="189" spans="1:19">
      <c r="A189" s="28" t="s">
        <v>1390</v>
      </c>
      <c r="B189" s="29" t="s">
        <v>1478</v>
      </c>
      <c r="C189" s="29"/>
      <c r="D189" s="85">
        <v>0.75</v>
      </c>
      <c r="E189" s="4">
        <v>14</v>
      </c>
      <c r="F189" s="4">
        <v>9</v>
      </c>
      <c r="G189" s="4">
        <v>19</v>
      </c>
      <c r="H189" s="41">
        <v>5.6340000000000003</v>
      </c>
      <c r="I189" s="4">
        <v>5.0000000000000001E-4</v>
      </c>
      <c r="J189" s="29">
        <v>-35.450299999999999</v>
      </c>
      <c r="K189" s="4">
        <v>1.6000000000000001E-3</v>
      </c>
      <c r="L189" s="4">
        <v>0.158</v>
      </c>
      <c r="M189" s="4">
        <v>5.0000000000000001E-3</v>
      </c>
      <c r="N189" s="4">
        <v>-1.0200000000000001E-2</v>
      </c>
      <c r="O189" s="4">
        <v>1E-4</v>
      </c>
      <c r="P189" s="4">
        <v>114.79</v>
      </c>
      <c r="Q189" s="4">
        <v>0.14000000000000001</v>
      </c>
      <c r="R189" s="29">
        <f t="shared" si="7"/>
        <v>0.23429946056276427</v>
      </c>
      <c r="S189" s="22">
        <f t="shared" si="8"/>
        <v>2.8575594109928564E-4</v>
      </c>
    </row>
    <row r="190" spans="1:19">
      <c r="A190" s="44" t="s">
        <v>1391</v>
      </c>
      <c r="B190" s="45" t="s">
        <v>1479</v>
      </c>
      <c r="C190" s="45"/>
      <c r="D190" s="104">
        <v>0.25</v>
      </c>
      <c r="E190" s="4">
        <v>14</v>
      </c>
      <c r="F190" s="4">
        <v>9</v>
      </c>
      <c r="G190" s="4">
        <v>19</v>
      </c>
      <c r="H190" s="45">
        <v>6.4184999999999999</v>
      </c>
      <c r="I190" s="4">
        <v>2.0000000000000001E-4</v>
      </c>
      <c r="J190" s="45">
        <v>-37.4086</v>
      </c>
      <c r="K190" s="4">
        <v>1.8E-3</v>
      </c>
      <c r="L190" s="4">
        <v>2.5000000000000001E-2</v>
      </c>
      <c r="M190" s="4">
        <v>3.0000000000000001E-3</v>
      </c>
      <c r="N190" s="4">
        <v>-5.4000000000000003E-3</v>
      </c>
      <c r="O190" s="4">
        <v>1E-4</v>
      </c>
      <c r="P190" s="4">
        <v>127.56</v>
      </c>
      <c r="Q190" s="4">
        <v>0.06</v>
      </c>
      <c r="R190" s="45">
        <f>P190*E190/G190^3</f>
        <v>0.26036448461874911</v>
      </c>
      <c r="S190" s="22">
        <f>Q190*E190/G190^3</f>
        <v>1.2246683189969383E-4</v>
      </c>
    </row>
    <row r="191" spans="1:19">
      <c r="A191" s="23" t="s">
        <v>1391</v>
      </c>
      <c r="B191" s="4" t="s">
        <v>1479</v>
      </c>
      <c r="D191" s="83">
        <v>0.5</v>
      </c>
      <c r="E191" s="4">
        <v>14</v>
      </c>
      <c r="F191" s="4">
        <v>9</v>
      </c>
      <c r="G191" s="4">
        <v>19</v>
      </c>
      <c r="H191" s="4">
        <v>6.1238000000000001</v>
      </c>
      <c r="I191" s="4">
        <v>8.0000000000000004E-4</v>
      </c>
      <c r="J191" s="4">
        <v>-35.903399999999998</v>
      </c>
      <c r="K191" s="4">
        <v>4.0000000000000002E-4</v>
      </c>
      <c r="L191" s="4">
        <v>4.4999999999999998E-2</v>
      </c>
      <c r="M191" s="4">
        <v>8.9999999999999993E-3</v>
      </c>
      <c r="N191" s="4">
        <v>-6.4999999999999997E-3</v>
      </c>
      <c r="O191" s="4">
        <v>1E-4</v>
      </c>
      <c r="P191" s="4">
        <v>124.17</v>
      </c>
      <c r="Q191" s="4">
        <v>0.17</v>
      </c>
      <c r="R191" s="4">
        <f t="shared" si="7"/>
        <v>0.25344510861641639</v>
      </c>
      <c r="S191" s="22">
        <f t="shared" si="8"/>
        <v>3.4698935704913258E-4</v>
      </c>
    </row>
    <row r="192" spans="1:19">
      <c r="A192" s="28" t="s">
        <v>1391</v>
      </c>
      <c r="B192" s="29" t="s">
        <v>1479</v>
      </c>
      <c r="C192" s="29"/>
      <c r="D192" s="85">
        <v>0.75</v>
      </c>
      <c r="E192" s="4">
        <v>14</v>
      </c>
      <c r="F192" s="4">
        <v>9</v>
      </c>
      <c r="G192" s="4">
        <v>19</v>
      </c>
      <c r="H192" s="29">
        <v>5.8205999999999998</v>
      </c>
      <c r="I192" s="4">
        <v>6.9999999999999999E-4</v>
      </c>
      <c r="J192" s="29">
        <v>-34.682099999999998</v>
      </c>
      <c r="K192" s="4">
        <v>1.1999999999999999E-3</v>
      </c>
      <c r="L192" s="4">
        <v>7.4999999999999997E-2</v>
      </c>
      <c r="M192" s="4">
        <v>0.01</v>
      </c>
      <c r="N192" s="4">
        <v>-8.8000000000000005E-3</v>
      </c>
      <c r="O192" s="4">
        <v>2.0000000000000001E-4</v>
      </c>
      <c r="P192" s="4">
        <v>116.82</v>
      </c>
      <c r="Q192" s="4">
        <v>0.25</v>
      </c>
      <c r="R192" s="29">
        <f t="shared" si="7"/>
        <v>0.2384429217087039</v>
      </c>
      <c r="S192" s="22">
        <f t="shared" si="8"/>
        <v>5.1027846624872428E-4</v>
      </c>
    </row>
    <row r="193" spans="1:19">
      <c r="A193" s="33" t="s">
        <v>1391</v>
      </c>
      <c r="B193" s="34" t="s">
        <v>1479</v>
      </c>
      <c r="C193" s="34"/>
      <c r="D193" s="98">
        <v>1</v>
      </c>
      <c r="E193" s="4">
        <v>14</v>
      </c>
      <c r="F193" s="4">
        <v>9</v>
      </c>
      <c r="G193" s="4">
        <v>19</v>
      </c>
      <c r="H193" s="34">
        <v>5.4981</v>
      </c>
      <c r="I193" s="4">
        <v>6.9999999999999999E-4</v>
      </c>
      <c r="J193" s="34">
        <v>-33.884399999999999</v>
      </c>
      <c r="K193" s="4">
        <v>2E-3</v>
      </c>
      <c r="L193" s="4">
        <v>0.14699999999999999</v>
      </c>
      <c r="M193" s="4">
        <v>1.2999999999999999E-2</v>
      </c>
      <c r="N193" s="4">
        <v>-1.34E-2</v>
      </c>
      <c r="O193" s="4">
        <v>2.0000000000000001E-4</v>
      </c>
      <c r="P193" s="4">
        <v>102.37</v>
      </c>
      <c r="Q193" s="4">
        <v>0.27</v>
      </c>
      <c r="R193" s="34">
        <f t="shared" si="7"/>
        <v>0.20894882635952763</v>
      </c>
      <c r="S193" s="22">
        <f t="shared" si="8"/>
        <v>5.5110074354862231E-4</v>
      </c>
    </row>
    <row r="194" spans="1:19">
      <c r="A194" s="44" t="s">
        <v>1392</v>
      </c>
      <c r="B194" s="45" t="s">
        <v>1480</v>
      </c>
      <c r="C194" s="45"/>
      <c r="D194" s="104">
        <v>0.25</v>
      </c>
      <c r="E194" s="4">
        <v>14</v>
      </c>
      <c r="F194" s="4">
        <v>9</v>
      </c>
      <c r="G194" s="4">
        <v>19</v>
      </c>
      <c r="H194" s="45">
        <v>6.3905000000000003</v>
      </c>
      <c r="I194" s="4">
        <v>4.0000000000000002E-4</v>
      </c>
      <c r="J194" s="45">
        <v>-37.5336</v>
      </c>
      <c r="K194" s="4">
        <v>1.4E-3</v>
      </c>
      <c r="L194" s="4">
        <v>3.6999999999999998E-2</v>
      </c>
      <c r="M194" s="4">
        <v>4.0000000000000001E-3</v>
      </c>
      <c r="N194" s="4">
        <v>-5.7000000000000002E-3</v>
      </c>
      <c r="O194" s="4">
        <v>2.9999999999999997E-4</v>
      </c>
      <c r="P194" s="4">
        <v>127.75</v>
      </c>
      <c r="Q194" s="4">
        <v>0.28000000000000003</v>
      </c>
      <c r="R194" s="45">
        <f>P194*E194/G194^3</f>
        <v>0.26075229625309809</v>
      </c>
      <c r="S194" s="22">
        <f>Q194*E194/G194^3</f>
        <v>5.7151188219857127E-4</v>
      </c>
    </row>
    <row r="195" spans="1:19">
      <c r="A195" s="23" t="s">
        <v>1392</v>
      </c>
      <c r="B195" s="4" t="s">
        <v>1480</v>
      </c>
      <c r="D195" s="83">
        <v>0.5</v>
      </c>
      <c r="E195" s="4">
        <v>14</v>
      </c>
      <c r="F195" s="4">
        <v>9</v>
      </c>
      <c r="G195" s="4">
        <v>19</v>
      </c>
      <c r="H195" s="4">
        <v>6.0736999999999997</v>
      </c>
      <c r="I195" s="4">
        <v>4.0000000000000002E-4</v>
      </c>
      <c r="J195" s="4">
        <v>-36.083100000000002</v>
      </c>
      <c r="K195" s="4">
        <v>2.0999999999999999E-3</v>
      </c>
      <c r="L195" s="4">
        <v>4.2999999999999997E-2</v>
      </c>
      <c r="M195" s="4">
        <v>8.0000000000000002E-3</v>
      </c>
      <c r="N195" s="4">
        <v>-6.4000000000000003E-3</v>
      </c>
      <c r="O195" s="4">
        <v>2.9999999999999997E-4</v>
      </c>
      <c r="P195" s="4">
        <v>126.03</v>
      </c>
      <c r="Q195" s="4">
        <v>0.25</v>
      </c>
      <c r="R195" s="4">
        <f t="shared" si="7"/>
        <v>0.25724158040530692</v>
      </c>
      <c r="S195" s="22">
        <f t="shared" si="8"/>
        <v>5.1027846624872428E-4</v>
      </c>
    </row>
    <row r="196" spans="1:19">
      <c r="A196" s="28" t="s">
        <v>1392</v>
      </c>
      <c r="B196" s="29" t="s">
        <v>1480</v>
      </c>
      <c r="C196" s="29"/>
      <c r="D196" s="85">
        <v>0.75</v>
      </c>
      <c r="E196" s="4">
        <v>14</v>
      </c>
      <c r="F196" s="4">
        <v>9</v>
      </c>
      <c r="G196" s="4">
        <v>19</v>
      </c>
      <c r="H196" s="29">
        <v>5.7497999999999996</v>
      </c>
      <c r="I196" s="4">
        <v>8.0000000000000004E-4</v>
      </c>
      <c r="J196" s="29">
        <v>-34.832099999999997</v>
      </c>
      <c r="K196" s="4">
        <v>1.8E-3</v>
      </c>
      <c r="L196" s="4">
        <v>5.8999999999999997E-2</v>
      </c>
      <c r="M196" s="4">
        <v>8.0000000000000002E-3</v>
      </c>
      <c r="N196" s="4">
        <v>-8.0999999999999996E-3</v>
      </c>
      <c r="O196" s="4">
        <v>2.9999999999999997E-4</v>
      </c>
      <c r="P196" s="4">
        <v>121.79</v>
      </c>
      <c r="Q196" s="4">
        <v>0.45</v>
      </c>
      <c r="R196" s="172">
        <v>0.23429945999999999</v>
      </c>
      <c r="S196" s="137">
        <v>2.8575999999999997E-4</v>
      </c>
    </row>
    <row r="197" spans="1:19">
      <c r="A197" s="33" t="s">
        <v>1392</v>
      </c>
      <c r="B197" s="34" t="s">
        <v>1480</v>
      </c>
      <c r="C197" s="34"/>
      <c r="D197" s="98">
        <v>1</v>
      </c>
      <c r="E197" s="4">
        <v>14</v>
      </c>
      <c r="F197" s="4">
        <v>9</v>
      </c>
      <c r="G197" s="4">
        <v>19</v>
      </c>
      <c r="H197" s="38">
        <v>5.4169999999999998</v>
      </c>
      <c r="I197" s="39">
        <v>5.0000000000000001E-4</v>
      </c>
      <c r="J197" s="38">
        <v>-33.848599999999998</v>
      </c>
      <c r="K197" s="39">
        <v>1.8E-3</v>
      </c>
      <c r="L197" s="39">
        <v>0.123</v>
      </c>
      <c r="M197" s="39">
        <v>1.7999999999999999E-2</v>
      </c>
      <c r="N197" s="39">
        <v>-1.03E-2</v>
      </c>
      <c r="O197" s="39">
        <v>1E-4</v>
      </c>
      <c r="P197" s="39">
        <v>114.44</v>
      </c>
      <c r="Q197" s="39">
        <v>0.08</v>
      </c>
      <c r="R197" s="34">
        <f t="shared" ref="R197" si="9">P197*E197/G197^3</f>
        <v>0.23358507071001602</v>
      </c>
      <c r="S197" s="22">
        <f t="shared" ref="S197" si="10">Q197*E197/G197^3</f>
        <v>1.6328910919959178E-4</v>
      </c>
    </row>
    <row r="198" spans="1:19">
      <c r="A198" s="44" t="s">
        <v>1393</v>
      </c>
      <c r="B198" s="168">
        <v>11111222222222</v>
      </c>
      <c r="C198" s="168" t="s">
        <v>17</v>
      </c>
      <c r="D198" s="104">
        <v>0.25</v>
      </c>
      <c r="E198" s="4">
        <v>14</v>
      </c>
      <c r="F198" s="4">
        <v>9</v>
      </c>
      <c r="G198" s="4">
        <v>19</v>
      </c>
      <c r="H198" s="45">
        <v>6.3545999999999996</v>
      </c>
      <c r="I198" s="4">
        <v>8.0000000000000004E-4</v>
      </c>
      <c r="J198" s="45">
        <v>-37.998100000000001</v>
      </c>
      <c r="K198" s="4">
        <v>1.9E-3</v>
      </c>
      <c r="L198" s="4">
        <v>7.1999999999999995E-2</v>
      </c>
      <c r="M198" s="4">
        <v>6.0000000000000001E-3</v>
      </c>
      <c r="N198" s="4">
        <v>-6.7000000000000002E-3</v>
      </c>
      <c r="O198" s="4">
        <v>1E-4</v>
      </c>
      <c r="P198" s="4">
        <v>123.78</v>
      </c>
      <c r="Q198" s="4">
        <v>0.2</v>
      </c>
      <c r="R198" s="45">
        <f>P198*E198/G198^3</f>
        <v>0.2526490742090684</v>
      </c>
      <c r="S198" s="22">
        <f>Q198*E198/G198^3</f>
        <v>4.0822277299897946E-4</v>
      </c>
    </row>
    <row r="199" spans="1:19">
      <c r="A199" s="23" t="s">
        <v>1393</v>
      </c>
      <c r="B199" s="170">
        <v>11111222222222</v>
      </c>
      <c r="C199" s="170" t="s">
        <v>17</v>
      </c>
      <c r="D199" s="83">
        <v>0.5</v>
      </c>
      <c r="E199" s="4">
        <v>14</v>
      </c>
      <c r="F199" s="4">
        <v>9</v>
      </c>
      <c r="G199" s="4">
        <v>19</v>
      </c>
      <c r="H199" s="4">
        <v>5.9112999999999998</v>
      </c>
      <c r="I199" s="4">
        <v>6.9999999999999999E-4</v>
      </c>
      <c r="J199" s="4">
        <v>-38.2851</v>
      </c>
      <c r="K199" s="4">
        <v>1.1000000000000001E-3</v>
      </c>
      <c r="L199" s="4">
        <v>0.128</v>
      </c>
      <c r="M199" s="4">
        <v>1.2E-2</v>
      </c>
      <c r="N199" s="4">
        <v>-1.4999999999999999E-2</v>
      </c>
      <c r="O199" s="4">
        <v>1E-4</v>
      </c>
      <c r="P199" s="4">
        <v>93.29</v>
      </c>
      <c r="Q199" s="4">
        <v>0.15</v>
      </c>
      <c r="R199" s="4">
        <f t="shared" si="7"/>
        <v>0.190415512465374</v>
      </c>
      <c r="S199" s="22">
        <f t="shared" si="8"/>
        <v>3.061670797492346E-4</v>
      </c>
    </row>
    <row r="200" spans="1:19">
      <c r="A200" s="133" t="s">
        <v>1394</v>
      </c>
      <c r="B200" s="168">
        <v>11222222222111</v>
      </c>
      <c r="C200" s="168" t="s">
        <v>19</v>
      </c>
      <c r="D200" s="104">
        <v>0.25</v>
      </c>
      <c r="E200" s="4">
        <v>14</v>
      </c>
      <c r="F200" s="4">
        <v>9</v>
      </c>
      <c r="G200" s="4">
        <v>19</v>
      </c>
      <c r="H200" s="45">
        <v>6.2891000000000004</v>
      </c>
      <c r="I200" s="4">
        <v>5.9999999999999995E-4</v>
      </c>
      <c r="J200" s="45">
        <v>-37.682000000000002</v>
      </c>
      <c r="K200" s="4">
        <v>1.1000000000000001E-3</v>
      </c>
      <c r="L200" s="4">
        <v>6.3E-2</v>
      </c>
      <c r="M200" s="4">
        <v>1.0999999999999999E-2</v>
      </c>
      <c r="N200" s="4">
        <v>-6.4000000000000003E-3</v>
      </c>
      <c r="O200" s="4">
        <v>1E-4</v>
      </c>
      <c r="P200" s="4">
        <v>126.33</v>
      </c>
      <c r="Q200" s="4">
        <v>0.16</v>
      </c>
      <c r="R200" s="45">
        <f>P200*E200/G200^3</f>
        <v>0.25785391456480533</v>
      </c>
      <c r="S200" s="22">
        <f>Q200*E200/G200^3</f>
        <v>3.2657821839918356E-4</v>
      </c>
    </row>
    <row r="201" spans="1:19">
      <c r="A201" s="89" t="s">
        <v>1394</v>
      </c>
      <c r="B201" s="170">
        <v>11222222222111</v>
      </c>
      <c r="C201" s="170" t="s">
        <v>19</v>
      </c>
      <c r="D201" s="83">
        <v>0.5</v>
      </c>
      <c r="E201" s="4">
        <v>14</v>
      </c>
      <c r="F201" s="4">
        <v>9</v>
      </c>
      <c r="G201" s="4">
        <v>19</v>
      </c>
      <c r="H201" s="4">
        <v>5.8148</v>
      </c>
      <c r="I201" s="4">
        <v>8.0000000000000004E-4</v>
      </c>
      <c r="J201" s="4">
        <v>-36.978099999999998</v>
      </c>
      <c r="K201" s="4">
        <v>1.8E-3</v>
      </c>
      <c r="L201" s="4">
        <v>0.189</v>
      </c>
      <c r="M201" s="4">
        <v>3.2000000000000001E-2</v>
      </c>
      <c r="N201" s="4">
        <v>-1.0800000000000001E-2</v>
      </c>
      <c r="O201" s="4">
        <v>2.9999999999999997E-4</v>
      </c>
      <c r="P201" s="4">
        <v>113.24</v>
      </c>
      <c r="Q201" s="4">
        <v>0.47</v>
      </c>
      <c r="R201" s="4">
        <f t="shared" si="7"/>
        <v>0.23113573407202215</v>
      </c>
      <c r="S201" s="22">
        <f t="shared" si="8"/>
        <v>9.5932351654760167E-4</v>
      </c>
    </row>
    <row r="202" spans="1:19">
      <c r="A202" s="133" t="s">
        <v>1395</v>
      </c>
      <c r="B202" s="168">
        <v>22222111112222</v>
      </c>
      <c r="C202" s="168" t="s">
        <v>30</v>
      </c>
      <c r="D202" s="104">
        <v>0.25</v>
      </c>
      <c r="E202" s="4">
        <v>14</v>
      </c>
      <c r="F202" s="4">
        <v>9</v>
      </c>
      <c r="G202" s="4">
        <v>19</v>
      </c>
      <c r="H202" s="45">
        <v>6.4847000000000001</v>
      </c>
      <c r="I202" s="4">
        <v>6.9999999999999999E-4</v>
      </c>
      <c r="J202" s="45">
        <v>-37.439799999999998</v>
      </c>
      <c r="K202" s="4">
        <v>2E-3</v>
      </c>
      <c r="L202" s="4">
        <v>2.1999999999999999E-2</v>
      </c>
      <c r="M202" s="4">
        <v>5.0000000000000001E-3</v>
      </c>
      <c r="N202" s="4">
        <v>-5.5999999999999999E-3</v>
      </c>
      <c r="O202" s="4">
        <v>2.9999999999999997E-4</v>
      </c>
      <c r="P202" s="4">
        <v>126.2</v>
      </c>
      <c r="Q202" s="4">
        <v>0.37</v>
      </c>
      <c r="R202" s="45">
        <f>P202*E202/G202^3</f>
        <v>0.257588569762356</v>
      </c>
      <c r="S202" s="22">
        <f>Q202*E202/G202^3</f>
        <v>7.5521213004811193E-4</v>
      </c>
    </row>
    <row r="203" spans="1:19">
      <c r="A203" s="89" t="s">
        <v>1395</v>
      </c>
      <c r="B203" s="170">
        <v>22222111112222</v>
      </c>
      <c r="C203" s="170" t="s">
        <v>30</v>
      </c>
      <c r="D203" s="83">
        <v>0.5</v>
      </c>
      <c r="E203" s="4">
        <v>14</v>
      </c>
      <c r="F203" s="4">
        <v>9</v>
      </c>
      <c r="G203" s="4">
        <v>19</v>
      </c>
      <c r="H203" s="39">
        <v>6.2728000000000002</v>
      </c>
      <c r="I203" s="4">
        <v>8.9999999999999998E-4</v>
      </c>
      <c r="J203" s="4">
        <v>-36.209600000000002</v>
      </c>
      <c r="K203" s="4">
        <v>1E-3</v>
      </c>
      <c r="L203" s="4">
        <v>2.5000000000000001E-2</v>
      </c>
      <c r="M203" s="4">
        <v>2E-3</v>
      </c>
      <c r="N203" s="4">
        <v>-6.7999999999999996E-3</v>
      </c>
      <c r="O203" s="4">
        <v>2.0000000000000001E-4</v>
      </c>
      <c r="P203" s="4">
        <v>119.77</v>
      </c>
      <c r="Q203" s="4">
        <v>0.27</v>
      </c>
      <c r="R203" s="4">
        <f t="shared" si="7"/>
        <v>0.24446420761043883</v>
      </c>
      <c r="S203" s="22">
        <f t="shared" si="8"/>
        <v>5.5110074354862231E-4</v>
      </c>
    </row>
    <row r="204" spans="1:19" ht="17" thickBot="1">
      <c r="A204" s="147" t="s">
        <v>1395</v>
      </c>
      <c r="B204" s="158">
        <v>22222111112222</v>
      </c>
      <c r="C204" s="158" t="s">
        <v>30</v>
      </c>
      <c r="D204" s="159">
        <v>0.75</v>
      </c>
      <c r="E204" s="56">
        <v>14</v>
      </c>
      <c r="F204" s="56">
        <v>9</v>
      </c>
      <c r="G204" s="56">
        <v>19</v>
      </c>
      <c r="H204" s="56">
        <v>6.1083999999999996</v>
      </c>
      <c r="I204" s="56">
        <v>6.9999999999999999E-4</v>
      </c>
      <c r="J204" s="56">
        <v>-35.615900000000003</v>
      </c>
      <c r="K204" s="56">
        <v>3.2000000000000002E-3</v>
      </c>
      <c r="L204" s="56">
        <v>4.1000000000000002E-2</v>
      </c>
      <c r="M204" s="56">
        <v>6.0000000000000001E-3</v>
      </c>
      <c r="N204" s="56">
        <v>-9.2999999999999992E-3</v>
      </c>
      <c r="O204" s="56">
        <v>2.0000000000000001E-4</v>
      </c>
      <c r="P204" s="56">
        <v>108.07</v>
      </c>
      <c r="Q204" s="56">
        <v>0.5</v>
      </c>
      <c r="R204" s="146">
        <f t="shared" si="7"/>
        <v>0.22058317538999855</v>
      </c>
      <c r="S204" s="57">
        <f t="shared" si="8"/>
        <v>1.0205569324974486E-3</v>
      </c>
    </row>
    <row r="205" spans="1:19">
      <c r="A205" s="151" t="s">
        <v>1396</v>
      </c>
      <c r="B205" s="145" t="s">
        <v>1484</v>
      </c>
      <c r="C205" s="145"/>
      <c r="D205" s="154">
        <v>0.25</v>
      </c>
      <c r="E205" s="150">
        <v>14</v>
      </c>
      <c r="F205" s="150">
        <v>10</v>
      </c>
      <c r="G205" s="150">
        <v>19</v>
      </c>
      <c r="H205" s="145">
        <v>6.7281000000000004</v>
      </c>
      <c r="I205" s="150">
        <v>8.9999999999999998E-4</v>
      </c>
      <c r="J205" s="145">
        <v>-39.309800000000003</v>
      </c>
      <c r="K205" s="150">
        <v>3.0000000000000001E-3</v>
      </c>
      <c r="L205" s="150">
        <v>3.5000000000000003E-2</v>
      </c>
      <c r="M205" s="150">
        <v>7.0000000000000001E-3</v>
      </c>
      <c r="N205" s="150">
        <v>-5.4000000000000003E-3</v>
      </c>
      <c r="O205" s="150">
        <v>2.9999999999999997E-4</v>
      </c>
      <c r="P205" s="150">
        <v>127.69</v>
      </c>
      <c r="Q205" s="150">
        <v>0.42</v>
      </c>
      <c r="R205" s="145">
        <f t="shared" si="7"/>
        <v>0.26062982942119839</v>
      </c>
      <c r="S205" s="144">
        <f t="shared" si="8"/>
        <v>8.5726782329785685E-4</v>
      </c>
    </row>
    <row r="206" spans="1:19">
      <c r="A206" s="23" t="s">
        <v>1396</v>
      </c>
      <c r="B206" s="4" t="s">
        <v>1484</v>
      </c>
      <c r="D206" s="83">
        <v>0.5</v>
      </c>
      <c r="E206" s="4">
        <v>14</v>
      </c>
      <c r="F206" s="4">
        <v>10</v>
      </c>
      <c r="G206" s="4">
        <v>19</v>
      </c>
      <c r="H206" s="4">
        <v>6.75</v>
      </c>
      <c r="I206" s="4">
        <v>6.9999999999999999E-4</v>
      </c>
      <c r="J206" s="4">
        <v>-39.623100000000001</v>
      </c>
      <c r="K206" s="4">
        <v>1.2999999999999999E-3</v>
      </c>
      <c r="L206" s="4">
        <v>2.7E-2</v>
      </c>
      <c r="M206" s="4">
        <v>5.0000000000000001E-3</v>
      </c>
      <c r="N206" s="4">
        <v>-5.5999999999999999E-3</v>
      </c>
      <c r="O206" s="4">
        <v>1E-4</v>
      </c>
      <c r="P206" s="4">
        <v>126.1</v>
      </c>
      <c r="Q206" s="4">
        <v>0.1</v>
      </c>
      <c r="R206" s="4">
        <f t="shared" si="7"/>
        <v>0.2573844583758565</v>
      </c>
      <c r="S206" s="22">
        <f t="shared" si="8"/>
        <v>2.0411138649948973E-4</v>
      </c>
    </row>
    <row r="207" spans="1:19">
      <c r="A207" s="28" t="s">
        <v>1396</v>
      </c>
      <c r="B207" s="29" t="s">
        <v>1484</v>
      </c>
      <c r="C207" s="29"/>
      <c r="D207" s="85">
        <v>0.75</v>
      </c>
      <c r="E207" s="4">
        <v>14</v>
      </c>
      <c r="F207" s="4">
        <v>10</v>
      </c>
      <c r="G207" s="4">
        <v>19</v>
      </c>
      <c r="H207" s="29">
        <v>6.7683999999999997</v>
      </c>
      <c r="I207" s="4">
        <v>1E-3</v>
      </c>
      <c r="J207" s="29">
        <v>-40.082299999999996</v>
      </c>
      <c r="K207" s="4">
        <v>1.8E-3</v>
      </c>
      <c r="L207" s="4">
        <v>4.2999999999999997E-2</v>
      </c>
      <c r="M207" s="4">
        <v>1.2999999999999999E-2</v>
      </c>
      <c r="N207" s="4">
        <v>-6.1000000000000004E-3</v>
      </c>
      <c r="O207" s="4">
        <v>2.9999999999999997E-4</v>
      </c>
      <c r="P207" s="4">
        <v>123.29</v>
      </c>
      <c r="Q207" s="4">
        <v>0.24</v>
      </c>
      <c r="R207" s="29">
        <f t="shared" si="7"/>
        <v>0.25164892841522091</v>
      </c>
      <c r="S207" s="22">
        <f t="shared" si="8"/>
        <v>4.8986732759877531E-4</v>
      </c>
    </row>
    <row r="208" spans="1:19">
      <c r="A208" s="33" t="s">
        <v>1396</v>
      </c>
      <c r="B208" s="34" t="s">
        <v>1484</v>
      </c>
      <c r="C208" s="34"/>
      <c r="D208" s="98">
        <v>1</v>
      </c>
      <c r="E208" s="4">
        <v>14</v>
      </c>
      <c r="F208" s="4">
        <v>10</v>
      </c>
      <c r="G208" s="4">
        <v>19</v>
      </c>
      <c r="H208" s="34">
        <v>6.7686000000000002</v>
      </c>
      <c r="I208" s="4">
        <v>2.9999999999999997E-4</v>
      </c>
      <c r="J208" s="34">
        <v>-40.0822</v>
      </c>
      <c r="K208" s="4">
        <v>1.1000000000000001E-3</v>
      </c>
      <c r="L208" s="4">
        <v>4.2999999999999997E-2</v>
      </c>
      <c r="M208" s="4">
        <v>1.0999999999999999E-2</v>
      </c>
      <c r="N208" s="4">
        <v>-6.1000000000000004E-3</v>
      </c>
      <c r="O208" s="4">
        <v>1E-4</v>
      </c>
      <c r="P208" s="4">
        <v>123.35</v>
      </c>
      <c r="Q208" s="4">
        <v>0.12</v>
      </c>
      <c r="R208" s="34">
        <f t="shared" si="7"/>
        <v>0.25177139524712056</v>
      </c>
      <c r="S208" s="22">
        <f t="shared" si="8"/>
        <v>2.4493366379938766E-4</v>
      </c>
    </row>
    <row r="209" spans="1:19">
      <c r="A209" s="44" t="s">
        <v>1397</v>
      </c>
      <c r="B209" s="45" t="s">
        <v>1485</v>
      </c>
      <c r="C209" s="45"/>
      <c r="D209" s="169">
        <v>0.25</v>
      </c>
      <c r="E209" s="4">
        <v>14</v>
      </c>
      <c r="F209" s="4">
        <v>10</v>
      </c>
      <c r="G209" s="4">
        <v>19</v>
      </c>
      <c r="H209" s="45">
        <v>6.7568999999999999</v>
      </c>
      <c r="I209" s="4">
        <v>6.9999999999999999E-4</v>
      </c>
      <c r="J209" s="45">
        <v>-39.355200000000004</v>
      </c>
      <c r="K209" s="4">
        <v>5.9999999999999995E-4</v>
      </c>
      <c r="L209" s="4">
        <v>2.4E-2</v>
      </c>
      <c r="M209" s="4">
        <v>7.0000000000000001E-3</v>
      </c>
      <c r="N209" s="4">
        <v>-5.3E-3</v>
      </c>
      <c r="O209" s="4">
        <v>2.0000000000000001E-4</v>
      </c>
      <c r="P209" s="4">
        <v>127.56</v>
      </c>
      <c r="Q209" s="4">
        <v>0.26</v>
      </c>
      <c r="R209" s="45">
        <f t="shared" si="7"/>
        <v>0.26036448461874911</v>
      </c>
      <c r="S209" s="22">
        <f t="shared" si="8"/>
        <v>5.3068960489867335E-4</v>
      </c>
    </row>
    <row r="210" spans="1:19">
      <c r="A210" s="23" t="s">
        <v>1397</v>
      </c>
      <c r="B210" s="4" t="s">
        <v>1485</v>
      </c>
      <c r="D210" s="165">
        <v>0.5</v>
      </c>
      <c r="E210" s="4">
        <v>14</v>
      </c>
      <c r="F210" s="4">
        <v>10</v>
      </c>
      <c r="G210" s="4">
        <v>19</v>
      </c>
      <c r="H210" s="4">
        <v>6.8056000000000001</v>
      </c>
      <c r="I210" s="4">
        <v>8.0000000000000004E-4</v>
      </c>
      <c r="J210" s="4">
        <v>-39.751600000000003</v>
      </c>
      <c r="K210" s="4">
        <v>1.1000000000000001E-3</v>
      </c>
      <c r="L210" s="4">
        <v>3.4000000000000002E-2</v>
      </c>
      <c r="M210" s="4">
        <v>5.0000000000000001E-3</v>
      </c>
      <c r="N210" s="4">
        <v>-5.5999999999999999E-3</v>
      </c>
      <c r="O210" s="4">
        <v>2.0000000000000001E-4</v>
      </c>
      <c r="P210" s="4">
        <v>125.41</v>
      </c>
      <c r="Q210" s="4">
        <v>0.15</v>
      </c>
      <c r="R210" s="4">
        <f t="shared" si="7"/>
        <v>0.25597608980901004</v>
      </c>
      <c r="S210" s="22">
        <f t="shared" si="8"/>
        <v>3.061670797492346E-4</v>
      </c>
    </row>
    <row r="211" spans="1:19">
      <c r="A211" s="28" t="s">
        <v>1397</v>
      </c>
      <c r="B211" s="29" t="s">
        <v>1485</v>
      </c>
      <c r="C211" s="29"/>
      <c r="D211" s="166">
        <v>0.75</v>
      </c>
      <c r="E211" s="4">
        <v>14</v>
      </c>
      <c r="F211" s="4">
        <v>10</v>
      </c>
      <c r="G211" s="4">
        <v>19</v>
      </c>
      <c r="H211" s="29">
        <v>6.8512000000000004</v>
      </c>
      <c r="I211" s="4">
        <v>4.0000000000000002E-4</v>
      </c>
      <c r="J211" s="29">
        <v>-40.334200000000003</v>
      </c>
      <c r="K211" s="4">
        <v>2.5000000000000001E-3</v>
      </c>
      <c r="L211" s="4">
        <v>4.8000000000000001E-2</v>
      </c>
      <c r="M211" s="4">
        <v>8.9999999999999993E-3</v>
      </c>
      <c r="N211" s="4">
        <v>-6.3E-3</v>
      </c>
      <c r="O211" s="4">
        <v>2.9999999999999997E-4</v>
      </c>
      <c r="P211" s="4">
        <v>121.45</v>
      </c>
      <c r="Q211" s="4">
        <v>0.35</v>
      </c>
      <c r="R211" s="29">
        <f t="shared" si="7"/>
        <v>0.24789327890363025</v>
      </c>
      <c r="S211" s="22">
        <f t="shared" si="8"/>
        <v>7.143898527482139E-4</v>
      </c>
    </row>
    <row r="212" spans="1:19">
      <c r="A212" s="33" t="s">
        <v>1397</v>
      </c>
      <c r="B212" s="34" t="s">
        <v>1485</v>
      </c>
      <c r="C212" s="34"/>
      <c r="D212" s="167">
        <v>1</v>
      </c>
      <c r="E212" s="4">
        <v>14</v>
      </c>
      <c r="F212" s="4">
        <v>10</v>
      </c>
      <c r="G212" s="4">
        <v>19</v>
      </c>
      <c r="H212" s="34">
        <v>6.8520000000000003</v>
      </c>
      <c r="I212" s="4">
        <v>5.0000000000000001E-4</v>
      </c>
      <c r="J212" s="34">
        <v>-40.332299999999996</v>
      </c>
      <c r="K212" s="4">
        <v>1.1999999999999999E-3</v>
      </c>
      <c r="L212" s="4">
        <v>4.2000000000000003E-2</v>
      </c>
      <c r="M212" s="4">
        <v>3.0000000000000001E-3</v>
      </c>
      <c r="N212" s="4">
        <v>-6.3E-3</v>
      </c>
      <c r="O212" s="4">
        <v>2.0000000000000001E-4</v>
      </c>
      <c r="P212" s="4">
        <v>121.43</v>
      </c>
      <c r="Q212" s="4">
        <v>0.21</v>
      </c>
      <c r="R212" s="34">
        <f t="shared" si="7"/>
        <v>0.24785245662633038</v>
      </c>
      <c r="S212" s="22">
        <f t="shared" si="8"/>
        <v>4.2863391164892843E-4</v>
      </c>
    </row>
    <row r="213" spans="1:19">
      <c r="A213" s="44" t="s">
        <v>1398</v>
      </c>
      <c r="B213" s="45" t="s">
        <v>1486</v>
      </c>
      <c r="C213" s="45"/>
      <c r="D213" s="169">
        <v>0.25</v>
      </c>
      <c r="E213" s="4">
        <v>14</v>
      </c>
      <c r="F213" s="4">
        <v>10</v>
      </c>
      <c r="G213" s="4">
        <v>19</v>
      </c>
      <c r="H213" s="45">
        <v>6.7117000000000004</v>
      </c>
      <c r="I213" s="4">
        <v>2.0000000000000001E-4</v>
      </c>
      <c r="J213" s="45">
        <v>-39.407600000000002</v>
      </c>
      <c r="K213" s="4">
        <v>1.9E-3</v>
      </c>
      <c r="L213" s="4">
        <v>3.5999999999999997E-2</v>
      </c>
      <c r="M213" s="4">
        <v>2E-3</v>
      </c>
      <c r="N213" s="4">
        <v>-5.4000000000000003E-3</v>
      </c>
      <c r="O213" s="4">
        <v>1E-4</v>
      </c>
      <c r="P213" s="4">
        <v>127.57</v>
      </c>
      <c r="Q213" s="4">
        <v>0.21</v>
      </c>
      <c r="R213" s="45">
        <f t="shared" si="7"/>
        <v>0.26038489575739904</v>
      </c>
      <c r="S213" s="22">
        <f t="shared" si="8"/>
        <v>4.2863391164892843E-4</v>
      </c>
    </row>
    <row r="214" spans="1:19">
      <c r="A214" s="23" t="s">
        <v>1398</v>
      </c>
      <c r="B214" s="4" t="s">
        <v>1486</v>
      </c>
      <c r="D214" s="165">
        <v>0.5</v>
      </c>
      <c r="E214" s="4">
        <v>14</v>
      </c>
      <c r="F214" s="4">
        <v>10</v>
      </c>
      <c r="G214" s="4">
        <v>19</v>
      </c>
      <c r="H214" s="4">
        <v>6.7095000000000002</v>
      </c>
      <c r="I214" s="4">
        <v>2.0000000000000001E-4</v>
      </c>
      <c r="J214" s="4">
        <v>-39.871899999999997</v>
      </c>
      <c r="K214" s="4">
        <v>1.2999999999999999E-3</v>
      </c>
      <c r="L214" s="4">
        <v>5.0999999999999997E-2</v>
      </c>
      <c r="M214" s="4">
        <v>1.0999999999999999E-2</v>
      </c>
      <c r="N214" s="4">
        <v>-6.1000000000000004E-3</v>
      </c>
      <c r="O214" s="4">
        <v>2.0000000000000001E-4</v>
      </c>
      <c r="P214" s="4">
        <v>124.64</v>
      </c>
      <c r="Q214" s="4">
        <v>0.17</v>
      </c>
      <c r="R214" s="4">
        <f t="shared" si="7"/>
        <v>0.25440443213296399</v>
      </c>
      <c r="S214" s="22">
        <f t="shared" si="8"/>
        <v>3.4698935704913258E-4</v>
      </c>
    </row>
    <row r="215" spans="1:19">
      <c r="A215" s="28" t="s">
        <v>1398</v>
      </c>
      <c r="B215" s="29" t="s">
        <v>1486</v>
      </c>
      <c r="C215" s="29"/>
      <c r="D215" s="166">
        <v>0.75</v>
      </c>
      <c r="E215" s="4">
        <v>14</v>
      </c>
      <c r="F215" s="4">
        <v>10</v>
      </c>
      <c r="G215" s="4">
        <v>19</v>
      </c>
      <c r="H215" s="29">
        <v>6.6913999999999998</v>
      </c>
      <c r="I215" s="4">
        <v>5.9999999999999995E-4</v>
      </c>
      <c r="J215" s="29">
        <v>-40.560400000000001</v>
      </c>
      <c r="K215" s="4">
        <v>1.1000000000000001E-3</v>
      </c>
      <c r="L215" s="4">
        <v>9.6000000000000002E-2</v>
      </c>
      <c r="M215" s="4">
        <v>8.9999999999999993E-3</v>
      </c>
      <c r="N215" s="4">
        <v>-7.7999999999999996E-3</v>
      </c>
      <c r="O215" s="4">
        <v>2.0000000000000001E-4</v>
      </c>
      <c r="P215" s="4">
        <v>118.69</v>
      </c>
      <c r="Q215" s="4">
        <v>0.25</v>
      </c>
      <c r="R215" s="29">
        <f t="shared" si="7"/>
        <v>0.24225980463624433</v>
      </c>
      <c r="S215" s="22">
        <f t="shared" si="8"/>
        <v>5.1027846624872428E-4</v>
      </c>
    </row>
    <row r="216" spans="1:19">
      <c r="A216" s="44" t="s">
        <v>1399</v>
      </c>
      <c r="B216" s="168">
        <v>11112222222222</v>
      </c>
      <c r="C216" s="168" t="s">
        <v>17</v>
      </c>
      <c r="D216" s="169">
        <v>0.25</v>
      </c>
      <c r="E216" s="4">
        <v>14</v>
      </c>
      <c r="F216" s="4">
        <v>10</v>
      </c>
      <c r="G216" s="4">
        <v>19</v>
      </c>
      <c r="H216" s="45">
        <v>6.6567999999999996</v>
      </c>
      <c r="I216" s="4">
        <v>5.0000000000000001E-4</v>
      </c>
      <c r="J216" s="45">
        <v>-39.821800000000003</v>
      </c>
      <c r="K216" s="4">
        <v>2E-3</v>
      </c>
      <c r="L216" s="4">
        <v>7.2999999999999995E-2</v>
      </c>
      <c r="M216" s="4">
        <v>6.0000000000000001E-3</v>
      </c>
      <c r="N216" s="4">
        <v>-6.4999999999999997E-3</v>
      </c>
      <c r="O216" s="4">
        <v>1E-4</v>
      </c>
      <c r="P216" s="4">
        <v>124.11</v>
      </c>
      <c r="Q216" s="4">
        <v>0.2</v>
      </c>
      <c r="R216" s="45">
        <f t="shared" si="7"/>
        <v>0.25332264178451669</v>
      </c>
      <c r="S216" s="22">
        <f t="shared" si="8"/>
        <v>4.0822277299897946E-4</v>
      </c>
    </row>
    <row r="217" spans="1:19">
      <c r="A217" s="23" t="s">
        <v>1399</v>
      </c>
      <c r="B217" s="170">
        <v>11112222222222</v>
      </c>
      <c r="C217" s="170" t="s">
        <v>17</v>
      </c>
      <c r="D217" s="165">
        <v>0.5</v>
      </c>
      <c r="E217" s="4">
        <v>14</v>
      </c>
      <c r="F217" s="4">
        <v>10</v>
      </c>
      <c r="G217" s="4">
        <v>19</v>
      </c>
      <c r="H217" s="4">
        <v>6.5308999999999999</v>
      </c>
      <c r="I217" s="4">
        <v>8.9999999999999998E-4</v>
      </c>
      <c r="J217" s="4">
        <v>-41.543199999999999</v>
      </c>
      <c r="K217" s="4">
        <v>1.6999999999999999E-3</v>
      </c>
      <c r="L217" s="4">
        <v>0.153</v>
      </c>
      <c r="M217" s="4">
        <v>8.9999999999999993E-3</v>
      </c>
      <c r="N217" s="4">
        <v>-1.24E-2</v>
      </c>
      <c r="O217" s="4">
        <v>0</v>
      </c>
      <c r="P217" s="4">
        <v>101.48</v>
      </c>
      <c r="Q217" s="4">
        <v>0.16</v>
      </c>
      <c r="R217" s="4">
        <f t="shared" si="7"/>
        <v>0.20713223501968217</v>
      </c>
      <c r="S217" s="22">
        <f t="shared" si="8"/>
        <v>3.2657821839918356E-4</v>
      </c>
    </row>
    <row r="218" spans="1:19">
      <c r="A218" s="44" t="s">
        <v>1400</v>
      </c>
      <c r="B218" s="168">
        <v>11222222222211</v>
      </c>
      <c r="C218" s="168" t="s">
        <v>19</v>
      </c>
      <c r="D218" s="169">
        <v>0.25</v>
      </c>
      <c r="E218" s="4">
        <v>14</v>
      </c>
      <c r="F218" s="4">
        <v>10</v>
      </c>
      <c r="G218" s="4">
        <v>19</v>
      </c>
      <c r="H218" s="45">
        <v>6.6037999999999997</v>
      </c>
      <c r="I218" s="4">
        <v>5.0000000000000001E-4</v>
      </c>
      <c r="J218" s="45">
        <v>-39.518599999999999</v>
      </c>
      <c r="K218" s="4">
        <v>6.9999999999999999E-4</v>
      </c>
      <c r="L218" s="4">
        <v>6.5000000000000002E-2</v>
      </c>
      <c r="M218" s="4">
        <v>1.2999999999999999E-2</v>
      </c>
      <c r="N218" s="4">
        <v>-6.1000000000000004E-3</v>
      </c>
      <c r="O218" s="4">
        <v>0</v>
      </c>
      <c r="P218" s="4">
        <v>126.42</v>
      </c>
      <c r="Q218" s="4">
        <v>0.05</v>
      </c>
      <c r="R218" s="45">
        <f t="shared" si="7"/>
        <v>0.25803761481265491</v>
      </c>
      <c r="S218" s="22">
        <f t="shared" si="8"/>
        <v>1.0205569324974487E-4</v>
      </c>
    </row>
    <row r="219" spans="1:19">
      <c r="A219" s="23" t="s">
        <v>1400</v>
      </c>
      <c r="B219" s="170">
        <v>11222222222211</v>
      </c>
      <c r="C219" s="170" t="s">
        <v>19</v>
      </c>
      <c r="D219" s="165">
        <v>0.5</v>
      </c>
      <c r="E219" s="4">
        <v>14</v>
      </c>
      <c r="F219" s="4">
        <v>10</v>
      </c>
      <c r="G219" s="4">
        <v>19</v>
      </c>
      <c r="H219" s="4">
        <v>6.4530000000000003</v>
      </c>
      <c r="I219" s="4">
        <v>2.0000000000000001E-4</v>
      </c>
      <c r="J219" s="4">
        <v>-40.451500000000003</v>
      </c>
      <c r="K219" s="4">
        <v>8.0000000000000004E-4</v>
      </c>
      <c r="L219" s="4">
        <v>0.16700000000000001</v>
      </c>
      <c r="M219" s="4">
        <v>6.0000000000000001E-3</v>
      </c>
      <c r="N219" s="4">
        <v>-8.3999999999999995E-3</v>
      </c>
      <c r="O219" s="4">
        <v>1E-4</v>
      </c>
      <c r="P219" s="4">
        <v>118</v>
      </c>
      <c r="Q219" s="4">
        <v>0.24</v>
      </c>
      <c r="R219" s="4">
        <f t="shared" si="7"/>
        <v>0.24085143606939788</v>
      </c>
      <c r="S219" s="22">
        <f t="shared" si="8"/>
        <v>4.8986732759877531E-4</v>
      </c>
    </row>
    <row r="220" spans="1:19">
      <c r="A220" s="133" t="s">
        <v>1401</v>
      </c>
      <c r="B220" s="168">
        <v>22222111122222</v>
      </c>
      <c r="C220" s="168" t="s">
        <v>30</v>
      </c>
      <c r="D220" s="169">
        <v>0.25</v>
      </c>
      <c r="E220" s="4">
        <v>14</v>
      </c>
      <c r="F220" s="4">
        <v>10</v>
      </c>
      <c r="G220" s="4">
        <v>19</v>
      </c>
      <c r="H220" s="45">
        <v>6.8029999999999999</v>
      </c>
      <c r="I220" s="4">
        <v>5.0000000000000001E-4</v>
      </c>
      <c r="J220" s="45">
        <v>-39.312899999999999</v>
      </c>
      <c r="K220" s="4">
        <v>1.6000000000000001E-3</v>
      </c>
      <c r="L220" s="4">
        <v>2.5000000000000001E-2</v>
      </c>
      <c r="M220" s="4">
        <v>3.0000000000000001E-3</v>
      </c>
      <c r="N220" s="4">
        <v>-5.4000000000000003E-3</v>
      </c>
      <c r="O220" s="4">
        <v>2.0000000000000001E-4</v>
      </c>
      <c r="P220" s="4">
        <v>126.34</v>
      </c>
      <c r="Q220" s="4">
        <v>0.22</v>
      </c>
      <c r="R220" s="45">
        <f t="shared" si="7"/>
        <v>0.25787432570345531</v>
      </c>
      <c r="S220" s="22">
        <f t="shared" si="8"/>
        <v>4.4904505029887739E-4</v>
      </c>
    </row>
    <row r="221" spans="1:19">
      <c r="A221" s="89" t="s">
        <v>1401</v>
      </c>
      <c r="B221" s="170">
        <v>22222111122222</v>
      </c>
      <c r="C221" s="170" t="s">
        <v>30</v>
      </c>
      <c r="D221" s="165">
        <v>0.5</v>
      </c>
      <c r="E221" s="4">
        <v>14</v>
      </c>
      <c r="F221" s="4">
        <v>10</v>
      </c>
      <c r="G221" s="4">
        <v>19</v>
      </c>
      <c r="H221" s="4">
        <v>6.9001999999999999</v>
      </c>
      <c r="I221" s="4">
        <v>8.9999999999999998E-4</v>
      </c>
      <c r="J221" s="4">
        <v>-39.867199999999997</v>
      </c>
      <c r="K221" s="4">
        <v>1.4E-3</v>
      </c>
      <c r="L221" s="4">
        <v>2.5999999999999999E-2</v>
      </c>
      <c r="M221" s="4">
        <v>6.0000000000000001E-3</v>
      </c>
      <c r="N221" s="4">
        <v>-6.1999999999999998E-3</v>
      </c>
      <c r="O221" s="4">
        <v>1E-4</v>
      </c>
      <c r="P221" s="4">
        <v>121.13</v>
      </c>
      <c r="Q221" s="4">
        <v>0.19</v>
      </c>
      <c r="R221" s="4">
        <f t="shared" si="7"/>
        <v>0.24724012246683189</v>
      </c>
      <c r="S221" s="22">
        <f t="shared" si="8"/>
        <v>3.878116343490305E-4</v>
      </c>
    </row>
    <row r="222" spans="1:19">
      <c r="A222" s="92" t="s">
        <v>1401</v>
      </c>
      <c r="B222" s="171">
        <v>22222111122222</v>
      </c>
      <c r="C222" s="171" t="s">
        <v>30</v>
      </c>
      <c r="D222" s="166">
        <v>0.75</v>
      </c>
      <c r="E222" s="4">
        <v>14</v>
      </c>
      <c r="F222" s="4">
        <v>10</v>
      </c>
      <c r="G222" s="4">
        <v>19</v>
      </c>
      <c r="H222" s="29">
        <v>7.0180999999999996</v>
      </c>
      <c r="I222" s="4">
        <v>8.0000000000000004E-4</v>
      </c>
      <c r="J222" s="29">
        <v>-40.840899999999998</v>
      </c>
      <c r="K222" s="4">
        <v>1E-3</v>
      </c>
      <c r="L222" s="4">
        <v>3.6999999999999998E-2</v>
      </c>
      <c r="M222" s="4">
        <v>3.0000000000000001E-3</v>
      </c>
      <c r="N222" s="4">
        <v>-7.1999999999999998E-3</v>
      </c>
      <c r="O222" s="4">
        <v>1E-4</v>
      </c>
      <c r="P222" s="4">
        <v>113.14</v>
      </c>
      <c r="Q222" s="4">
        <v>0.16</v>
      </c>
      <c r="R222" s="29">
        <f t="shared" si="7"/>
        <v>0.23093162268552267</v>
      </c>
      <c r="S222" s="22">
        <f t="shared" si="8"/>
        <v>3.2657821839918356E-4</v>
      </c>
    </row>
    <row r="223" spans="1:19" ht="17" thickBot="1">
      <c r="A223" s="148" t="s">
        <v>1401</v>
      </c>
      <c r="B223" s="160">
        <v>22222111122222</v>
      </c>
      <c r="C223" s="160" t="s">
        <v>30</v>
      </c>
      <c r="D223" s="161">
        <v>1</v>
      </c>
      <c r="E223" s="56">
        <v>14</v>
      </c>
      <c r="F223" s="56">
        <v>10</v>
      </c>
      <c r="G223" s="56">
        <v>19</v>
      </c>
      <c r="H223" s="149">
        <v>7.0183</v>
      </c>
      <c r="I223" s="56">
        <v>5.9999999999999995E-4</v>
      </c>
      <c r="J223" s="149">
        <v>-40.840899999999998</v>
      </c>
      <c r="K223" s="56">
        <v>2.0000000000000001E-4</v>
      </c>
      <c r="L223" s="56">
        <v>3.6999999999999998E-2</v>
      </c>
      <c r="M223" s="56">
        <v>2E-3</v>
      </c>
      <c r="N223" s="56">
        <v>-7.1999999999999998E-3</v>
      </c>
      <c r="O223" s="56">
        <v>1E-4</v>
      </c>
      <c r="P223" s="56">
        <v>113.23</v>
      </c>
      <c r="Q223" s="56">
        <v>0.14000000000000001</v>
      </c>
      <c r="R223" s="149">
        <f t="shared" si="7"/>
        <v>0.23111532293337222</v>
      </c>
      <c r="S223" s="57">
        <f t="shared" si="8"/>
        <v>2.8575594109928564E-4</v>
      </c>
    </row>
    <row r="224" spans="1:19">
      <c r="A224" s="151" t="s">
        <v>1402</v>
      </c>
      <c r="B224" s="145" t="s">
        <v>1490</v>
      </c>
      <c r="C224" s="145"/>
      <c r="D224" s="152">
        <v>0.25</v>
      </c>
      <c r="E224" s="150">
        <v>14</v>
      </c>
      <c r="F224" s="150">
        <v>11</v>
      </c>
      <c r="G224" s="150">
        <v>19</v>
      </c>
      <c r="H224" s="145">
        <v>7.1285999999999996</v>
      </c>
      <c r="I224" s="150">
        <v>8.9999999999999998E-4</v>
      </c>
      <c r="J224" s="145">
        <v>-41.441499999999998</v>
      </c>
      <c r="K224" s="150">
        <v>1.6000000000000001E-3</v>
      </c>
      <c r="L224" s="150">
        <v>2.1999999999999999E-2</v>
      </c>
      <c r="M224" s="150">
        <v>3.0000000000000001E-3</v>
      </c>
      <c r="N224" s="150">
        <v>-5.0000000000000001E-3</v>
      </c>
      <c r="O224" s="150">
        <v>1E-4</v>
      </c>
      <c r="P224" s="150">
        <v>127.7</v>
      </c>
      <c r="Q224" s="150">
        <v>0.18</v>
      </c>
      <c r="R224" s="145">
        <f t="shared" si="7"/>
        <v>0.26065024055984837</v>
      </c>
      <c r="S224" s="144">
        <f t="shared" si="8"/>
        <v>3.6740049569908149E-4</v>
      </c>
    </row>
    <row r="225" spans="1:19">
      <c r="A225" s="23" t="s">
        <v>1402</v>
      </c>
      <c r="B225" s="4" t="s">
        <v>1490</v>
      </c>
      <c r="D225" s="165">
        <v>0.5</v>
      </c>
      <c r="E225" s="4">
        <v>14</v>
      </c>
      <c r="F225" s="4">
        <v>11</v>
      </c>
      <c r="G225" s="4">
        <v>19</v>
      </c>
      <c r="H225" s="4">
        <v>7.5509000000000004</v>
      </c>
      <c r="I225" s="4">
        <v>1E-3</v>
      </c>
      <c r="J225" s="4">
        <v>-43.864199999999997</v>
      </c>
      <c r="K225" s="4">
        <v>8.9999999999999998E-4</v>
      </c>
      <c r="L225" s="4">
        <v>1.7999999999999999E-2</v>
      </c>
      <c r="M225" s="4">
        <v>4.0000000000000001E-3</v>
      </c>
      <c r="N225" s="4">
        <v>-4.8999999999999998E-3</v>
      </c>
      <c r="O225" s="4">
        <v>1E-4</v>
      </c>
      <c r="P225" s="4">
        <v>126.37</v>
      </c>
      <c r="Q225" s="4">
        <v>0.2</v>
      </c>
      <c r="R225" s="4">
        <f t="shared" si="7"/>
        <v>0.25793555911940519</v>
      </c>
      <c r="S225" s="22">
        <f t="shared" si="8"/>
        <v>4.0822277299897946E-4</v>
      </c>
    </row>
    <row r="226" spans="1:19">
      <c r="A226" s="28" t="s">
        <v>1402</v>
      </c>
      <c r="B226" s="29" t="s">
        <v>1490</v>
      </c>
      <c r="C226" s="29"/>
      <c r="D226" s="166">
        <v>0.75</v>
      </c>
      <c r="E226" s="4">
        <v>14</v>
      </c>
      <c r="F226" s="4">
        <v>11</v>
      </c>
      <c r="G226" s="4">
        <v>19</v>
      </c>
      <c r="H226" s="29">
        <v>7.9709000000000003</v>
      </c>
      <c r="I226" s="4">
        <v>2.9999999999999997E-4</v>
      </c>
      <c r="J226" s="29">
        <v>-46.390599999999999</v>
      </c>
      <c r="K226" s="4">
        <v>6.9999999999999999E-4</v>
      </c>
      <c r="L226" s="4">
        <v>2.5999999999999999E-2</v>
      </c>
      <c r="M226" s="4">
        <v>2E-3</v>
      </c>
      <c r="N226" s="4">
        <v>-4.7999999999999996E-3</v>
      </c>
      <c r="O226" s="4">
        <v>1E-4</v>
      </c>
      <c r="P226" s="4">
        <v>124.38</v>
      </c>
      <c r="Q226" s="4">
        <v>0.1</v>
      </c>
      <c r="R226" s="29">
        <f t="shared" si="7"/>
        <v>0.25387374252806533</v>
      </c>
      <c r="S226" s="22">
        <f t="shared" si="8"/>
        <v>2.0411138649948973E-4</v>
      </c>
    </row>
    <row r="227" spans="1:19">
      <c r="A227" s="33" t="s">
        <v>1402</v>
      </c>
      <c r="B227" s="34" t="s">
        <v>1490</v>
      </c>
      <c r="C227" s="34"/>
      <c r="D227" s="167">
        <v>1</v>
      </c>
      <c r="E227" s="4">
        <v>14</v>
      </c>
      <c r="F227" s="4">
        <v>11</v>
      </c>
      <c r="G227" s="4">
        <v>19</v>
      </c>
      <c r="H227" s="34">
        <v>8.3899000000000008</v>
      </c>
      <c r="I227" s="4">
        <v>5.0000000000000001E-4</v>
      </c>
      <c r="J227" s="34">
        <v>-49.008099999999999</v>
      </c>
      <c r="K227" s="4">
        <v>1.1000000000000001E-3</v>
      </c>
      <c r="L227" s="4">
        <v>4.1000000000000002E-2</v>
      </c>
      <c r="M227" s="4">
        <v>5.0000000000000001E-3</v>
      </c>
      <c r="N227" s="4">
        <v>-5.1000000000000004E-3</v>
      </c>
      <c r="O227" s="4">
        <v>1E-4</v>
      </c>
      <c r="P227" s="4">
        <v>121.98</v>
      </c>
      <c r="Q227" s="4">
        <v>0.11</v>
      </c>
      <c r="R227" s="34">
        <f t="shared" si="7"/>
        <v>0.24897506925207757</v>
      </c>
      <c r="S227" s="22">
        <f t="shared" si="8"/>
        <v>2.2452252514943869E-4</v>
      </c>
    </row>
    <row r="228" spans="1:19">
      <c r="A228" s="44" t="s">
        <v>1403</v>
      </c>
      <c r="B228" s="168">
        <v>11122222222222</v>
      </c>
      <c r="C228" s="168" t="s">
        <v>17</v>
      </c>
      <c r="D228" s="169">
        <v>0.25</v>
      </c>
      <c r="E228" s="4">
        <v>14</v>
      </c>
      <c r="F228" s="4">
        <v>11</v>
      </c>
      <c r="G228" s="4">
        <v>19</v>
      </c>
      <c r="H228" s="45">
        <v>7.0030999999999999</v>
      </c>
      <c r="I228" s="4">
        <v>8.0000000000000004E-4</v>
      </c>
      <c r="J228" s="45">
        <v>-41.784100000000002</v>
      </c>
      <c r="K228" s="4">
        <v>2.2000000000000001E-3</v>
      </c>
      <c r="L228" s="4">
        <v>6.5000000000000002E-2</v>
      </c>
      <c r="M228" s="4">
        <v>8.9999999999999993E-3</v>
      </c>
      <c r="N228" s="4">
        <v>-6.0000000000000001E-3</v>
      </c>
      <c r="O228" s="4">
        <v>2.0000000000000001E-4</v>
      </c>
      <c r="P228" s="4">
        <v>125.18</v>
      </c>
      <c r="Q228" s="4">
        <v>0.32</v>
      </c>
      <c r="R228" s="45">
        <f t="shared" si="7"/>
        <v>0.25550663362006121</v>
      </c>
      <c r="S228" s="22">
        <f t="shared" si="8"/>
        <v>6.5315643679836712E-4</v>
      </c>
    </row>
    <row r="229" spans="1:19">
      <c r="A229" s="23" t="s">
        <v>1403</v>
      </c>
      <c r="B229" s="170">
        <v>11122222222222</v>
      </c>
      <c r="C229" s="170" t="s">
        <v>17</v>
      </c>
      <c r="D229" s="165">
        <v>0.5</v>
      </c>
      <c r="E229" s="4">
        <v>14</v>
      </c>
      <c r="F229" s="4">
        <v>11</v>
      </c>
      <c r="G229" s="4">
        <v>19</v>
      </c>
      <c r="H229" s="4">
        <v>7.2489999999999997</v>
      </c>
      <c r="I229" s="4">
        <v>5.0000000000000001E-4</v>
      </c>
      <c r="J229" s="4">
        <v>-45.078699999999998</v>
      </c>
      <c r="K229" s="4">
        <v>1.9E-3</v>
      </c>
      <c r="L229" s="4">
        <v>0.14899999999999999</v>
      </c>
      <c r="M229" s="4">
        <v>0.01</v>
      </c>
      <c r="N229" s="4">
        <v>-8.8000000000000005E-3</v>
      </c>
      <c r="O229" s="4">
        <v>1E-4</v>
      </c>
      <c r="P229" s="4">
        <v>112.56</v>
      </c>
      <c r="Q229" s="4">
        <v>0.34</v>
      </c>
      <c r="R229" s="4">
        <f>P229*E229/G229^3</f>
        <v>0.22974777664382565</v>
      </c>
      <c r="S229" s="22">
        <f t="shared" si="8"/>
        <v>6.9397871409826515E-4</v>
      </c>
    </row>
    <row r="230" spans="1:19">
      <c r="A230" s="44" t="s">
        <v>1404</v>
      </c>
      <c r="B230" s="168">
        <v>12222222222211</v>
      </c>
      <c r="C230" s="168" t="s">
        <v>19</v>
      </c>
      <c r="D230" s="169">
        <v>0.25</v>
      </c>
      <c r="E230" s="4">
        <v>14</v>
      </c>
      <c r="F230" s="4">
        <v>11</v>
      </c>
      <c r="G230" s="4">
        <v>19</v>
      </c>
      <c r="H230" s="45">
        <v>6.9691999999999998</v>
      </c>
      <c r="I230" s="4">
        <v>5.0000000000000001E-4</v>
      </c>
      <c r="J230" s="45">
        <v>-41.560699999999997</v>
      </c>
      <c r="K230" s="4">
        <v>1.6000000000000001E-3</v>
      </c>
      <c r="L230" s="4">
        <v>5.3999999999999999E-2</v>
      </c>
      <c r="M230" s="4">
        <v>7.0000000000000001E-3</v>
      </c>
      <c r="N230" s="4">
        <v>-5.4999999999999997E-3</v>
      </c>
      <c r="O230" s="4">
        <v>1E-4</v>
      </c>
      <c r="P230" s="4">
        <v>126.96</v>
      </c>
      <c r="Q230" s="4">
        <v>0.14000000000000001</v>
      </c>
      <c r="R230" s="45">
        <f t="shared" ref="R230" si="11">P230*E230/G230^3</f>
        <v>0.25913981629975213</v>
      </c>
      <c r="S230" s="22">
        <f t="shared" si="8"/>
        <v>2.8575594109928564E-4</v>
      </c>
    </row>
    <row r="231" spans="1:19">
      <c r="A231" s="23" t="s">
        <v>1404</v>
      </c>
      <c r="B231" s="170">
        <v>12222222222211</v>
      </c>
      <c r="C231" s="170" t="s">
        <v>19</v>
      </c>
      <c r="D231" s="165">
        <v>0.5</v>
      </c>
      <c r="E231" s="4">
        <v>14</v>
      </c>
      <c r="F231" s="4">
        <v>11</v>
      </c>
      <c r="G231" s="4">
        <v>19</v>
      </c>
      <c r="H231" s="4">
        <v>7.1986999999999997</v>
      </c>
      <c r="I231" s="4">
        <v>5.9999999999999995E-4</v>
      </c>
      <c r="J231" s="4">
        <v>-44.366700000000002</v>
      </c>
      <c r="K231" s="4">
        <v>2.0999999999999999E-3</v>
      </c>
      <c r="L231" s="4">
        <v>0.126</v>
      </c>
      <c r="M231" s="4">
        <v>1.0999999999999999E-2</v>
      </c>
      <c r="N231" s="4">
        <v>-6.8999999999999999E-3</v>
      </c>
      <c r="O231" s="4">
        <v>1E-4</v>
      </c>
      <c r="P231" s="4">
        <v>120.93</v>
      </c>
      <c r="Q231" s="4">
        <v>0.18</v>
      </c>
      <c r="R231" s="4">
        <f>P231*E231/G231^3</f>
        <v>0.24683189969383293</v>
      </c>
      <c r="S231" s="22">
        <f t="shared" si="8"/>
        <v>3.6740049569908149E-4</v>
      </c>
    </row>
    <row r="232" spans="1:19">
      <c r="A232" s="44" t="s">
        <v>1405</v>
      </c>
      <c r="B232" s="168">
        <v>22222211122222</v>
      </c>
      <c r="C232" s="168" t="s">
        <v>30</v>
      </c>
      <c r="D232" s="169">
        <v>0.25</v>
      </c>
      <c r="E232" s="4">
        <v>14</v>
      </c>
      <c r="F232" s="4">
        <v>11</v>
      </c>
      <c r="G232" s="4">
        <v>19</v>
      </c>
      <c r="H232" s="45">
        <v>7.149</v>
      </c>
      <c r="I232" s="4">
        <v>2.9999999999999997E-4</v>
      </c>
      <c r="J232" s="45">
        <v>-41.382199999999997</v>
      </c>
      <c r="K232" s="4">
        <v>1.2999999999999999E-3</v>
      </c>
      <c r="L232" s="4">
        <v>2.7E-2</v>
      </c>
      <c r="M232" s="4">
        <v>3.0000000000000001E-3</v>
      </c>
      <c r="N232" s="4">
        <v>-4.7999999999999996E-3</v>
      </c>
      <c r="O232" s="4">
        <v>2.0000000000000001E-4</v>
      </c>
      <c r="P232" s="4">
        <v>127.07</v>
      </c>
      <c r="Q232" s="4">
        <v>0.17</v>
      </c>
      <c r="R232" s="45">
        <f t="shared" ref="R232" si="12">P232*E232/G232^3</f>
        <v>0.25936433882490162</v>
      </c>
      <c r="S232" s="22">
        <f t="shared" si="8"/>
        <v>3.4698935704913258E-4</v>
      </c>
    </row>
    <row r="233" spans="1:19">
      <c r="A233" s="23" t="s">
        <v>1405</v>
      </c>
      <c r="B233" s="170">
        <v>22222211122222</v>
      </c>
      <c r="C233" s="170" t="s">
        <v>30</v>
      </c>
      <c r="D233" s="165">
        <v>0.5</v>
      </c>
      <c r="E233" s="4">
        <v>14</v>
      </c>
      <c r="F233" s="4">
        <v>11</v>
      </c>
      <c r="G233" s="4">
        <v>19</v>
      </c>
      <c r="H233" s="4">
        <v>7.5892999999999997</v>
      </c>
      <c r="I233" s="4">
        <v>8.9999999999999998E-4</v>
      </c>
      <c r="J233" s="4">
        <v>-43.901699999999998</v>
      </c>
      <c r="K233" s="4">
        <v>1.5E-3</v>
      </c>
      <c r="L233" s="4">
        <v>2.1999999999999999E-2</v>
      </c>
      <c r="M233" s="4">
        <v>4.0000000000000001E-3</v>
      </c>
      <c r="N233" s="4">
        <v>-5.3E-3</v>
      </c>
      <c r="O233" s="4">
        <v>1E-4</v>
      </c>
      <c r="P233" s="4">
        <v>123.15</v>
      </c>
      <c r="Q233" s="4">
        <v>0.14000000000000001</v>
      </c>
      <c r="R233" s="4">
        <f>P233*E233/G233^3</f>
        <v>0.2513631724741216</v>
      </c>
      <c r="S233" s="22">
        <f>Q233*E233/G233^3</f>
        <v>2.8575594109928564E-4</v>
      </c>
    </row>
    <row r="234" spans="1:19">
      <c r="A234" s="28" t="s">
        <v>1405</v>
      </c>
      <c r="B234" s="171">
        <v>22222211122222</v>
      </c>
      <c r="C234" s="171" t="s">
        <v>30</v>
      </c>
      <c r="D234" s="166">
        <v>0.75</v>
      </c>
      <c r="E234" s="4">
        <v>14</v>
      </c>
      <c r="F234" s="4">
        <v>11</v>
      </c>
      <c r="G234" s="4">
        <v>19</v>
      </c>
      <c r="H234" s="29">
        <v>8.0329999999999995</v>
      </c>
      <c r="I234" s="4">
        <v>1E-3</v>
      </c>
      <c r="J234" s="29">
        <v>-46.665100000000002</v>
      </c>
      <c r="K234" s="4">
        <v>1.4E-3</v>
      </c>
      <c r="L234" s="4">
        <v>3.1E-2</v>
      </c>
      <c r="M234" s="4">
        <v>5.0000000000000001E-3</v>
      </c>
      <c r="N234" s="4">
        <v>-5.7000000000000002E-3</v>
      </c>
      <c r="O234" s="4">
        <v>1E-4</v>
      </c>
      <c r="P234" s="4">
        <v>118.23</v>
      </c>
      <c r="Q234" s="4">
        <v>7.0000000000000007E-2</v>
      </c>
      <c r="R234" s="29">
        <f t="shared" ref="R234:R236" si="13">P234*E234/G234^3</f>
        <v>0.24132089225834671</v>
      </c>
      <c r="S234" s="22">
        <f t="shared" ref="S234:S235" si="14">Q234*E234/G234^3</f>
        <v>1.4287797054964282E-4</v>
      </c>
    </row>
    <row r="235" spans="1:19" ht="17" thickBot="1">
      <c r="A235" s="162" t="s">
        <v>1405</v>
      </c>
      <c r="B235" s="160">
        <v>22222211122222</v>
      </c>
      <c r="C235" s="160" t="s">
        <v>30</v>
      </c>
      <c r="D235" s="161">
        <v>1</v>
      </c>
      <c r="E235" s="56">
        <v>14</v>
      </c>
      <c r="F235" s="56">
        <v>11</v>
      </c>
      <c r="G235" s="56">
        <v>19</v>
      </c>
      <c r="H235" s="142">
        <v>8.4869000000000003</v>
      </c>
      <c r="I235" s="143">
        <v>5.0000000000000001E-4</v>
      </c>
      <c r="J235" s="142">
        <v>-49.658900000000003</v>
      </c>
      <c r="K235" s="143">
        <v>1.2999999999999999E-3</v>
      </c>
      <c r="L235" s="143">
        <v>3.9E-2</v>
      </c>
      <c r="M235" s="143">
        <v>5.0000000000000001E-3</v>
      </c>
      <c r="N235" s="143">
        <v>-6.0000000000000001E-3</v>
      </c>
      <c r="O235" s="143">
        <v>1E-4</v>
      </c>
      <c r="P235" s="143">
        <v>112.49</v>
      </c>
      <c r="Q235" s="143">
        <v>0.13</v>
      </c>
      <c r="R235" s="149">
        <f t="shared" si="13"/>
        <v>0.22960489867327596</v>
      </c>
      <c r="S235" s="57">
        <f t="shared" si="14"/>
        <v>2.6534480244933667E-4</v>
      </c>
    </row>
    <row r="236" spans="1:19">
      <c r="A236" s="44" t="s">
        <v>1406</v>
      </c>
      <c r="B236" s="45" t="s">
        <v>1494</v>
      </c>
      <c r="C236" s="45"/>
      <c r="D236" s="169">
        <v>0.25</v>
      </c>
      <c r="E236" s="4">
        <v>14</v>
      </c>
      <c r="F236" s="4">
        <v>12</v>
      </c>
      <c r="G236" s="4">
        <v>19</v>
      </c>
      <c r="H236" s="45">
        <v>7.5006000000000004</v>
      </c>
      <c r="I236" s="4">
        <v>8.9999999999999998E-4</v>
      </c>
      <c r="J236" s="45">
        <v>-43.738300000000002</v>
      </c>
      <c r="K236" s="4">
        <v>1.2999999999999999E-3</v>
      </c>
      <c r="L236" s="4">
        <v>3.2000000000000001E-2</v>
      </c>
      <c r="M236" s="4">
        <v>6.0000000000000001E-3</v>
      </c>
      <c r="N236" s="4">
        <v>-4.7000000000000002E-3</v>
      </c>
      <c r="O236" s="4">
        <v>2.0000000000000001E-4</v>
      </c>
      <c r="P236" s="4">
        <v>128.06</v>
      </c>
      <c r="Q236" s="4">
        <v>0.25</v>
      </c>
      <c r="R236" s="45">
        <f t="shared" si="13"/>
        <v>0.26138504155124653</v>
      </c>
      <c r="S236" s="22">
        <f t="shared" si="8"/>
        <v>5.1027846624872428E-4</v>
      </c>
    </row>
    <row r="237" spans="1:19">
      <c r="A237" s="23" t="s">
        <v>1406</v>
      </c>
      <c r="B237" s="4" t="s">
        <v>1494</v>
      </c>
      <c r="D237" s="165">
        <v>0.5</v>
      </c>
      <c r="E237" s="4">
        <v>14</v>
      </c>
      <c r="F237" s="4">
        <v>12</v>
      </c>
      <c r="G237" s="4">
        <v>19</v>
      </c>
      <c r="H237" s="4">
        <v>8.2949999999999999</v>
      </c>
      <c r="I237" s="4">
        <v>5.0000000000000001E-4</v>
      </c>
      <c r="J237" s="4">
        <v>-48.426499999999997</v>
      </c>
      <c r="K237" s="4">
        <v>1E-3</v>
      </c>
      <c r="L237" s="4">
        <v>2.8000000000000001E-2</v>
      </c>
      <c r="M237" s="4">
        <v>6.0000000000000001E-3</v>
      </c>
      <c r="N237" s="4">
        <v>-4.4000000000000003E-3</v>
      </c>
      <c r="O237" s="4">
        <v>1E-4</v>
      </c>
      <c r="P237" s="4">
        <v>127.03</v>
      </c>
      <c r="Q237" s="4">
        <v>0.11</v>
      </c>
      <c r="R237" s="4">
        <f t="shared" si="7"/>
        <v>0.25928269427030182</v>
      </c>
      <c r="S237" s="22">
        <f t="shared" si="8"/>
        <v>2.2452252514943869E-4</v>
      </c>
    </row>
    <row r="238" spans="1:19">
      <c r="A238" s="28" t="s">
        <v>1406</v>
      </c>
      <c r="B238" s="29" t="s">
        <v>1494</v>
      </c>
      <c r="C238" s="29"/>
      <c r="D238" s="166">
        <v>0.75</v>
      </c>
      <c r="E238" s="4">
        <v>14</v>
      </c>
      <c r="F238" s="4">
        <v>12</v>
      </c>
      <c r="G238" s="4">
        <v>19</v>
      </c>
      <c r="H238" s="29">
        <v>9.0885999999999996</v>
      </c>
      <c r="I238" s="4">
        <v>8.0000000000000004E-4</v>
      </c>
      <c r="J238" s="29">
        <v>-53.177700000000002</v>
      </c>
      <c r="K238" s="4">
        <v>1.8E-3</v>
      </c>
      <c r="L238" s="4">
        <v>0.03</v>
      </c>
      <c r="M238" s="4">
        <v>5.0000000000000001E-3</v>
      </c>
      <c r="N238" s="4">
        <v>-4.1000000000000003E-3</v>
      </c>
      <c r="O238" s="4">
        <v>1E-4</v>
      </c>
      <c r="P238" s="4">
        <v>125.98</v>
      </c>
      <c r="Q238" s="4">
        <v>0.13</v>
      </c>
      <c r="R238" s="29">
        <f t="shared" si="7"/>
        <v>0.25713952471205714</v>
      </c>
      <c r="S238" s="22">
        <f t="shared" si="8"/>
        <v>2.6534480244933667E-4</v>
      </c>
    </row>
    <row r="239" spans="1:19">
      <c r="A239" s="33" t="s">
        <v>1406</v>
      </c>
      <c r="B239" s="34" t="s">
        <v>1494</v>
      </c>
      <c r="C239" s="34"/>
      <c r="D239" s="167">
        <v>1</v>
      </c>
      <c r="E239" s="4">
        <v>14</v>
      </c>
      <c r="F239" s="4">
        <v>12</v>
      </c>
      <c r="G239" s="4">
        <v>19</v>
      </c>
      <c r="H239" s="34">
        <v>9.8804999999999996</v>
      </c>
      <c r="I239" s="4">
        <v>8.9999999999999998E-4</v>
      </c>
      <c r="J239" s="34">
        <v>-57.9786</v>
      </c>
      <c r="K239" s="4">
        <v>1.1999999999999999E-3</v>
      </c>
      <c r="L239" s="4">
        <v>2.9000000000000001E-2</v>
      </c>
      <c r="M239" s="4">
        <v>3.0000000000000001E-3</v>
      </c>
      <c r="N239" s="4">
        <v>-4.0000000000000001E-3</v>
      </c>
      <c r="O239" s="4">
        <v>1E-4</v>
      </c>
      <c r="P239" s="4">
        <v>124.52</v>
      </c>
      <c r="Q239" s="4">
        <v>0.16</v>
      </c>
      <c r="R239" s="34">
        <f t="shared" si="7"/>
        <v>0.25415949846916458</v>
      </c>
      <c r="S239" s="22">
        <f t="shared" si="8"/>
        <v>3.2657821839918356E-4</v>
      </c>
    </row>
    <row r="240" spans="1:19">
      <c r="A240" s="44" t="s">
        <v>1407</v>
      </c>
      <c r="B240" s="168">
        <v>11222222222222</v>
      </c>
      <c r="C240" s="168" t="s">
        <v>17</v>
      </c>
      <c r="D240" s="169">
        <v>0.25</v>
      </c>
      <c r="E240" s="4">
        <v>14</v>
      </c>
      <c r="F240" s="4">
        <v>12</v>
      </c>
      <c r="G240" s="4">
        <v>19</v>
      </c>
      <c r="H240" s="45">
        <v>7.4012000000000002</v>
      </c>
      <c r="I240" s="4">
        <v>1E-3</v>
      </c>
      <c r="J240" s="45">
        <v>-43.910200000000003</v>
      </c>
      <c r="K240" s="4">
        <v>1.1999999999999999E-3</v>
      </c>
      <c r="L240" s="4">
        <v>5.3999999999999999E-2</v>
      </c>
      <c r="M240" s="4">
        <v>1.4E-2</v>
      </c>
      <c r="N240" s="4">
        <v>-5.1999999999999998E-3</v>
      </c>
      <c r="O240" s="4">
        <v>1E-4</v>
      </c>
      <c r="P240" s="4">
        <v>126.68</v>
      </c>
      <c r="Q240" s="4">
        <v>0.21</v>
      </c>
      <c r="R240" s="45">
        <f t="shared" si="7"/>
        <v>0.25856830441755357</v>
      </c>
      <c r="S240" s="22">
        <f t="shared" si="8"/>
        <v>4.2863391164892843E-4</v>
      </c>
    </row>
    <row r="241" spans="1:19">
      <c r="A241" s="23" t="s">
        <v>1407</v>
      </c>
      <c r="B241" s="170">
        <v>11222222222222</v>
      </c>
      <c r="C241" s="170" t="s">
        <v>17</v>
      </c>
      <c r="D241" s="165">
        <v>0.5</v>
      </c>
      <c r="E241" s="4">
        <v>14</v>
      </c>
      <c r="F241" s="4">
        <v>12</v>
      </c>
      <c r="G241" s="4">
        <v>19</v>
      </c>
      <c r="H241" s="4">
        <v>8.0663999999999998</v>
      </c>
      <c r="I241" s="4">
        <v>1E-3</v>
      </c>
      <c r="J241" s="4">
        <v>-49.0122</v>
      </c>
      <c r="K241" s="4">
        <v>2E-3</v>
      </c>
      <c r="L241" s="4">
        <v>0.11</v>
      </c>
      <c r="M241" s="4">
        <v>8.9999999999999993E-3</v>
      </c>
      <c r="N241" s="4">
        <v>-6.3E-3</v>
      </c>
      <c r="O241" s="4">
        <v>1E-4</v>
      </c>
      <c r="P241" s="4">
        <v>120.8</v>
      </c>
      <c r="Q241" s="4">
        <v>0.35</v>
      </c>
      <c r="R241" s="4">
        <f t="shared" si="7"/>
        <v>0.2465665548913836</v>
      </c>
      <c r="S241" s="22">
        <f t="shared" si="8"/>
        <v>7.143898527482139E-4</v>
      </c>
    </row>
    <row r="242" spans="1:19">
      <c r="A242" s="28" t="s">
        <v>1407</v>
      </c>
      <c r="B242" s="171">
        <v>11222222222222</v>
      </c>
      <c r="C242" s="171" t="s">
        <v>17</v>
      </c>
      <c r="D242" s="166">
        <v>0.75</v>
      </c>
      <c r="E242" s="4">
        <v>14</v>
      </c>
      <c r="F242" s="4">
        <v>12</v>
      </c>
      <c r="G242" s="4">
        <v>19</v>
      </c>
      <c r="H242" s="29">
        <v>8.7073999999999998</v>
      </c>
      <c r="I242" s="4">
        <v>2.0000000000000001E-4</v>
      </c>
      <c r="J242" s="29">
        <v>-54.427300000000002</v>
      </c>
      <c r="K242" s="4">
        <v>2.2000000000000001E-3</v>
      </c>
      <c r="L242" s="4">
        <v>0.14799999999999999</v>
      </c>
      <c r="M242" s="4">
        <v>5.0000000000000001E-3</v>
      </c>
      <c r="N242" s="4">
        <v>-7.7000000000000002E-3</v>
      </c>
      <c r="O242" s="4">
        <v>0</v>
      </c>
      <c r="P242" s="4">
        <v>111.06</v>
      </c>
      <c r="Q242" s="4">
        <v>0.15</v>
      </c>
      <c r="R242" s="29">
        <f t="shared" si="7"/>
        <v>0.22668610584633331</v>
      </c>
      <c r="S242" s="22">
        <f t="shared" si="8"/>
        <v>3.061670797492346E-4</v>
      </c>
    </row>
    <row r="243" spans="1:19">
      <c r="A243" s="133" t="s">
        <v>1408</v>
      </c>
      <c r="B243" s="168">
        <v>12222222222221</v>
      </c>
      <c r="C243" s="168" t="s">
        <v>19</v>
      </c>
      <c r="D243" s="169">
        <v>0.25</v>
      </c>
      <c r="E243" s="4">
        <v>14</v>
      </c>
      <c r="F243" s="4">
        <v>12</v>
      </c>
      <c r="G243" s="4">
        <v>19</v>
      </c>
      <c r="H243" s="45">
        <v>7.3781999999999996</v>
      </c>
      <c r="I243" s="4">
        <v>5.9999999999999995E-4</v>
      </c>
      <c r="J243" s="45">
        <v>-43.7453</v>
      </c>
      <c r="K243" s="4">
        <v>1.6000000000000001E-3</v>
      </c>
      <c r="L243" s="4">
        <v>4.7E-2</v>
      </c>
      <c r="M243" s="4">
        <v>7.0000000000000001E-3</v>
      </c>
      <c r="N243" s="4">
        <v>-5.1000000000000004E-3</v>
      </c>
      <c r="O243" s="4">
        <v>2.0000000000000001E-4</v>
      </c>
      <c r="P243" s="4">
        <v>127.71</v>
      </c>
      <c r="Q243" s="4">
        <v>0.17</v>
      </c>
      <c r="R243" s="45">
        <f t="shared" si="7"/>
        <v>0.26067065169849829</v>
      </c>
      <c r="S243" s="22">
        <f t="shared" si="8"/>
        <v>3.4698935704913258E-4</v>
      </c>
    </row>
    <row r="244" spans="1:19">
      <c r="A244" s="89" t="s">
        <v>1408</v>
      </c>
      <c r="B244" s="170">
        <v>12222222222221</v>
      </c>
      <c r="C244" s="170" t="s">
        <v>19</v>
      </c>
      <c r="D244" s="165">
        <v>0.5</v>
      </c>
      <c r="E244" s="4">
        <v>14</v>
      </c>
      <c r="F244" s="4">
        <v>12</v>
      </c>
      <c r="G244" s="4">
        <v>19</v>
      </c>
      <c r="H244" s="4">
        <v>8.0353999999999992</v>
      </c>
      <c r="I244" s="4">
        <v>5.9999999999999995E-4</v>
      </c>
      <c r="J244" s="4">
        <v>-48.537999999999997</v>
      </c>
      <c r="K244" s="4">
        <v>6.9999999999999999E-4</v>
      </c>
      <c r="L244" s="4">
        <v>8.4000000000000005E-2</v>
      </c>
      <c r="M244" s="4">
        <v>1.2E-2</v>
      </c>
      <c r="N244" s="4">
        <v>-5.1999999999999998E-3</v>
      </c>
      <c r="O244" s="4">
        <v>1E-4</v>
      </c>
      <c r="P244" s="4">
        <v>125.38</v>
      </c>
      <c r="Q244" s="4">
        <v>0.11</v>
      </c>
      <c r="R244" s="4">
        <f>P244*E244/G244^3</f>
        <v>0.25591485639306022</v>
      </c>
      <c r="S244" s="22">
        <f>Q244*E244/G244^3</f>
        <v>2.2452252514943869E-4</v>
      </c>
    </row>
    <row r="245" spans="1:19">
      <c r="A245" s="92" t="s">
        <v>1408</v>
      </c>
      <c r="B245" s="171">
        <v>12222222222221</v>
      </c>
      <c r="C245" s="171" t="s">
        <v>19</v>
      </c>
      <c r="D245" s="166">
        <v>0.75</v>
      </c>
      <c r="E245" s="4">
        <v>14</v>
      </c>
      <c r="F245" s="4">
        <v>12</v>
      </c>
      <c r="G245" s="4">
        <v>19</v>
      </c>
      <c r="H245" s="29">
        <v>8.6769999999999996</v>
      </c>
      <c r="I245" s="4">
        <v>4.0000000000000002E-4</v>
      </c>
      <c r="J245" s="29">
        <v>-53.492800000000003</v>
      </c>
      <c r="K245" s="4">
        <v>5.0000000000000001E-4</v>
      </c>
      <c r="L245" s="4">
        <v>0.12</v>
      </c>
      <c r="M245" s="4">
        <v>5.0000000000000001E-3</v>
      </c>
      <c r="N245" s="4">
        <v>-5.7000000000000002E-3</v>
      </c>
      <c r="O245" s="4">
        <v>1E-4</v>
      </c>
      <c r="P245" s="4">
        <v>121.36</v>
      </c>
      <c r="Q245" s="4">
        <v>0.21</v>
      </c>
      <c r="R245" s="29">
        <f t="shared" ref="R245:R246" si="15">P245*E245/G245^3</f>
        <v>0.24770957865578072</v>
      </c>
      <c r="S245" s="22">
        <f t="shared" ref="S245:S246" si="16">Q245*E245/G245^3</f>
        <v>4.2863391164892843E-4</v>
      </c>
    </row>
    <row r="246" spans="1:19">
      <c r="A246" s="133" t="s">
        <v>1409</v>
      </c>
      <c r="B246" s="168">
        <v>22222211222222</v>
      </c>
      <c r="C246" s="168" t="s">
        <v>30</v>
      </c>
      <c r="D246" s="169">
        <v>0.25</v>
      </c>
      <c r="E246" s="39">
        <v>14</v>
      </c>
      <c r="F246" s="39">
        <v>12</v>
      </c>
      <c r="G246" s="39">
        <v>19</v>
      </c>
      <c r="H246" s="45">
        <v>7.5286</v>
      </c>
      <c r="I246" s="4">
        <v>1E-3</v>
      </c>
      <c r="J246" s="45">
        <v>-43.6631</v>
      </c>
      <c r="K246" s="4">
        <v>1.4E-3</v>
      </c>
      <c r="L246" s="4">
        <v>2.7E-2</v>
      </c>
      <c r="M246" s="4">
        <v>0.02</v>
      </c>
      <c r="N246" s="4">
        <v>-4.7000000000000002E-3</v>
      </c>
      <c r="O246" s="4">
        <v>2.0000000000000001E-4</v>
      </c>
      <c r="P246" s="4">
        <v>127.32</v>
      </c>
      <c r="Q246" s="4">
        <v>0.2</v>
      </c>
      <c r="R246" s="45">
        <f t="shared" si="15"/>
        <v>0.2598746172911503</v>
      </c>
      <c r="S246" s="22">
        <f t="shared" si="16"/>
        <v>4.0822277299897946E-4</v>
      </c>
    </row>
    <row r="247" spans="1:19">
      <c r="A247" s="89" t="s">
        <v>1409</v>
      </c>
      <c r="B247" s="170">
        <v>22222211222222</v>
      </c>
      <c r="C247" s="170" t="s">
        <v>30</v>
      </c>
      <c r="D247" s="165">
        <v>0.5</v>
      </c>
      <c r="E247" s="4">
        <v>14</v>
      </c>
      <c r="F247" s="4">
        <v>12</v>
      </c>
      <c r="G247" s="4">
        <v>19</v>
      </c>
      <c r="H247" s="4">
        <v>8.3481000000000005</v>
      </c>
      <c r="I247" s="4">
        <v>4.0000000000000002E-4</v>
      </c>
      <c r="J247" s="4">
        <v>-48.341299999999997</v>
      </c>
      <c r="K247" s="4">
        <v>1.4E-3</v>
      </c>
      <c r="L247" s="4">
        <v>2.4E-2</v>
      </c>
      <c r="M247" s="4">
        <v>2E-3</v>
      </c>
      <c r="N247" s="4">
        <v>-4.4000000000000003E-3</v>
      </c>
      <c r="O247" s="4">
        <v>1E-4</v>
      </c>
      <c r="P247" s="4">
        <v>125.54</v>
      </c>
      <c r="Q247" s="4">
        <v>0.08</v>
      </c>
      <c r="R247" s="4">
        <f t="shared" si="7"/>
        <v>0.25624143461145943</v>
      </c>
      <c r="S247" s="22">
        <f t="shared" si="8"/>
        <v>1.6328910919959178E-4</v>
      </c>
    </row>
    <row r="248" spans="1:19">
      <c r="A248" s="92" t="s">
        <v>1409</v>
      </c>
      <c r="B248" s="171">
        <v>22222211222222</v>
      </c>
      <c r="C248" s="171" t="s">
        <v>30</v>
      </c>
      <c r="D248" s="166">
        <v>0.75</v>
      </c>
      <c r="E248" s="4">
        <v>14</v>
      </c>
      <c r="F248" s="4">
        <v>12</v>
      </c>
      <c r="G248" s="4">
        <v>19</v>
      </c>
      <c r="H248" s="29">
        <v>9.1654</v>
      </c>
      <c r="I248" s="4">
        <v>4.0000000000000002E-4</v>
      </c>
      <c r="J248" s="29">
        <v>-53.140300000000003</v>
      </c>
      <c r="K248" s="4">
        <v>1.1999999999999999E-3</v>
      </c>
      <c r="L248" s="4">
        <v>2.5000000000000001E-2</v>
      </c>
      <c r="M248" s="4">
        <v>4.0000000000000001E-3</v>
      </c>
      <c r="N248" s="4">
        <v>-4.4000000000000003E-3</v>
      </c>
      <c r="O248" s="4">
        <v>1E-4</v>
      </c>
      <c r="P248" s="4">
        <v>122.95</v>
      </c>
      <c r="Q248" s="4">
        <v>0.22</v>
      </c>
      <c r="R248" s="29">
        <f t="shared" si="7"/>
        <v>0.25095494970112259</v>
      </c>
      <c r="S248" s="22">
        <f t="shared" si="8"/>
        <v>4.4904505029887739E-4</v>
      </c>
    </row>
    <row r="249" spans="1:19" ht="17" thickBot="1">
      <c r="A249" s="49" t="s">
        <v>1409</v>
      </c>
      <c r="B249" s="174">
        <v>22222211222222</v>
      </c>
      <c r="C249" s="174" t="s">
        <v>30</v>
      </c>
      <c r="D249" s="167">
        <v>1</v>
      </c>
      <c r="E249" s="4">
        <v>14</v>
      </c>
      <c r="F249" s="4">
        <v>12</v>
      </c>
      <c r="G249" s="4">
        <v>19</v>
      </c>
      <c r="H249" s="34">
        <v>9.9834999999999994</v>
      </c>
      <c r="I249" s="4">
        <v>8.9999999999999998E-4</v>
      </c>
      <c r="J249" s="34">
        <v>-58.03</v>
      </c>
      <c r="K249" s="4">
        <v>2.3E-3</v>
      </c>
      <c r="L249" s="4">
        <v>0.02</v>
      </c>
      <c r="M249" s="4">
        <v>4.0000000000000001E-3</v>
      </c>
      <c r="N249" s="4">
        <v>-4.3E-3</v>
      </c>
      <c r="O249" s="4">
        <v>1E-4</v>
      </c>
      <c r="P249" s="4">
        <v>120.57</v>
      </c>
      <c r="Q249" s="4">
        <v>0.15</v>
      </c>
      <c r="R249" s="34">
        <f t="shared" si="7"/>
        <v>0.24609709870243476</v>
      </c>
      <c r="S249" s="22">
        <f t="shared" si="8"/>
        <v>3.061670797492346E-4</v>
      </c>
    </row>
    <row r="250" spans="1:19">
      <c r="A250" s="151" t="s">
        <v>1410</v>
      </c>
      <c r="B250" s="145" t="s">
        <v>1498</v>
      </c>
      <c r="C250" s="163" t="s">
        <v>17</v>
      </c>
      <c r="D250" s="152">
        <v>0.25</v>
      </c>
      <c r="E250" s="150">
        <v>14</v>
      </c>
      <c r="F250" s="150">
        <v>13</v>
      </c>
      <c r="G250" s="150">
        <v>19</v>
      </c>
      <c r="H250" s="145">
        <v>7.8554000000000004</v>
      </c>
      <c r="I250" s="150">
        <v>8.9999999999999998E-4</v>
      </c>
      <c r="J250" s="145">
        <v>-46.249699999999997</v>
      </c>
      <c r="K250" s="150">
        <v>5.9999999999999995E-4</v>
      </c>
      <c r="L250" s="150">
        <v>3.3000000000000002E-2</v>
      </c>
      <c r="M250" s="150">
        <v>5.0000000000000001E-3</v>
      </c>
      <c r="N250" s="150">
        <v>-4.7000000000000002E-3</v>
      </c>
      <c r="O250" s="150">
        <v>1E-4</v>
      </c>
      <c r="P250" s="150">
        <v>127.82</v>
      </c>
      <c r="Q250" s="150">
        <v>0.1</v>
      </c>
      <c r="R250" s="145">
        <f t="shared" si="7"/>
        <v>0.26089517422364777</v>
      </c>
      <c r="S250" s="144">
        <f t="shared" si="8"/>
        <v>2.0411138649948973E-4</v>
      </c>
    </row>
    <row r="251" spans="1:19">
      <c r="A251" s="23" t="s">
        <v>1410</v>
      </c>
      <c r="B251" s="4" t="s">
        <v>1498</v>
      </c>
      <c r="C251" s="170" t="s">
        <v>17</v>
      </c>
      <c r="D251" s="165">
        <v>0.5</v>
      </c>
      <c r="E251" s="4">
        <v>14</v>
      </c>
      <c r="F251" s="4">
        <v>13</v>
      </c>
      <c r="G251" s="4">
        <v>19</v>
      </c>
      <c r="H251" s="4">
        <v>8.9984999999999999</v>
      </c>
      <c r="I251" s="4">
        <v>1E-3</v>
      </c>
      <c r="J251" s="4">
        <v>-53.460799999999999</v>
      </c>
      <c r="K251" s="4">
        <v>1.1000000000000001E-3</v>
      </c>
      <c r="L251" s="4">
        <v>4.8000000000000001E-2</v>
      </c>
      <c r="M251" s="4">
        <v>0.01</v>
      </c>
      <c r="N251" s="4">
        <v>-4.5999999999999999E-3</v>
      </c>
      <c r="O251" s="4">
        <v>2.0000000000000001E-4</v>
      </c>
      <c r="P251" s="4">
        <v>126.11</v>
      </c>
      <c r="Q251" s="4">
        <v>0.27</v>
      </c>
      <c r="R251" s="4">
        <f t="shared" si="7"/>
        <v>0.25740486951450647</v>
      </c>
      <c r="S251" s="22">
        <f t="shared" si="8"/>
        <v>5.5110074354862231E-4</v>
      </c>
    </row>
    <row r="252" spans="1:19">
      <c r="A252" s="28" t="s">
        <v>1410</v>
      </c>
      <c r="B252" s="29" t="s">
        <v>1498</v>
      </c>
      <c r="C252" s="171" t="s">
        <v>17</v>
      </c>
      <c r="D252" s="166">
        <v>0.75</v>
      </c>
      <c r="E252" s="4">
        <v>14</v>
      </c>
      <c r="F252" s="4">
        <v>13</v>
      </c>
      <c r="G252" s="4">
        <v>19</v>
      </c>
      <c r="H252" s="29">
        <v>10.130800000000001</v>
      </c>
      <c r="I252" s="4">
        <v>1E-3</v>
      </c>
      <c r="J252" s="29">
        <v>-60.747999999999998</v>
      </c>
      <c r="K252" s="4">
        <v>3.3E-3</v>
      </c>
      <c r="L252" s="4">
        <v>8.2000000000000003E-2</v>
      </c>
      <c r="M252" s="4">
        <v>6.0000000000000001E-3</v>
      </c>
      <c r="N252" s="4">
        <v>-4.1999999999999997E-3</v>
      </c>
      <c r="O252" s="4">
        <v>1E-4</v>
      </c>
      <c r="P252" s="4">
        <v>124.66</v>
      </c>
      <c r="Q252" s="4">
        <v>0.28000000000000003</v>
      </c>
      <c r="R252" s="29">
        <f t="shared" si="7"/>
        <v>0.25444525441026389</v>
      </c>
      <c r="S252" s="22">
        <f t="shared" si="8"/>
        <v>5.7151188219857127E-4</v>
      </c>
    </row>
    <row r="253" spans="1:19">
      <c r="A253" s="33" t="s">
        <v>1410</v>
      </c>
      <c r="B253" s="34" t="s">
        <v>1498</v>
      </c>
      <c r="C253" s="174" t="s">
        <v>17</v>
      </c>
      <c r="D253" s="167">
        <v>1</v>
      </c>
      <c r="E253" s="4">
        <v>14</v>
      </c>
      <c r="F253" s="4">
        <v>13</v>
      </c>
      <c r="G253" s="4">
        <v>19</v>
      </c>
      <c r="H253" s="34">
        <v>11.2652</v>
      </c>
      <c r="I253" s="4">
        <v>8.9999999999999998E-4</v>
      </c>
      <c r="J253" s="34">
        <v>-68.078100000000006</v>
      </c>
      <c r="K253" s="4">
        <v>2.5999999999999999E-3</v>
      </c>
      <c r="L253" s="4">
        <v>9.0999999999999998E-2</v>
      </c>
      <c r="M253" s="4">
        <v>8.0000000000000002E-3</v>
      </c>
      <c r="N253" s="4">
        <v>-4.1999999999999997E-3</v>
      </c>
      <c r="O253" s="4">
        <v>1E-4</v>
      </c>
      <c r="P253" s="4">
        <v>122.57</v>
      </c>
      <c r="Q253" s="4">
        <v>0.1</v>
      </c>
      <c r="R253" s="34">
        <f t="shared" si="7"/>
        <v>0.25017932643242458</v>
      </c>
      <c r="S253" s="22">
        <f t="shared" si="8"/>
        <v>2.0411138649948973E-4</v>
      </c>
    </row>
    <row r="254" spans="1:19">
      <c r="A254" s="133" t="s">
        <v>1411</v>
      </c>
      <c r="B254" s="168">
        <v>22222212222222</v>
      </c>
      <c r="C254" s="168" t="s">
        <v>30</v>
      </c>
      <c r="D254" s="169">
        <v>0.25</v>
      </c>
      <c r="E254" s="4">
        <v>14</v>
      </c>
      <c r="F254" s="4">
        <v>13</v>
      </c>
      <c r="G254" s="4">
        <v>19</v>
      </c>
      <c r="H254" s="45">
        <v>7.9386999999999999</v>
      </c>
      <c r="I254" s="4">
        <v>1E-3</v>
      </c>
      <c r="J254" s="45">
        <v>-46.200400000000002</v>
      </c>
      <c r="K254" s="4">
        <v>1.8E-3</v>
      </c>
      <c r="L254" s="4">
        <v>2.1999999999999999E-2</v>
      </c>
      <c r="M254" s="4">
        <v>8.0000000000000002E-3</v>
      </c>
      <c r="N254" s="4">
        <v>-4.3E-3</v>
      </c>
      <c r="O254" s="4">
        <v>1E-4</v>
      </c>
      <c r="P254" s="4">
        <v>128.11000000000001</v>
      </c>
      <c r="Q254" s="4">
        <v>0.16</v>
      </c>
      <c r="R254" s="45">
        <f t="shared" si="7"/>
        <v>0.26148709724449631</v>
      </c>
      <c r="S254" s="22">
        <f t="shared" si="8"/>
        <v>3.2657821839918356E-4</v>
      </c>
    </row>
    <row r="255" spans="1:19">
      <c r="A255" s="89" t="s">
        <v>1411</v>
      </c>
      <c r="B255" s="170">
        <v>22222212222222</v>
      </c>
      <c r="C255" s="170" t="s">
        <v>30</v>
      </c>
      <c r="D255" s="165">
        <v>0.5</v>
      </c>
      <c r="E255" s="4">
        <v>14</v>
      </c>
      <c r="F255" s="4">
        <v>13</v>
      </c>
      <c r="G255" s="4">
        <v>19</v>
      </c>
      <c r="H255" s="4">
        <v>9.1717999999999993</v>
      </c>
      <c r="I255" s="4">
        <v>1E-3</v>
      </c>
      <c r="J255" s="4">
        <v>-53.323900000000002</v>
      </c>
      <c r="K255" s="4">
        <v>1.6999999999999999E-3</v>
      </c>
      <c r="L255" s="4">
        <v>2.4E-2</v>
      </c>
      <c r="M255" s="4">
        <v>4.0000000000000001E-3</v>
      </c>
      <c r="N255" s="4">
        <v>-3.8E-3</v>
      </c>
      <c r="O255" s="4">
        <v>1E-4</v>
      </c>
      <c r="P255" s="4">
        <v>127.44</v>
      </c>
      <c r="Q255" s="4">
        <v>0.05</v>
      </c>
      <c r="R255" s="4">
        <f t="shared" si="7"/>
        <v>0.26011955095494971</v>
      </c>
      <c r="S255" s="22">
        <f t="shared" si="8"/>
        <v>1.0205569324974487E-4</v>
      </c>
    </row>
    <row r="256" spans="1:19">
      <c r="A256" s="92" t="s">
        <v>1411</v>
      </c>
      <c r="B256" s="171">
        <v>22222212222222</v>
      </c>
      <c r="C256" s="171" t="s">
        <v>30</v>
      </c>
      <c r="D256" s="166">
        <v>0.75</v>
      </c>
      <c r="E256" s="4">
        <v>14</v>
      </c>
      <c r="F256" s="4">
        <v>13</v>
      </c>
      <c r="G256" s="4">
        <v>19</v>
      </c>
      <c r="H256" s="29">
        <v>10.401999999999999</v>
      </c>
      <c r="I256" s="4">
        <v>1E-3</v>
      </c>
      <c r="J256" s="29">
        <v>-60.480800000000002</v>
      </c>
      <c r="K256" s="4">
        <v>1.6999999999999999E-3</v>
      </c>
      <c r="L256" s="4">
        <v>0.02</v>
      </c>
      <c r="M256" s="4">
        <v>2E-3</v>
      </c>
      <c r="N256" s="4">
        <v>-3.5000000000000001E-3</v>
      </c>
      <c r="O256" s="4">
        <v>0</v>
      </c>
      <c r="P256" s="4">
        <v>126.66</v>
      </c>
      <c r="Q256" s="4">
        <v>0.04</v>
      </c>
      <c r="R256" s="29">
        <f t="shared" si="7"/>
        <v>0.25852748214025367</v>
      </c>
      <c r="S256" s="22">
        <f t="shared" si="8"/>
        <v>8.164455459979589E-5</v>
      </c>
    </row>
    <row r="257" spans="1:19" ht="17" thickBot="1">
      <c r="A257" s="148" t="s">
        <v>1411</v>
      </c>
      <c r="B257" s="160">
        <v>22222212222222</v>
      </c>
      <c r="C257" s="160" t="s">
        <v>30</v>
      </c>
      <c r="D257" s="161">
        <v>1</v>
      </c>
      <c r="E257" s="56">
        <v>14</v>
      </c>
      <c r="F257" s="56">
        <v>13</v>
      </c>
      <c r="G257" s="56">
        <v>19</v>
      </c>
      <c r="H257" s="149">
        <v>11.6335</v>
      </c>
      <c r="I257" s="56">
        <v>8.0000000000000004E-4</v>
      </c>
      <c r="J257" s="149">
        <v>-67.662099999999995</v>
      </c>
      <c r="K257" s="56">
        <v>1.1000000000000001E-3</v>
      </c>
      <c r="L257" s="56">
        <v>0.03</v>
      </c>
      <c r="M257" s="56">
        <v>6.0000000000000001E-3</v>
      </c>
      <c r="N257" s="56">
        <v>-3.2000000000000002E-3</v>
      </c>
      <c r="O257" s="56">
        <v>1E-4</v>
      </c>
      <c r="P257" s="56">
        <v>125.95</v>
      </c>
      <c r="Q257" s="56">
        <v>0.1</v>
      </c>
      <c r="R257" s="149">
        <f t="shared" si="7"/>
        <v>0.25707829129610732</v>
      </c>
      <c r="S257" s="57">
        <f t="shared" si="8"/>
        <v>2.0411138649948973E-4</v>
      </c>
    </row>
    <row r="258" spans="1:19">
      <c r="A258" s="109" t="s">
        <v>1412</v>
      </c>
      <c r="B258" s="113" t="s">
        <v>1711</v>
      </c>
      <c r="C258" s="113" t="s">
        <v>13</v>
      </c>
      <c r="D258" s="164">
        <v>0</v>
      </c>
      <c r="E258" s="4">
        <v>14</v>
      </c>
      <c r="F258" s="4">
        <v>14</v>
      </c>
      <c r="G258" s="4">
        <v>19</v>
      </c>
      <c r="H258" s="113">
        <v>6.7015000000000002</v>
      </c>
      <c r="I258" s="4">
        <v>1E-4</v>
      </c>
      <c r="J258" s="113">
        <v>-39.135199999999998</v>
      </c>
      <c r="K258" s="4">
        <v>1.8E-3</v>
      </c>
      <c r="L258" s="4">
        <v>2.8000000000000001E-2</v>
      </c>
      <c r="M258" s="4">
        <v>5.0000000000000001E-3</v>
      </c>
      <c r="N258" s="4">
        <v>-5.1000000000000004E-3</v>
      </c>
      <c r="O258" s="4">
        <v>1E-4</v>
      </c>
      <c r="P258" s="4">
        <v>128.54</v>
      </c>
      <c r="Q258" s="4">
        <v>0.21</v>
      </c>
      <c r="R258" s="113">
        <f>P258*E258/G258^3</f>
        <v>0.26236477620644411</v>
      </c>
      <c r="S258" s="22">
        <f>Q258*E258/G258^3</f>
        <v>4.2863391164892843E-4</v>
      </c>
    </row>
    <row r="259" spans="1:19">
      <c r="A259" s="44" t="s">
        <v>1412</v>
      </c>
      <c r="B259" s="45" t="s">
        <v>1711</v>
      </c>
      <c r="C259" s="45" t="s">
        <v>13</v>
      </c>
      <c r="D259" s="169">
        <v>0.25</v>
      </c>
      <c r="E259" s="4">
        <v>14</v>
      </c>
      <c r="F259" s="4">
        <v>14</v>
      </c>
      <c r="G259" s="4">
        <v>19</v>
      </c>
      <c r="H259" s="45">
        <v>8.3773</v>
      </c>
      <c r="I259" s="4">
        <v>4.0000000000000002E-4</v>
      </c>
      <c r="J259" s="45">
        <v>-48.920499999999997</v>
      </c>
      <c r="K259" s="4">
        <v>1.2999999999999999E-3</v>
      </c>
      <c r="L259" s="4">
        <v>0.03</v>
      </c>
      <c r="M259" s="4">
        <v>1.0999999999999999E-2</v>
      </c>
      <c r="N259" s="4">
        <v>-4.1999999999999997E-3</v>
      </c>
      <c r="O259" s="4">
        <v>2.0000000000000001E-4</v>
      </c>
      <c r="P259" s="4">
        <v>128.30000000000001</v>
      </c>
      <c r="Q259" s="4">
        <v>0.22</v>
      </c>
      <c r="R259" s="45">
        <f>P259*E259/G259^3</f>
        <v>0.26187490887884535</v>
      </c>
      <c r="S259" s="22">
        <f>Q259*E259/G259^3</f>
        <v>4.4904505029887739E-4</v>
      </c>
    </row>
    <row r="260" spans="1:19">
      <c r="A260" s="23" t="s">
        <v>1412</v>
      </c>
      <c r="B260" s="4" t="s">
        <v>1711</v>
      </c>
      <c r="C260" s="4" t="s">
        <v>13</v>
      </c>
      <c r="D260" s="165">
        <v>0.5</v>
      </c>
      <c r="E260" s="4">
        <v>14</v>
      </c>
      <c r="F260" s="4">
        <v>14</v>
      </c>
      <c r="G260" s="4">
        <v>19</v>
      </c>
      <c r="H260" s="4">
        <v>10.053000000000001</v>
      </c>
      <c r="I260" s="4">
        <v>6.9999999999999999E-4</v>
      </c>
      <c r="J260" s="4">
        <v>-58.702399999999997</v>
      </c>
      <c r="K260" s="4">
        <v>2.0999999999999999E-3</v>
      </c>
      <c r="L260" s="4">
        <v>2.1999999999999999E-2</v>
      </c>
      <c r="M260" s="4">
        <v>6.0000000000000001E-3</v>
      </c>
      <c r="N260" s="4">
        <v>-3.3999999999999998E-3</v>
      </c>
      <c r="O260" s="4">
        <v>1E-4</v>
      </c>
      <c r="P260" s="4">
        <v>128.44</v>
      </c>
      <c r="Q260" s="4">
        <v>0.1</v>
      </c>
      <c r="R260" s="4">
        <f t="shared" si="7"/>
        <v>0.2621606648199446</v>
      </c>
      <c r="S260" s="22">
        <f t="shared" si="8"/>
        <v>2.0411138649948973E-4</v>
      </c>
    </row>
    <row r="261" spans="1:19">
      <c r="A261" s="28" t="s">
        <v>1412</v>
      </c>
      <c r="B261" s="29" t="s">
        <v>1711</v>
      </c>
      <c r="C261" s="29" t="s">
        <v>13</v>
      </c>
      <c r="D261" s="166">
        <v>0.75</v>
      </c>
      <c r="E261" s="4">
        <v>14</v>
      </c>
      <c r="F261" s="4">
        <v>14</v>
      </c>
      <c r="G261" s="4">
        <v>19</v>
      </c>
      <c r="H261" s="29">
        <v>11.7285</v>
      </c>
      <c r="I261" s="4">
        <v>8.9999999999999998E-4</v>
      </c>
      <c r="J261" s="29">
        <v>-68.485799999999998</v>
      </c>
      <c r="K261" s="4">
        <v>1.1000000000000001E-3</v>
      </c>
      <c r="L261" s="4">
        <v>2.9000000000000001E-2</v>
      </c>
      <c r="M261" s="4">
        <v>4.0000000000000001E-3</v>
      </c>
      <c r="N261" s="4">
        <v>-3.0000000000000001E-3</v>
      </c>
      <c r="O261" s="4">
        <v>0</v>
      </c>
      <c r="P261" s="4">
        <v>128.34</v>
      </c>
      <c r="Q261" s="4">
        <v>0.03</v>
      </c>
      <c r="R261" s="29">
        <f t="shared" ref="R261:R262" si="17">P261*E261/G261^3</f>
        <v>0.26195655343344509</v>
      </c>
      <c r="S261" s="22">
        <f t="shared" ref="S261:S262" si="18">Q261*E261/G261^3</f>
        <v>6.1233415949846914E-5</v>
      </c>
    </row>
    <row r="262" spans="1:19" ht="17" thickBot="1">
      <c r="A262" s="162" t="s">
        <v>1412</v>
      </c>
      <c r="B262" s="149" t="s">
        <v>1711</v>
      </c>
      <c r="C262" s="149" t="s">
        <v>13</v>
      </c>
      <c r="D262" s="161">
        <v>1</v>
      </c>
      <c r="E262" s="56">
        <v>14</v>
      </c>
      <c r="F262" s="56">
        <v>14</v>
      </c>
      <c r="G262" s="56">
        <v>19</v>
      </c>
      <c r="H262" s="149">
        <v>13.3979</v>
      </c>
      <c r="I262" s="56">
        <v>8.0000000000000004E-4</v>
      </c>
      <c r="J262" s="149">
        <v>-78.277299999999997</v>
      </c>
      <c r="K262" s="56">
        <v>5.9999999999999995E-4</v>
      </c>
      <c r="L262" s="56">
        <v>9.6000000000000002E-2</v>
      </c>
      <c r="M262" s="56">
        <v>1.4999999999999999E-2</v>
      </c>
      <c r="N262" s="56">
        <v>-2.7000000000000001E-3</v>
      </c>
      <c r="O262" s="56">
        <v>4.0000000000000002E-4</v>
      </c>
      <c r="P262" s="56">
        <v>128.28</v>
      </c>
      <c r="Q262" s="56">
        <v>0.57999999999999996</v>
      </c>
      <c r="R262" s="149">
        <f t="shared" si="17"/>
        <v>0.26183408660154545</v>
      </c>
      <c r="S262" s="57">
        <f t="shared" si="18"/>
        <v>1.1838460416970403E-3</v>
      </c>
    </row>
    <row r="263" spans="1:19">
      <c r="A263" s="109" t="s">
        <v>1325</v>
      </c>
      <c r="B263" s="113" t="s">
        <v>1413</v>
      </c>
      <c r="C263" s="113"/>
      <c r="D263" s="113">
        <v>0</v>
      </c>
      <c r="E263" s="4">
        <v>14</v>
      </c>
      <c r="F263" s="4">
        <v>1</v>
      </c>
      <c r="G263" s="4">
        <v>19</v>
      </c>
      <c r="H263" s="113">
        <v>6.7015000000000002</v>
      </c>
      <c r="I263" s="4">
        <v>1E-4</v>
      </c>
      <c r="J263" s="113">
        <v>-39.135199999999998</v>
      </c>
      <c r="K263" s="4">
        <v>1.8E-3</v>
      </c>
      <c r="L263" s="4">
        <v>2.8000000000000001E-2</v>
      </c>
      <c r="M263" s="4">
        <v>5.0000000000000001E-3</v>
      </c>
      <c r="N263" s="4">
        <v>-5.1000000000000004E-3</v>
      </c>
      <c r="O263" s="4">
        <v>1E-4</v>
      </c>
      <c r="P263" s="4">
        <v>128.54</v>
      </c>
      <c r="Q263" s="4">
        <v>0.21</v>
      </c>
      <c r="R263" s="113">
        <f>P263*E263/G263^3</f>
        <v>0.26236477620644411</v>
      </c>
      <c r="S263" s="22">
        <f>Q263*E263/G263^3</f>
        <v>4.2863391164892843E-4</v>
      </c>
    </row>
    <row r="264" spans="1:19">
      <c r="A264" s="109" t="s">
        <v>1326</v>
      </c>
      <c r="B264" s="113" t="s">
        <v>1414</v>
      </c>
      <c r="C264" s="113"/>
      <c r="D264" s="113">
        <v>0</v>
      </c>
      <c r="E264" s="4">
        <v>14</v>
      </c>
      <c r="F264" s="4">
        <v>1</v>
      </c>
      <c r="G264" s="4">
        <v>19</v>
      </c>
      <c r="H264" s="113">
        <v>6.7015000000000002</v>
      </c>
      <c r="I264" s="4">
        <v>1E-4</v>
      </c>
      <c r="J264" s="113">
        <v>-39.135199999999998</v>
      </c>
      <c r="K264" s="4">
        <v>1.8E-3</v>
      </c>
      <c r="L264" s="4">
        <v>2.8000000000000001E-2</v>
      </c>
      <c r="M264" s="4">
        <v>5.0000000000000001E-3</v>
      </c>
      <c r="N264" s="4">
        <v>-5.1000000000000004E-3</v>
      </c>
      <c r="O264" s="4">
        <v>1E-4</v>
      </c>
      <c r="P264" s="4">
        <v>128.54</v>
      </c>
      <c r="Q264" s="4">
        <v>0.21</v>
      </c>
      <c r="R264" s="113">
        <f t="shared" ref="R264:R327" si="19">P264*E264/G264^3</f>
        <v>0.26236477620644411</v>
      </c>
      <c r="S264" s="22">
        <f t="shared" ref="S264:S327" si="20">Q264*E264/G264^3</f>
        <v>4.2863391164892843E-4</v>
      </c>
    </row>
    <row r="265" spans="1:19">
      <c r="A265" s="109" t="s">
        <v>1327</v>
      </c>
      <c r="B265" s="113" t="s">
        <v>1415</v>
      </c>
      <c r="C265" s="113"/>
      <c r="D265" s="113">
        <v>0</v>
      </c>
      <c r="E265" s="4">
        <v>14</v>
      </c>
      <c r="F265" s="4">
        <v>2</v>
      </c>
      <c r="G265" s="4">
        <v>19</v>
      </c>
      <c r="H265" s="113">
        <v>6.7015000000000002</v>
      </c>
      <c r="I265" s="4">
        <v>1E-4</v>
      </c>
      <c r="J265" s="113">
        <v>-39.135199999999998</v>
      </c>
      <c r="K265" s="4">
        <v>1.8E-3</v>
      </c>
      <c r="L265" s="4">
        <v>2.8000000000000001E-2</v>
      </c>
      <c r="M265" s="4">
        <v>5.0000000000000001E-3</v>
      </c>
      <c r="N265" s="4">
        <v>-5.1000000000000004E-3</v>
      </c>
      <c r="O265" s="4">
        <v>1E-4</v>
      </c>
      <c r="P265" s="4">
        <v>128.54</v>
      </c>
      <c r="Q265" s="4">
        <v>0.21</v>
      </c>
      <c r="R265" s="113">
        <f t="shared" si="19"/>
        <v>0.26236477620644411</v>
      </c>
      <c r="S265" s="22">
        <f t="shared" si="20"/>
        <v>4.2863391164892843E-4</v>
      </c>
    </row>
    <row r="266" spans="1:19">
      <c r="A266" s="109" t="s">
        <v>1328</v>
      </c>
      <c r="B266" s="113" t="s">
        <v>1416</v>
      </c>
      <c r="C266" s="113"/>
      <c r="D266" s="113">
        <v>0</v>
      </c>
      <c r="E266" s="4">
        <v>14</v>
      </c>
      <c r="F266" s="4">
        <v>2</v>
      </c>
      <c r="G266" s="4">
        <v>19</v>
      </c>
      <c r="H266" s="113">
        <v>6.7015000000000002</v>
      </c>
      <c r="I266" s="4">
        <v>1E-4</v>
      </c>
      <c r="J266" s="113">
        <v>-39.135199999999998</v>
      </c>
      <c r="K266" s="4">
        <v>1.8E-3</v>
      </c>
      <c r="L266" s="4">
        <v>2.8000000000000001E-2</v>
      </c>
      <c r="M266" s="4">
        <v>5.0000000000000001E-3</v>
      </c>
      <c r="N266" s="4">
        <v>-5.1000000000000004E-3</v>
      </c>
      <c r="O266" s="4">
        <v>1E-4</v>
      </c>
      <c r="P266" s="4">
        <v>128.54</v>
      </c>
      <c r="Q266" s="4">
        <v>0.21</v>
      </c>
      <c r="R266" s="113">
        <f t="shared" si="19"/>
        <v>0.26236477620644411</v>
      </c>
      <c r="S266" s="22">
        <f t="shared" si="20"/>
        <v>4.2863391164892843E-4</v>
      </c>
    </row>
    <row r="267" spans="1:19">
      <c r="A267" s="109" t="s">
        <v>1329</v>
      </c>
      <c r="B267" s="113" t="s">
        <v>1417</v>
      </c>
      <c r="C267" s="113"/>
      <c r="D267" s="113">
        <v>0</v>
      </c>
      <c r="E267" s="4">
        <v>14</v>
      </c>
      <c r="F267" s="4">
        <v>2</v>
      </c>
      <c r="G267" s="4">
        <v>19</v>
      </c>
      <c r="H267" s="113">
        <v>6.7015000000000002</v>
      </c>
      <c r="I267" s="4">
        <v>1E-4</v>
      </c>
      <c r="J267" s="113">
        <v>-39.135199999999998</v>
      </c>
      <c r="K267" s="4">
        <v>1.8E-3</v>
      </c>
      <c r="L267" s="4">
        <v>2.8000000000000001E-2</v>
      </c>
      <c r="M267" s="4">
        <v>5.0000000000000001E-3</v>
      </c>
      <c r="N267" s="4">
        <v>-5.1000000000000004E-3</v>
      </c>
      <c r="O267" s="4">
        <v>1E-4</v>
      </c>
      <c r="P267" s="4">
        <v>128.54</v>
      </c>
      <c r="Q267" s="4">
        <v>0.21</v>
      </c>
      <c r="R267" s="113">
        <f t="shared" si="19"/>
        <v>0.26236477620644411</v>
      </c>
      <c r="S267" s="22">
        <f t="shared" si="20"/>
        <v>4.2863391164892843E-4</v>
      </c>
    </row>
    <row r="268" spans="1:19">
      <c r="A268" s="109" t="s">
        <v>1330</v>
      </c>
      <c r="B268" s="113" t="s">
        <v>1418</v>
      </c>
      <c r="C268" s="113"/>
      <c r="D268" s="113">
        <v>0</v>
      </c>
      <c r="E268" s="4">
        <v>14</v>
      </c>
      <c r="F268" s="4">
        <v>2</v>
      </c>
      <c r="G268" s="4">
        <v>19</v>
      </c>
      <c r="H268" s="113">
        <v>6.7015000000000002</v>
      </c>
      <c r="I268" s="4">
        <v>1E-4</v>
      </c>
      <c r="J268" s="113">
        <v>-39.135199999999998</v>
      </c>
      <c r="K268" s="4">
        <v>1.8E-3</v>
      </c>
      <c r="L268" s="4">
        <v>2.8000000000000001E-2</v>
      </c>
      <c r="M268" s="4">
        <v>5.0000000000000001E-3</v>
      </c>
      <c r="N268" s="4">
        <v>-5.1000000000000004E-3</v>
      </c>
      <c r="O268" s="4">
        <v>1E-4</v>
      </c>
      <c r="P268" s="4">
        <v>128.54</v>
      </c>
      <c r="Q268" s="4">
        <v>0.21</v>
      </c>
      <c r="R268" s="113">
        <f t="shared" si="19"/>
        <v>0.26236477620644411</v>
      </c>
      <c r="S268" s="22">
        <f t="shared" si="20"/>
        <v>4.2863391164892843E-4</v>
      </c>
    </row>
    <row r="269" spans="1:19">
      <c r="A269" s="109" t="s">
        <v>1331</v>
      </c>
      <c r="B269" s="113" t="s">
        <v>1419</v>
      </c>
      <c r="C269" s="113"/>
      <c r="D269" s="113">
        <v>0</v>
      </c>
      <c r="E269" s="4">
        <v>14</v>
      </c>
      <c r="F269" s="4">
        <v>3</v>
      </c>
      <c r="G269" s="4">
        <v>19</v>
      </c>
      <c r="H269" s="113">
        <v>6.7015000000000002</v>
      </c>
      <c r="I269" s="4">
        <v>1E-4</v>
      </c>
      <c r="J269" s="113">
        <v>-39.135199999999998</v>
      </c>
      <c r="K269" s="4">
        <v>1.8E-3</v>
      </c>
      <c r="L269" s="4">
        <v>2.8000000000000001E-2</v>
      </c>
      <c r="M269" s="4">
        <v>5.0000000000000001E-3</v>
      </c>
      <c r="N269" s="4">
        <v>-5.1000000000000004E-3</v>
      </c>
      <c r="O269" s="4">
        <v>1E-4</v>
      </c>
      <c r="P269" s="4">
        <v>128.54</v>
      </c>
      <c r="Q269" s="4">
        <v>0.21</v>
      </c>
      <c r="R269" s="113">
        <f t="shared" si="19"/>
        <v>0.26236477620644411</v>
      </c>
      <c r="S269" s="22">
        <f t="shared" si="20"/>
        <v>4.2863391164892843E-4</v>
      </c>
    </row>
    <row r="270" spans="1:19">
      <c r="A270" s="109" t="s">
        <v>1332</v>
      </c>
      <c r="B270" s="113" t="s">
        <v>1420</v>
      </c>
      <c r="C270" s="113"/>
      <c r="D270" s="113">
        <v>0</v>
      </c>
      <c r="E270" s="4">
        <v>14</v>
      </c>
      <c r="F270" s="4">
        <v>3</v>
      </c>
      <c r="G270" s="4">
        <v>19</v>
      </c>
      <c r="H270" s="113">
        <v>6.7015000000000002</v>
      </c>
      <c r="I270" s="4">
        <v>1E-4</v>
      </c>
      <c r="J270" s="113">
        <v>-39.135199999999998</v>
      </c>
      <c r="K270" s="4">
        <v>1.8E-3</v>
      </c>
      <c r="L270" s="4">
        <v>2.8000000000000001E-2</v>
      </c>
      <c r="M270" s="4">
        <v>5.0000000000000001E-3</v>
      </c>
      <c r="N270" s="4">
        <v>-5.1000000000000004E-3</v>
      </c>
      <c r="O270" s="4">
        <v>1E-4</v>
      </c>
      <c r="P270" s="4">
        <v>128.54</v>
      </c>
      <c r="Q270" s="4">
        <v>0.21</v>
      </c>
      <c r="R270" s="113">
        <f t="shared" si="19"/>
        <v>0.26236477620644411</v>
      </c>
      <c r="S270" s="22">
        <f t="shared" si="20"/>
        <v>4.2863391164892843E-4</v>
      </c>
    </row>
    <row r="271" spans="1:19">
      <c r="A271" s="109" t="s">
        <v>1333</v>
      </c>
      <c r="B271" s="113" t="s">
        <v>1421</v>
      </c>
      <c r="C271" s="113"/>
      <c r="D271" s="113">
        <v>0</v>
      </c>
      <c r="E271" s="4">
        <v>14</v>
      </c>
      <c r="F271" s="4">
        <v>3</v>
      </c>
      <c r="G271" s="4">
        <v>19</v>
      </c>
      <c r="H271" s="113">
        <v>6.7015000000000002</v>
      </c>
      <c r="I271" s="4">
        <v>1E-4</v>
      </c>
      <c r="J271" s="113">
        <v>-39.135199999999998</v>
      </c>
      <c r="K271" s="4">
        <v>1.8E-3</v>
      </c>
      <c r="L271" s="4">
        <v>2.8000000000000001E-2</v>
      </c>
      <c r="M271" s="4">
        <v>5.0000000000000001E-3</v>
      </c>
      <c r="N271" s="4">
        <v>-5.1000000000000004E-3</v>
      </c>
      <c r="O271" s="4">
        <v>1E-4</v>
      </c>
      <c r="P271" s="4">
        <v>128.54</v>
      </c>
      <c r="Q271" s="4">
        <v>0.21</v>
      </c>
      <c r="R271" s="113">
        <f t="shared" si="19"/>
        <v>0.26236477620644411</v>
      </c>
      <c r="S271" s="22">
        <f t="shared" si="20"/>
        <v>4.2863391164892843E-4</v>
      </c>
    </row>
    <row r="272" spans="1:19">
      <c r="A272" s="109" t="s">
        <v>1334</v>
      </c>
      <c r="B272" s="113" t="s">
        <v>1422</v>
      </c>
      <c r="C272" s="113"/>
      <c r="D272" s="113">
        <v>0</v>
      </c>
      <c r="E272" s="4">
        <v>14</v>
      </c>
      <c r="F272" s="4">
        <v>3</v>
      </c>
      <c r="G272" s="4">
        <v>19</v>
      </c>
      <c r="H272" s="113">
        <v>6.7015000000000002</v>
      </c>
      <c r="I272" s="4">
        <v>1E-4</v>
      </c>
      <c r="J272" s="113">
        <v>-39.135199999999998</v>
      </c>
      <c r="K272" s="4">
        <v>1.8E-3</v>
      </c>
      <c r="L272" s="4">
        <v>2.8000000000000001E-2</v>
      </c>
      <c r="M272" s="4">
        <v>5.0000000000000001E-3</v>
      </c>
      <c r="N272" s="4">
        <v>-5.1000000000000004E-3</v>
      </c>
      <c r="O272" s="4">
        <v>1E-4</v>
      </c>
      <c r="P272" s="4">
        <v>128.54</v>
      </c>
      <c r="Q272" s="4">
        <v>0.21</v>
      </c>
      <c r="R272" s="113">
        <f t="shared" si="19"/>
        <v>0.26236477620644411</v>
      </c>
      <c r="S272" s="22">
        <f t="shared" si="20"/>
        <v>4.2863391164892843E-4</v>
      </c>
    </row>
    <row r="273" spans="1:19">
      <c r="A273" s="109" t="s">
        <v>1335</v>
      </c>
      <c r="B273" s="113" t="s">
        <v>1423</v>
      </c>
      <c r="C273" s="113"/>
      <c r="D273" s="113">
        <v>0</v>
      </c>
      <c r="E273" s="4">
        <v>14</v>
      </c>
      <c r="F273" s="4">
        <v>4</v>
      </c>
      <c r="G273" s="4">
        <v>19</v>
      </c>
      <c r="H273" s="113">
        <v>6.7015000000000002</v>
      </c>
      <c r="I273" s="4">
        <v>1E-4</v>
      </c>
      <c r="J273" s="113">
        <v>-39.135199999999998</v>
      </c>
      <c r="K273" s="4">
        <v>1.8E-3</v>
      </c>
      <c r="L273" s="4">
        <v>2.8000000000000001E-2</v>
      </c>
      <c r="M273" s="4">
        <v>5.0000000000000001E-3</v>
      </c>
      <c r="N273" s="4">
        <v>-5.1000000000000004E-3</v>
      </c>
      <c r="O273" s="4">
        <v>1E-4</v>
      </c>
      <c r="P273" s="4">
        <v>128.54</v>
      </c>
      <c r="Q273" s="4">
        <v>0.21</v>
      </c>
      <c r="R273" s="113">
        <f t="shared" si="19"/>
        <v>0.26236477620644411</v>
      </c>
      <c r="S273" s="22">
        <f t="shared" si="20"/>
        <v>4.2863391164892843E-4</v>
      </c>
    </row>
    <row r="274" spans="1:19">
      <c r="A274" s="109" t="s">
        <v>1336</v>
      </c>
      <c r="B274" s="113" t="s">
        <v>1424</v>
      </c>
      <c r="C274" s="113"/>
      <c r="D274" s="113">
        <v>0</v>
      </c>
      <c r="E274" s="4">
        <v>14</v>
      </c>
      <c r="F274" s="4">
        <v>4</v>
      </c>
      <c r="G274" s="4">
        <v>19</v>
      </c>
      <c r="H274" s="113">
        <v>6.7015000000000002</v>
      </c>
      <c r="I274" s="4">
        <v>1E-4</v>
      </c>
      <c r="J274" s="113">
        <v>-39.135199999999998</v>
      </c>
      <c r="K274" s="4">
        <v>1.8E-3</v>
      </c>
      <c r="L274" s="4">
        <v>2.8000000000000001E-2</v>
      </c>
      <c r="M274" s="4">
        <v>5.0000000000000001E-3</v>
      </c>
      <c r="N274" s="4">
        <v>-5.1000000000000004E-3</v>
      </c>
      <c r="O274" s="4">
        <v>1E-4</v>
      </c>
      <c r="P274" s="4">
        <v>128.54</v>
      </c>
      <c r="Q274" s="4">
        <v>0.21</v>
      </c>
      <c r="R274" s="113">
        <f t="shared" si="19"/>
        <v>0.26236477620644411</v>
      </c>
      <c r="S274" s="22">
        <f t="shared" si="20"/>
        <v>4.2863391164892843E-4</v>
      </c>
    </row>
    <row r="275" spans="1:19">
      <c r="A275" s="109" t="s">
        <v>1337</v>
      </c>
      <c r="B275" s="113" t="s">
        <v>1425</v>
      </c>
      <c r="C275" s="113"/>
      <c r="D275" s="113">
        <v>0</v>
      </c>
      <c r="E275" s="4">
        <v>14</v>
      </c>
      <c r="F275" s="4">
        <v>4</v>
      </c>
      <c r="G275" s="4">
        <v>19</v>
      </c>
      <c r="H275" s="113">
        <v>6.7015000000000002</v>
      </c>
      <c r="I275" s="4">
        <v>1E-4</v>
      </c>
      <c r="J275" s="113">
        <v>-39.135199999999998</v>
      </c>
      <c r="K275" s="4">
        <v>1.8E-3</v>
      </c>
      <c r="L275" s="4">
        <v>2.8000000000000001E-2</v>
      </c>
      <c r="M275" s="4">
        <v>5.0000000000000001E-3</v>
      </c>
      <c r="N275" s="4">
        <v>-5.1000000000000004E-3</v>
      </c>
      <c r="O275" s="4">
        <v>1E-4</v>
      </c>
      <c r="P275" s="4">
        <v>128.54</v>
      </c>
      <c r="Q275" s="4">
        <v>0.21</v>
      </c>
      <c r="R275" s="113">
        <f t="shared" si="19"/>
        <v>0.26236477620644411</v>
      </c>
      <c r="S275" s="22">
        <f t="shared" si="20"/>
        <v>4.2863391164892843E-4</v>
      </c>
    </row>
    <row r="276" spans="1:19">
      <c r="A276" s="109" t="s">
        <v>1338</v>
      </c>
      <c r="B276" s="113" t="s">
        <v>1426</v>
      </c>
      <c r="C276" s="113"/>
      <c r="D276" s="113">
        <v>0</v>
      </c>
      <c r="E276" s="4">
        <v>14</v>
      </c>
      <c r="F276" s="4">
        <v>4</v>
      </c>
      <c r="G276" s="4">
        <v>19</v>
      </c>
      <c r="H276" s="113">
        <v>6.7015000000000002</v>
      </c>
      <c r="I276" s="4">
        <v>1E-4</v>
      </c>
      <c r="J276" s="113">
        <v>-39.135199999999998</v>
      </c>
      <c r="K276" s="4">
        <v>1.8E-3</v>
      </c>
      <c r="L276" s="4">
        <v>2.8000000000000001E-2</v>
      </c>
      <c r="M276" s="4">
        <v>5.0000000000000001E-3</v>
      </c>
      <c r="N276" s="4">
        <v>-5.1000000000000004E-3</v>
      </c>
      <c r="O276" s="4">
        <v>1E-4</v>
      </c>
      <c r="P276" s="4">
        <v>128.54</v>
      </c>
      <c r="Q276" s="4">
        <v>0.21</v>
      </c>
      <c r="R276" s="113">
        <f t="shared" si="19"/>
        <v>0.26236477620644411</v>
      </c>
      <c r="S276" s="22">
        <f t="shared" si="20"/>
        <v>4.2863391164892843E-4</v>
      </c>
    </row>
    <row r="277" spans="1:19">
      <c r="A277" s="109" t="s">
        <v>1339</v>
      </c>
      <c r="B277" s="113" t="s">
        <v>1427</v>
      </c>
      <c r="C277" s="113"/>
      <c r="D277" s="113">
        <v>0</v>
      </c>
      <c r="E277" s="4">
        <v>14</v>
      </c>
      <c r="F277" s="4">
        <v>4</v>
      </c>
      <c r="G277" s="4">
        <v>19</v>
      </c>
      <c r="H277" s="113">
        <v>6.7015000000000002</v>
      </c>
      <c r="I277" s="4">
        <v>1E-4</v>
      </c>
      <c r="J277" s="113">
        <v>-39.135199999999998</v>
      </c>
      <c r="K277" s="4">
        <v>1.8E-3</v>
      </c>
      <c r="L277" s="4">
        <v>2.8000000000000001E-2</v>
      </c>
      <c r="M277" s="4">
        <v>5.0000000000000001E-3</v>
      </c>
      <c r="N277" s="4">
        <v>-5.1000000000000004E-3</v>
      </c>
      <c r="O277" s="4">
        <v>1E-4</v>
      </c>
      <c r="P277" s="4">
        <v>128.54</v>
      </c>
      <c r="Q277" s="4">
        <v>0.21</v>
      </c>
      <c r="R277" s="113">
        <f t="shared" si="19"/>
        <v>0.26236477620644411</v>
      </c>
      <c r="S277" s="22">
        <f t="shared" si="20"/>
        <v>4.2863391164892843E-4</v>
      </c>
    </row>
    <row r="278" spans="1:19">
      <c r="A278" s="109" t="s">
        <v>1340</v>
      </c>
      <c r="B278" s="113" t="s">
        <v>1428</v>
      </c>
      <c r="C278" s="113"/>
      <c r="D278" s="113">
        <v>0</v>
      </c>
      <c r="E278" s="4">
        <v>14</v>
      </c>
      <c r="F278" s="4">
        <v>4</v>
      </c>
      <c r="G278" s="4">
        <v>19</v>
      </c>
      <c r="H278" s="113">
        <v>6.7015000000000002</v>
      </c>
      <c r="I278" s="4">
        <v>1E-4</v>
      </c>
      <c r="J278" s="113">
        <v>-39.135199999999998</v>
      </c>
      <c r="K278" s="4">
        <v>1.8E-3</v>
      </c>
      <c r="L278" s="4">
        <v>2.8000000000000001E-2</v>
      </c>
      <c r="M278" s="4">
        <v>5.0000000000000001E-3</v>
      </c>
      <c r="N278" s="4">
        <v>-5.1000000000000004E-3</v>
      </c>
      <c r="O278" s="4">
        <v>1E-4</v>
      </c>
      <c r="P278" s="4">
        <v>128.54</v>
      </c>
      <c r="Q278" s="4">
        <v>0.21</v>
      </c>
      <c r="R278" s="113">
        <f t="shared" si="19"/>
        <v>0.26236477620644411</v>
      </c>
      <c r="S278" s="22">
        <f t="shared" si="20"/>
        <v>4.2863391164892843E-4</v>
      </c>
    </row>
    <row r="279" spans="1:19">
      <c r="A279" s="109" t="s">
        <v>1341</v>
      </c>
      <c r="B279" s="113" t="s">
        <v>1429</v>
      </c>
      <c r="C279" s="113"/>
      <c r="D279" s="113">
        <v>0</v>
      </c>
      <c r="E279" s="4">
        <v>14</v>
      </c>
      <c r="F279" s="4">
        <v>5</v>
      </c>
      <c r="G279" s="4">
        <v>19</v>
      </c>
      <c r="H279" s="113">
        <v>6.7015000000000002</v>
      </c>
      <c r="I279" s="4">
        <v>1E-4</v>
      </c>
      <c r="J279" s="113">
        <v>-39.135199999999998</v>
      </c>
      <c r="K279" s="4">
        <v>1.8E-3</v>
      </c>
      <c r="L279" s="4">
        <v>2.8000000000000001E-2</v>
      </c>
      <c r="M279" s="4">
        <v>5.0000000000000001E-3</v>
      </c>
      <c r="N279" s="4">
        <v>-5.1000000000000004E-3</v>
      </c>
      <c r="O279" s="4">
        <v>1E-4</v>
      </c>
      <c r="P279" s="4">
        <v>128.54</v>
      </c>
      <c r="Q279" s="4">
        <v>0.21</v>
      </c>
      <c r="R279" s="113">
        <f t="shared" si="19"/>
        <v>0.26236477620644411</v>
      </c>
      <c r="S279" s="22">
        <f t="shared" si="20"/>
        <v>4.2863391164892843E-4</v>
      </c>
    </row>
    <row r="280" spans="1:19">
      <c r="A280" s="109" t="s">
        <v>1342</v>
      </c>
      <c r="B280" s="113" t="s">
        <v>1430</v>
      </c>
      <c r="C280" s="113"/>
      <c r="D280" s="113">
        <v>0</v>
      </c>
      <c r="E280" s="4">
        <v>14</v>
      </c>
      <c r="F280" s="4">
        <v>5</v>
      </c>
      <c r="G280" s="4">
        <v>19</v>
      </c>
      <c r="H280" s="113">
        <v>6.7015000000000002</v>
      </c>
      <c r="I280" s="4">
        <v>1E-4</v>
      </c>
      <c r="J280" s="113">
        <v>-39.135199999999998</v>
      </c>
      <c r="K280" s="4">
        <v>1.8E-3</v>
      </c>
      <c r="L280" s="4">
        <v>2.8000000000000001E-2</v>
      </c>
      <c r="M280" s="4">
        <v>5.0000000000000001E-3</v>
      </c>
      <c r="N280" s="4">
        <v>-5.1000000000000004E-3</v>
      </c>
      <c r="O280" s="4">
        <v>1E-4</v>
      </c>
      <c r="P280" s="4">
        <v>128.54</v>
      </c>
      <c r="Q280" s="4">
        <v>0.21</v>
      </c>
      <c r="R280" s="113">
        <f t="shared" si="19"/>
        <v>0.26236477620644411</v>
      </c>
      <c r="S280" s="22">
        <f t="shared" si="20"/>
        <v>4.2863391164892843E-4</v>
      </c>
    </row>
    <row r="281" spans="1:19">
      <c r="A281" s="109" t="s">
        <v>1343</v>
      </c>
      <c r="B281" s="113" t="s">
        <v>1431</v>
      </c>
      <c r="C281" s="113"/>
      <c r="D281" s="113">
        <v>0</v>
      </c>
      <c r="E281" s="4">
        <v>14</v>
      </c>
      <c r="F281" s="4">
        <v>5</v>
      </c>
      <c r="G281" s="4">
        <v>19</v>
      </c>
      <c r="H281" s="113">
        <v>6.7015000000000002</v>
      </c>
      <c r="I281" s="4">
        <v>1E-4</v>
      </c>
      <c r="J281" s="113">
        <v>-39.135199999999998</v>
      </c>
      <c r="K281" s="4">
        <v>1.8E-3</v>
      </c>
      <c r="L281" s="4">
        <v>2.8000000000000001E-2</v>
      </c>
      <c r="M281" s="4">
        <v>5.0000000000000001E-3</v>
      </c>
      <c r="N281" s="4">
        <v>-5.1000000000000004E-3</v>
      </c>
      <c r="O281" s="4">
        <v>1E-4</v>
      </c>
      <c r="P281" s="4">
        <v>128.54</v>
      </c>
      <c r="Q281" s="4">
        <v>0.21</v>
      </c>
      <c r="R281" s="113">
        <f t="shared" si="19"/>
        <v>0.26236477620644411</v>
      </c>
      <c r="S281" s="22">
        <f t="shared" si="20"/>
        <v>4.2863391164892843E-4</v>
      </c>
    </row>
    <row r="282" spans="1:19">
      <c r="A282" s="109" t="s">
        <v>1344</v>
      </c>
      <c r="B282" s="113" t="s">
        <v>1432</v>
      </c>
      <c r="C282" s="113"/>
      <c r="D282" s="113">
        <v>0</v>
      </c>
      <c r="E282" s="4">
        <v>14</v>
      </c>
      <c r="F282" s="4">
        <v>5</v>
      </c>
      <c r="G282" s="4">
        <v>19</v>
      </c>
      <c r="H282" s="113">
        <v>6.7015000000000002</v>
      </c>
      <c r="I282" s="4">
        <v>1E-4</v>
      </c>
      <c r="J282" s="113">
        <v>-39.135199999999998</v>
      </c>
      <c r="K282" s="4">
        <v>1.8E-3</v>
      </c>
      <c r="L282" s="4">
        <v>2.8000000000000001E-2</v>
      </c>
      <c r="M282" s="4">
        <v>5.0000000000000001E-3</v>
      </c>
      <c r="N282" s="4">
        <v>-5.1000000000000004E-3</v>
      </c>
      <c r="O282" s="4">
        <v>1E-4</v>
      </c>
      <c r="P282" s="4">
        <v>128.54</v>
      </c>
      <c r="Q282" s="4">
        <v>0.21</v>
      </c>
      <c r="R282" s="113">
        <f t="shared" si="19"/>
        <v>0.26236477620644411</v>
      </c>
      <c r="S282" s="22">
        <f t="shared" si="20"/>
        <v>4.2863391164892843E-4</v>
      </c>
    </row>
    <row r="283" spans="1:19">
      <c r="A283" s="109" t="s">
        <v>1345</v>
      </c>
      <c r="B283" s="113" t="s">
        <v>1433</v>
      </c>
      <c r="C283" s="113"/>
      <c r="D283" s="113">
        <v>0</v>
      </c>
      <c r="E283" s="4">
        <v>14</v>
      </c>
      <c r="F283" s="4">
        <v>5</v>
      </c>
      <c r="G283" s="4">
        <v>19</v>
      </c>
      <c r="H283" s="113">
        <v>6.7015000000000002</v>
      </c>
      <c r="I283" s="4">
        <v>1E-4</v>
      </c>
      <c r="J283" s="113">
        <v>-39.135199999999998</v>
      </c>
      <c r="K283" s="4">
        <v>1.8E-3</v>
      </c>
      <c r="L283" s="4">
        <v>2.8000000000000001E-2</v>
      </c>
      <c r="M283" s="4">
        <v>5.0000000000000001E-3</v>
      </c>
      <c r="N283" s="4">
        <v>-5.1000000000000004E-3</v>
      </c>
      <c r="O283" s="4">
        <v>1E-4</v>
      </c>
      <c r="P283" s="4">
        <v>128.54</v>
      </c>
      <c r="Q283" s="4">
        <v>0.21</v>
      </c>
      <c r="R283" s="113">
        <f t="shared" si="19"/>
        <v>0.26236477620644411</v>
      </c>
      <c r="S283" s="22">
        <f t="shared" si="20"/>
        <v>4.2863391164892843E-4</v>
      </c>
    </row>
    <row r="284" spans="1:19">
      <c r="A284" s="109" t="s">
        <v>1346</v>
      </c>
      <c r="B284" s="113" t="s">
        <v>1434</v>
      </c>
      <c r="C284" s="113"/>
      <c r="D284" s="113">
        <v>0</v>
      </c>
      <c r="E284" s="4">
        <v>14</v>
      </c>
      <c r="F284" s="4">
        <v>5</v>
      </c>
      <c r="G284" s="4">
        <v>19</v>
      </c>
      <c r="H284" s="113">
        <v>6.7015000000000002</v>
      </c>
      <c r="I284" s="4">
        <v>1E-4</v>
      </c>
      <c r="J284" s="113">
        <v>-39.135199999999998</v>
      </c>
      <c r="K284" s="4">
        <v>1.8E-3</v>
      </c>
      <c r="L284" s="4">
        <v>2.8000000000000001E-2</v>
      </c>
      <c r="M284" s="4">
        <v>5.0000000000000001E-3</v>
      </c>
      <c r="N284" s="4">
        <v>-5.1000000000000004E-3</v>
      </c>
      <c r="O284" s="4">
        <v>1E-4</v>
      </c>
      <c r="P284" s="4">
        <v>128.54</v>
      </c>
      <c r="Q284" s="4">
        <v>0.21</v>
      </c>
      <c r="R284" s="113">
        <f t="shared" si="19"/>
        <v>0.26236477620644411</v>
      </c>
      <c r="S284" s="22">
        <f t="shared" si="20"/>
        <v>4.2863391164892843E-4</v>
      </c>
    </row>
    <row r="285" spans="1:19">
      <c r="A285" s="109" t="s">
        <v>1347</v>
      </c>
      <c r="B285" s="113" t="s">
        <v>1435</v>
      </c>
      <c r="C285" s="113"/>
      <c r="D285" s="113">
        <v>0</v>
      </c>
      <c r="E285" s="4">
        <v>14</v>
      </c>
      <c r="F285" s="4">
        <v>5</v>
      </c>
      <c r="G285" s="4">
        <v>19</v>
      </c>
      <c r="H285" s="113">
        <v>6.7015000000000002</v>
      </c>
      <c r="I285" s="4">
        <v>1E-4</v>
      </c>
      <c r="J285" s="113">
        <v>-39.135199999999998</v>
      </c>
      <c r="K285" s="4">
        <v>1.8E-3</v>
      </c>
      <c r="L285" s="4">
        <v>2.8000000000000001E-2</v>
      </c>
      <c r="M285" s="4">
        <v>5.0000000000000001E-3</v>
      </c>
      <c r="N285" s="4">
        <v>-5.1000000000000004E-3</v>
      </c>
      <c r="O285" s="4">
        <v>1E-4</v>
      </c>
      <c r="P285" s="4">
        <v>128.54</v>
      </c>
      <c r="Q285" s="4">
        <v>0.21</v>
      </c>
      <c r="R285" s="113">
        <f t="shared" si="19"/>
        <v>0.26236477620644411</v>
      </c>
      <c r="S285" s="22">
        <f t="shared" si="20"/>
        <v>4.2863391164892843E-4</v>
      </c>
    </row>
    <row r="286" spans="1:19">
      <c r="A286" s="109" t="s">
        <v>1348</v>
      </c>
      <c r="B286" s="113" t="s">
        <v>1436</v>
      </c>
      <c r="C286" s="113"/>
      <c r="D286" s="113">
        <v>0</v>
      </c>
      <c r="E286" s="4">
        <v>14</v>
      </c>
      <c r="F286" s="4">
        <v>5</v>
      </c>
      <c r="G286" s="4">
        <v>19</v>
      </c>
      <c r="H286" s="113">
        <v>6.7015000000000002</v>
      </c>
      <c r="I286" s="4">
        <v>1E-4</v>
      </c>
      <c r="J286" s="113">
        <v>-39.135199999999998</v>
      </c>
      <c r="K286" s="4">
        <v>1.8E-3</v>
      </c>
      <c r="L286" s="4">
        <v>2.8000000000000001E-2</v>
      </c>
      <c r="M286" s="4">
        <v>5.0000000000000001E-3</v>
      </c>
      <c r="N286" s="4">
        <v>-5.1000000000000004E-3</v>
      </c>
      <c r="O286" s="4">
        <v>1E-4</v>
      </c>
      <c r="P286" s="4">
        <v>128.54</v>
      </c>
      <c r="Q286" s="4">
        <v>0.21</v>
      </c>
      <c r="R286" s="113">
        <f t="shared" si="19"/>
        <v>0.26236477620644411</v>
      </c>
      <c r="S286" s="22">
        <f t="shared" si="20"/>
        <v>4.2863391164892843E-4</v>
      </c>
    </row>
    <row r="287" spans="1:19">
      <c r="A287" s="109" t="s">
        <v>1349</v>
      </c>
      <c r="B287" s="113" t="s">
        <v>1437</v>
      </c>
      <c r="C287" s="113"/>
      <c r="D287" s="113">
        <v>0</v>
      </c>
      <c r="E287" s="4">
        <v>14</v>
      </c>
      <c r="F287" s="4">
        <v>5</v>
      </c>
      <c r="G287" s="4">
        <v>19</v>
      </c>
      <c r="H287" s="113">
        <v>6.7015000000000002</v>
      </c>
      <c r="I287" s="4">
        <v>1E-4</v>
      </c>
      <c r="J287" s="113">
        <v>-39.135199999999998</v>
      </c>
      <c r="K287" s="4">
        <v>1.8E-3</v>
      </c>
      <c r="L287" s="4">
        <v>2.8000000000000001E-2</v>
      </c>
      <c r="M287" s="4">
        <v>5.0000000000000001E-3</v>
      </c>
      <c r="N287" s="4">
        <v>-5.1000000000000004E-3</v>
      </c>
      <c r="O287" s="4">
        <v>1E-4</v>
      </c>
      <c r="P287" s="4">
        <v>128.54</v>
      </c>
      <c r="Q287" s="4">
        <v>0.21</v>
      </c>
      <c r="R287" s="113">
        <f t="shared" si="19"/>
        <v>0.26236477620644411</v>
      </c>
      <c r="S287" s="22">
        <f t="shared" si="20"/>
        <v>4.2863391164892843E-4</v>
      </c>
    </row>
    <row r="288" spans="1:19">
      <c r="A288" s="109" t="s">
        <v>1350</v>
      </c>
      <c r="B288" s="113" t="s">
        <v>1438</v>
      </c>
      <c r="C288" s="113"/>
      <c r="D288" s="113">
        <v>0</v>
      </c>
      <c r="E288" s="4">
        <v>14</v>
      </c>
      <c r="F288" s="4">
        <v>6</v>
      </c>
      <c r="G288" s="4">
        <v>19</v>
      </c>
      <c r="H288" s="113">
        <v>6.7015000000000002</v>
      </c>
      <c r="I288" s="4">
        <v>1E-4</v>
      </c>
      <c r="J288" s="113">
        <v>-39.135199999999998</v>
      </c>
      <c r="K288" s="4">
        <v>1.8E-3</v>
      </c>
      <c r="L288" s="4">
        <v>2.8000000000000001E-2</v>
      </c>
      <c r="M288" s="4">
        <v>5.0000000000000001E-3</v>
      </c>
      <c r="N288" s="4">
        <v>-5.1000000000000004E-3</v>
      </c>
      <c r="O288" s="4">
        <v>1E-4</v>
      </c>
      <c r="P288" s="4">
        <v>128.54</v>
      </c>
      <c r="Q288" s="4">
        <v>0.21</v>
      </c>
      <c r="R288" s="113">
        <f t="shared" si="19"/>
        <v>0.26236477620644411</v>
      </c>
      <c r="S288" s="22">
        <f t="shared" si="20"/>
        <v>4.2863391164892843E-4</v>
      </c>
    </row>
    <row r="289" spans="1:19">
      <c r="A289" s="109" t="s">
        <v>1351</v>
      </c>
      <c r="B289" s="113" t="s">
        <v>1439</v>
      </c>
      <c r="C289" s="113"/>
      <c r="D289" s="113">
        <v>0</v>
      </c>
      <c r="E289" s="4">
        <v>14</v>
      </c>
      <c r="F289" s="4">
        <v>6</v>
      </c>
      <c r="G289" s="4">
        <v>19</v>
      </c>
      <c r="H289" s="113">
        <v>6.7015000000000002</v>
      </c>
      <c r="I289" s="4">
        <v>1E-4</v>
      </c>
      <c r="J289" s="113">
        <v>-39.135199999999998</v>
      </c>
      <c r="K289" s="4">
        <v>1.8E-3</v>
      </c>
      <c r="L289" s="4">
        <v>2.8000000000000001E-2</v>
      </c>
      <c r="M289" s="4">
        <v>5.0000000000000001E-3</v>
      </c>
      <c r="N289" s="4">
        <v>-5.1000000000000004E-3</v>
      </c>
      <c r="O289" s="4">
        <v>1E-4</v>
      </c>
      <c r="P289" s="4">
        <v>128.54</v>
      </c>
      <c r="Q289" s="4">
        <v>0.21</v>
      </c>
      <c r="R289" s="113">
        <f t="shared" si="19"/>
        <v>0.26236477620644411</v>
      </c>
      <c r="S289" s="22">
        <f t="shared" si="20"/>
        <v>4.2863391164892843E-4</v>
      </c>
    </row>
    <row r="290" spans="1:19">
      <c r="A290" s="109" t="s">
        <v>1352</v>
      </c>
      <c r="B290" s="113" t="s">
        <v>1440</v>
      </c>
      <c r="C290" s="113"/>
      <c r="D290" s="113">
        <v>0</v>
      </c>
      <c r="E290" s="4">
        <v>14</v>
      </c>
      <c r="F290" s="4">
        <v>6</v>
      </c>
      <c r="G290" s="4">
        <v>19</v>
      </c>
      <c r="H290" s="113">
        <v>6.7015000000000002</v>
      </c>
      <c r="I290" s="4">
        <v>1E-4</v>
      </c>
      <c r="J290" s="113">
        <v>-39.135199999999998</v>
      </c>
      <c r="K290" s="4">
        <v>1.8E-3</v>
      </c>
      <c r="L290" s="4">
        <v>2.8000000000000001E-2</v>
      </c>
      <c r="M290" s="4">
        <v>5.0000000000000001E-3</v>
      </c>
      <c r="N290" s="4">
        <v>-5.1000000000000004E-3</v>
      </c>
      <c r="O290" s="4">
        <v>1E-4</v>
      </c>
      <c r="P290" s="4">
        <v>128.54</v>
      </c>
      <c r="Q290" s="4">
        <v>0.21</v>
      </c>
      <c r="R290" s="113">
        <f t="shared" si="19"/>
        <v>0.26236477620644411</v>
      </c>
      <c r="S290" s="22">
        <f t="shared" si="20"/>
        <v>4.2863391164892843E-4</v>
      </c>
    </row>
    <row r="291" spans="1:19">
      <c r="A291" s="109" t="s">
        <v>1353</v>
      </c>
      <c r="B291" s="113" t="s">
        <v>1441</v>
      </c>
      <c r="C291" s="113"/>
      <c r="D291" s="113">
        <v>0</v>
      </c>
      <c r="E291" s="4">
        <v>14</v>
      </c>
      <c r="F291" s="4">
        <v>6</v>
      </c>
      <c r="G291" s="4">
        <v>19</v>
      </c>
      <c r="H291" s="113">
        <v>6.7015000000000002</v>
      </c>
      <c r="I291" s="4">
        <v>1E-4</v>
      </c>
      <c r="J291" s="113">
        <v>-39.135199999999998</v>
      </c>
      <c r="K291" s="4">
        <v>1.8E-3</v>
      </c>
      <c r="L291" s="4">
        <v>2.8000000000000001E-2</v>
      </c>
      <c r="M291" s="4">
        <v>5.0000000000000001E-3</v>
      </c>
      <c r="N291" s="4">
        <v>-5.1000000000000004E-3</v>
      </c>
      <c r="O291" s="4">
        <v>1E-4</v>
      </c>
      <c r="P291" s="4">
        <v>128.54</v>
      </c>
      <c r="Q291" s="4">
        <v>0.21</v>
      </c>
      <c r="R291" s="113">
        <f t="shared" si="19"/>
        <v>0.26236477620644411</v>
      </c>
      <c r="S291" s="22">
        <f t="shared" si="20"/>
        <v>4.2863391164892843E-4</v>
      </c>
    </row>
    <row r="292" spans="1:19">
      <c r="A292" s="109" t="s">
        <v>1354</v>
      </c>
      <c r="B292" s="113" t="s">
        <v>1442</v>
      </c>
      <c r="C292" s="113"/>
      <c r="D292" s="113">
        <v>0</v>
      </c>
      <c r="E292" s="4">
        <v>14</v>
      </c>
      <c r="F292" s="4">
        <v>6</v>
      </c>
      <c r="G292" s="4">
        <v>19</v>
      </c>
      <c r="H292" s="113">
        <v>6.7015000000000002</v>
      </c>
      <c r="I292" s="4">
        <v>1E-4</v>
      </c>
      <c r="J292" s="113">
        <v>-39.135199999999998</v>
      </c>
      <c r="K292" s="4">
        <v>1.8E-3</v>
      </c>
      <c r="L292" s="4">
        <v>2.8000000000000001E-2</v>
      </c>
      <c r="M292" s="4">
        <v>5.0000000000000001E-3</v>
      </c>
      <c r="N292" s="4">
        <v>-5.1000000000000004E-3</v>
      </c>
      <c r="O292" s="4">
        <v>1E-4</v>
      </c>
      <c r="P292" s="4">
        <v>128.54</v>
      </c>
      <c r="Q292" s="4">
        <v>0.21</v>
      </c>
      <c r="R292" s="113">
        <f t="shared" si="19"/>
        <v>0.26236477620644411</v>
      </c>
      <c r="S292" s="22">
        <f t="shared" si="20"/>
        <v>4.2863391164892843E-4</v>
      </c>
    </row>
    <row r="293" spans="1:19">
      <c r="A293" s="109" t="s">
        <v>1355</v>
      </c>
      <c r="B293" s="113" t="s">
        <v>1443</v>
      </c>
      <c r="C293" s="113"/>
      <c r="D293" s="113">
        <v>0</v>
      </c>
      <c r="E293" s="4">
        <v>14</v>
      </c>
      <c r="F293" s="4">
        <v>6</v>
      </c>
      <c r="G293" s="4">
        <v>19</v>
      </c>
      <c r="H293" s="113">
        <v>6.7015000000000002</v>
      </c>
      <c r="I293" s="4">
        <v>1E-4</v>
      </c>
      <c r="J293" s="113">
        <v>-39.135199999999998</v>
      </c>
      <c r="K293" s="4">
        <v>1.8E-3</v>
      </c>
      <c r="L293" s="4">
        <v>2.8000000000000001E-2</v>
      </c>
      <c r="M293" s="4">
        <v>5.0000000000000001E-3</v>
      </c>
      <c r="N293" s="4">
        <v>-5.1000000000000004E-3</v>
      </c>
      <c r="O293" s="4">
        <v>1E-4</v>
      </c>
      <c r="P293" s="4">
        <v>128.54</v>
      </c>
      <c r="Q293" s="4">
        <v>0.21</v>
      </c>
      <c r="R293" s="113">
        <f t="shared" si="19"/>
        <v>0.26236477620644411</v>
      </c>
      <c r="S293" s="22">
        <f t="shared" si="20"/>
        <v>4.2863391164892843E-4</v>
      </c>
    </row>
    <row r="294" spans="1:19">
      <c r="A294" s="109" t="s">
        <v>1356</v>
      </c>
      <c r="B294" s="113" t="s">
        <v>1444</v>
      </c>
      <c r="C294" s="113"/>
      <c r="D294" s="113">
        <v>0</v>
      </c>
      <c r="E294" s="4">
        <v>14</v>
      </c>
      <c r="F294" s="4">
        <v>6</v>
      </c>
      <c r="G294" s="4">
        <v>19</v>
      </c>
      <c r="H294" s="113">
        <v>6.7015000000000002</v>
      </c>
      <c r="I294" s="4">
        <v>1E-4</v>
      </c>
      <c r="J294" s="113">
        <v>-39.135199999999998</v>
      </c>
      <c r="K294" s="4">
        <v>1.8E-3</v>
      </c>
      <c r="L294" s="4">
        <v>2.8000000000000001E-2</v>
      </c>
      <c r="M294" s="4">
        <v>5.0000000000000001E-3</v>
      </c>
      <c r="N294" s="4">
        <v>-5.1000000000000004E-3</v>
      </c>
      <c r="O294" s="4">
        <v>1E-4</v>
      </c>
      <c r="P294" s="4">
        <v>128.54</v>
      </c>
      <c r="Q294" s="4">
        <v>0.21</v>
      </c>
      <c r="R294" s="113">
        <f t="shared" si="19"/>
        <v>0.26236477620644411</v>
      </c>
      <c r="S294" s="22">
        <f t="shared" si="20"/>
        <v>4.2863391164892843E-4</v>
      </c>
    </row>
    <row r="295" spans="1:19">
      <c r="A295" s="109" t="s">
        <v>1357</v>
      </c>
      <c r="B295" s="113" t="s">
        <v>1445</v>
      </c>
      <c r="C295" s="113"/>
      <c r="D295" s="113">
        <v>0</v>
      </c>
      <c r="E295" s="4">
        <v>14</v>
      </c>
      <c r="F295" s="4">
        <v>6</v>
      </c>
      <c r="G295" s="4">
        <v>19</v>
      </c>
      <c r="H295" s="113">
        <v>6.7015000000000002</v>
      </c>
      <c r="I295" s="4">
        <v>1E-4</v>
      </c>
      <c r="J295" s="113">
        <v>-39.135199999999998</v>
      </c>
      <c r="K295" s="4">
        <v>1.8E-3</v>
      </c>
      <c r="L295" s="4">
        <v>2.8000000000000001E-2</v>
      </c>
      <c r="M295" s="4">
        <v>5.0000000000000001E-3</v>
      </c>
      <c r="N295" s="4">
        <v>-5.1000000000000004E-3</v>
      </c>
      <c r="O295" s="4">
        <v>1E-4</v>
      </c>
      <c r="P295" s="4">
        <v>128.54</v>
      </c>
      <c r="Q295" s="4">
        <v>0.21</v>
      </c>
      <c r="R295" s="113">
        <f t="shared" si="19"/>
        <v>0.26236477620644411</v>
      </c>
      <c r="S295" s="22">
        <f t="shared" si="20"/>
        <v>4.2863391164892843E-4</v>
      </c>
    </row>
    <row r="296" spans="1:19">
      <c r="A296" s="109" t="s">
        <v>1358</v>
      </c>
      <c r="B296" s="113" t="s">
        <v>1446</v>
      </c>
      <c r="C296" s="113"/>
      <c r="D296" s="113">
        <v>0</v>
      </c>
      <c r="E296" s="4">
        <v>14</v>
      </c>
      <c r="F296" s="4">
        <v>6</v>
      </c>
      <c r="G296" s="4">
        <v>19</v>
      </c>
      <c r="H296" s="113">
        <v>6.7015000000000002</v>
      </c>
      <c r="I296" s="4">
        <v>1E-4</v>
      </c>
      <c r="J296" s="113">
        <v>-39.135199999999998</v>
      </c>
      <c r="K296" s="4">
        <v>1.8E-3</v>
      </c>
      <c r="L296" s="4">
        <v>2.8000000000000001E-2</v>
      </c>
      <c r="M296" s="4">
        <v>5.0000000000000001E-3</v>
      </c>
      <c r="N296" s="4">
        <v>-5.1000000000000004E-3</v>
      </c>
      <c r="O296" s="4">
        <v>1E-4</v>
      </c>
      <c r="P296" s="4">
        <v>128.54</v>
      </c>
      <c r="Q296" s="4">
        <v>0.21</v>
      </c>
      <c r="R296" s="113">
        <f t="shared" si="19"/>
        <v>0.26236477620644411</v>
      </c>
      <c r="S296" s="22">
        <f t="shared" si="20"/>
        <v>4.2863391164892843E-4</v>
      </c>
    </row>
    <row r="297" spans="1:19">
      <c r="A297" s="109" t="s">
        <v>1359</v>
      </c>
      <c r="B297" s="113" t="s">
        <v>1447</v>
      </c>
      <c r="C297" s="113"/>
      <c r="D297" s="113">
        <v>0</v>
      </c>
      <c r="E297" s="4">
        <v>14</v>
      </c>
      <c r="F297" s="4">
        <v>6</v>
      </c>
      <c r="G297" s="4">
        <v>19</v>
      </c>
      <c r="H297" s="113">
        <v>6.7015000000000002</v>
      </c>
      <c r="I297" s="4">
        <v>1E-4</v>
      </c>
      <c r="J297" s="113">
        <v>-39.135199999999998</v>
      </c>
      <c r="K297" s="4">
        <v>1.8E-3</v>
      </c>
      <c r="L297" s="4">
        <v>2.8000000000000001E-2</v>
      </c>
      <c r="M297" s="4">
        <v>5.0000000000000001E-3</v>
      </c>
      <c r="N297" s="4">
        <v>-5.1000000000000004E-3</v>
      </c>
      <c r="O297" s="4">
        <v>1E-4</v>
      </c>
      <c r="P297" s="4">
        <v>128.54</v>
      </c>
      <c r="Q297" s="4">
        <v>0.21</v>
      </c>
      <c r="R297" s="113">
        <f t="shared" si="19"/>
        <v>0.26236477620644411</v>
      </c>
      <c r="S297" s="22">
        <f t="shared" si="20"/>
        <v>4.2863391164892843E-4</v>
      </c>
    </row>
    <row r="298" spans="1:19">
      <c r="A298" s="109" t="s">
        <v>1360</v>
      </c>
      <c r="B298" s="113" t="s">
        <v>1448</v>
      </c>
      <c r="C298" s="113"/>
      <c r="D298" s="113">
        <v>0</v>
      </c>
      <c r="E298" s="4">
        <v>14</v>
      </c>
      <c r="F298" s="4">
        <v>6</v>
      </c>
      <c r="G298" s="4">
        <v>19</v>
      </c>
      <c r="H298" s="113">
        <v>6.7015000000000002</v>
      </c>
      <c r="I298" s="4">
        <v>1E-4</v>
      </c>
      <c r="J298" s="113">
        <v>-39.135199999999998</v>
      </c>
      <c r="K298" s="4">
        <v>1.8E-3</v>
      </c>
      <c r="L298" s="4">
        <v>2.8000000000000001E-2</v>
      </c>
      <c r="M298" s="4">
        <v>5.0000000000000001E-3</v>
      </c>
      <c r="N298" s="4">
        <v>-5.1000000000000004E-3</v>
      </c>
      <c r="O298" s="4">
        <v>1E-4</v>
      </c>
      <c r="P298" s="4">
        <v>128.54</v>
      </c>
      <c r="Q298" s="4">
        <v>0.21</v>
      </c>
      <c r="R298" s="113">
        <f t="shared" si="19"/>
        <v>0.26236477620644411</v>
      </c>
      <c r="S298" s="22">
        <f t="shared" si="20"/>
        <v>4.2863391164892843E-4</v>
      </c>
    </row>
    <row r="299" spans="1:19">
      <c r="A299" s="109" t="s">
        <v>1361</v>
      </c>
      <c r="B299" s="113" t="s">
        <v>1449</v>
      </c>
      <c r="C299" s="113"/>
      <c r="D299" s="113">
        <v>0</v>
      </c>
      <c r="E299" s="4">
        <v>14</v>
      </c>
      <c r="F299" s="4">
        <v>6</v>
      </c>
      <c r="G299" s="4">
        <v>19</v>
      </c>
      <c r="H299" s="113">
        <v>6.7015000000000002</v>
      </c>
      <c r="I299" s="4">
        <v>1E-4</v>
      </c>
      <c r="J299" s="113">
        <v>-39.135199999999998</v>
      </c>
      <c r="K299" s="4">
        <v>1.8E-3</v>
      </c>
      <c r="L299" s="4">
        <v>2.8000000000000001E-2</v>
      </c>
      <c r="M299" s="4">
        <v>5.0000000000000001E-3</v>
      </c>
      <c r="N299" s="4">
        <v>-5.1000000000000004E-3</v>
      </c>
      <c r="O299" s="4">
        <v>1E-4</v>
      </c>
      <c r="P299" s="4">
        <v>128.54</v>
      </c>
      <c r="Q299" s="4">
        <v>0.21</v>
      </c>
      <c r="R299" s="113">
        <f t="shared" si="19"/>
        <v>0.26236477620644411</v>
      </c>
      <c r="S299" s="22">
        <f t="shared" si="20"/>
        <v>4.2863391164892843E-4</v>
      </c>
    </row>
    <row r="300" spans="1:19">
      <c r="A300" s="109" t="s">
        <v>1362</v>
      </c>
      <c r="B300" s="113" t="s">
        <v>1450</v>
      </c>
      <c r="C300" s="113"/>
      <c r="D300" s="113">
        <v>0</v>
      </c>
      <c r="E300" s="4">
        <v>14</v>
      </c>
      <c r="F300" s="4">
        <v>7</v>
      </c>
      <c r="G300" s="4">
        <v>19</v>
      </c>
      <c r="H300" s="113">
        <v>6.7015000000000002</v>
      </c>
      <c r="I300" s="4">
        <v>1E-4</v>
      </c>
      <c r="J300" s="113">
        <v>-39.135199999999998</v>
      </c>
      <c r="K300" s="4">
        <v>1.8E-3</v>
      </c>
      <c r="L300" s="4">
        <v>2.8000000000000001E-2</v>
      </c>
      <c r="M300" s="4">
        <v>5.0000000000000001E-3</v>
      </c>
      <c r="N300" s="4">
        <v>-5.1000000000000004E-3</v>
      </c>
      <c r="O300" s="4">
        <v>1E-4</v>
      </c>
      <c r="P300" s="4">
        <v>128.54</v>
      </c>
      <c r="Q300" s="4">
        <v>0.21</v>
      </c>
      <c r="R300" s="113">
        <f t="shared" si="19"/>
        <v>0.26236477620644411</v>
      </c>
      <c r="S300" s="22">
        <f t="shared" si="20"/>
        <v>4.2863391164892843E-4</v>
      </c>
    </row>
    <row r="301" spans="1:19">
      <c r="A301" s="109" t="s">
        <v>1363</v>
      </c>
      <c r="B301" s="113" t="s">
        <v>1451</v>
      </c>
      <c r="C301" s="113"/>
      <c r="D301" s="113">
        <v>0</v>
      </c>
      <c r="E301" s="4">
        <v>14</v>
      </c>
      <c r="F301" s="4">
        <v>7</v>
      </c>
      <c r="G301" s="4">
        <v>19</v>
      </c>
      <c r="H301" s="113">
        <v>6.7015000000000002</v>
      </c>
      <c r="I301" s="4">
        <v>1E-4</v>
      </c>
      <c r="J301" s="113">
        <v>-39.135199999999998</v>
      </c>
      <c r="K301" s="4">
        <v>1.8E-3</v>
      </c>
      <c r="L301" s="4">
        <v>2.8000000000000001E-2</v>
      </c>
      <c r="M301" s="4">
        <v>5.0000000000000001E-3</v>
      </c>
      <c r="N301" s="4">
        <v>-5.1000000000000004E-3</v>
      </c>
      <c r="O301" s="4">
        <v>1E-4</v>
      </c>
      <c r="P301" s="4">
        <v>128.54</v>
      </c>
      <c r="Q301" s="4">
        <v>0.21</v>
      </c>
      <c r="R301" s="113">
        <f t="shared" si="19"/>
        <v>0.26236477620644411</v>
      </c>
      <c r="S301" s="22">
        <f t="shared" si="20"/>
        <v>4.2863391164892843E-4</v>
      </c>
    </row>
    <row r="302" spans="1:19">
      <c r="A302" s="109" t="s">
        <v>1364</v>
      </c>
      <c r="B302" s="113" t="s">
        <v>1452</v>
      </c>
      <c r="C302" s="113"/>
      <c r="D302" s="113">
        <v>0</v>
      </c>
      <c r="E302" s="4">
        <v>14</v>
      </c>
      <c r="F302" s="4">
        <v>7</v>
      </c>
      <c r="G302" s="4">
        <v>19</v>
      </c>
      <c r="H302" s="113">
        <v>6.7015000000000002</v>
      </c>
      <c r="I302" s="4">
        <v>1E-4</v>
      </c>
      <c r="J302" s="113">
        <v>-39.135199999999998</v>
      </c>
      <c r="K302" s="4">
        <v>1.8E-3</v>
      </c>
      <c r="L302" s="4">
        <v>2.8000000000000001E-2</v>
      </c>
      <c r="M302" s="4">
        <v>5.0000000000000001E-3</v>
      </c>
      <c r="N302" s="4">
        <v>-5.1000000000000004E-3</v>
      </c>
      <c r="O302" s="4">
        <v>1E-4</v>
      </c>
      <c r="P302" s="4">
        <v>128.54</v>
      </c>
      <c r="Q302" s="4">
        <v>0.21</v>
      </c>
      <c r="R302" s="113">
        <f t="shared" si="19"/>
        <v>0.26236477620644411</v>
      </c>
      <c r="S302" s="22">
        <f t="shared" si="20"/>
        <v>4.2863391164892843E-4</v>
      </c>
    </row>
    <row r="303" spans="1:19">
      <c r="A303" s="109" t="s">
        <v>1365</v>
      </c>
      <c r="B303" s="113" t="s">
        <v>1453</v>
      </c>
      <c r="C303" s="113"/>
      <c r="D303" s="113">
        <v>0</v>
      </c>
      <c r="E303" s="4">
        <v>14</v>
      </c>
      <c r="F303" s="4">
        <v>7</v>
      </c>
      <c r="G303" s="4">
        <v>19</v>
      </c>
      <c r="H303" s="113">
        <v>6.7015000000000002</v>
      </c>
      <c r="I303" s="4">
        <v>1E-4</v>
      </c>
      <c r="J303" s="113">
        <v>-39.135199999999998</v>
      </c>
      <c r="K303" s="4">
        <v>1.8E-3</v>
      </c>
      <c r="L303" s="4">
        <v>2.8000000000000001E-2</v>
      </c>
      <c r="M303" s="4">
        <v>5.0000000000000001E-3</v>
      </c>
      <c r="N303" s="4">
        <v>-5.1000000000000004E-3</v>
      </c>
      <c r="O303" s="4">
        <v>1E-4</v>
      </c>
      <c r="P303" s="4">
        <v>128.54</v>
      </c>
      <c r="Q303" s="4">
        <v>0.21</v>
      </c>
      <c r="R303" s="113">
        <f t="shared" si="19"/>
        <v>0.26236477620644411</v>
      </c>
      <c r="S303" s="22">
        <f t="shared" si="20"/>
        <v>4.2863391164892843E-4</v>
      </c>
    </row>
    <row r="304" spans="1:19">
      <c r="A304" s="109" t="s">
        <v>1366</v>
      </c>
      <c r="B304" s="113" t="s">
        <v>1454</v>
      </c>
      <c r="C304" s="113"/>
      <c r="D304" s="113">
        <v>0</v>
      </c>
      <c r="E304" s="4">
        <v>14</v>
      </c>
      <c r="F304" s="4">
        <v>7</v>
      </c>
      <c r="G304" s="4">
        <v>19</v>
      </c>
      <c r="H304" s="113">
        <v>6.7015000000000002</v>
      </c>
      <c r="I304" s="4">
        <v>1E-4</v>
      </c>
      <c r="J304" s="113">
        <v>-39.135199999999998</v>
      </c>
      <c r="K304" s="4">
        <v>1.8E-3</v>
      </c>
      <c r="L304" s="4">
        <v>2.8000000000000001E-2</v>
      </c>
      <c r="M304" s="4">
        <v>5.0000000000000001E-3</v>
      </c>
      <c r="N304" s="4">
        <v>-5.1000000000000004E-3</v>
      </c>
      <c r="O304" s="4">
        <v>1E-4</v>
      </c>
      <c r="P304" s="4">
        <v>128.54</v>
      </c>
      <c r="Q304" s="4">
        <v>0.21</v>
      </c>
      <c r="R304" s="113">
        <f t="shared" si="19"/>
        <v>0.26236477620644411</v>
      </c>
      <c r="S304" s="22">
        <f t="shared" si="20"/>
        <v>4.2863391164892843E-4</v>
      </c>
    </row>
    <row r="305" spans="1:19">
      <c r="A305" s="109" t="s">
        <v>1367</v>
      </c>
      <c r="B305" s="113" t="s">
        <v>1455</v>
      </c>
      <c r="C305" s="113"/>
      <c r="D305" s="113">
        <v>0</v>
      </c>
      <c r="E305" s="4">
        <v>14</v>
      </c>
      <c r="F305" s="4">
        <v>7</v>
      </c>
      <c r="G305" s="4">
        <v>19</v>
      </c>
      <c r="H305" s="113">
        <v>6.7015000000000002</v>
      </c>
      <c r="I305" s="4">
        <v>1E-4</v>
      </c>
      <c r="J305" s="113">
        <v>-39.135199999999998</v>
      </c>
      <c r="K305" s="4">
        <v>1.8E-3</v>
      </c>
      <c r="L305" s="4">
        <v>2.8000000000000001E-2</v>
      </c>
      <c r="M305" s="4">
        <v>5.0000000000000001E-3</v>
      </c>
      <c r="N305" s="4">
        <v>-5.1000000000000004E-3</v>
      </c>
      <c r="O305" s="4">
        <v>1E-4</v>
      </c>
      <c r="P305" s="4">
        <v>128.54</v>
      </c>
      <c r="Q305" s="4">
        <v>0.21</v>
      </c>
      <c r="R305" s="113">
        <f t="shared" si="19"/>
        <v>0.26236477620644411</v>
      </c>
      <c r="S305" s="22">
        <f t="shared" si="20"/>
        <v>4.2863391164892843E-4</v>
      </c>
    </row>
    <row r="306" spans="1:19">
      <c r="A306" s="109" t="s">
        <v>1368</v>
      </c>
      <c r="B306" s="113" t="s">
        <v>1456</v>
      </c>
      <c r="C306" s="113"/>
      <c r="D306" s="113">
        <v>0</v>
      </c>
      <c r="E306" s="4">
        <v>14</v>
      </c>
      <c r="F306" s="4">
        <v>7</v>
      </c>
      <c r="G306" s="4">
        <v>19</v>
      </c>
      <c r="H306" s="113">
        <v>6.7015000000000002</v>
      </c>
      <c r="I306" s="4">
        <v>1E-4</v>
      </c>
      <c r="J306" s="113">
        <v>-39.135199999999998</v>
      </c>
      <c r="K306" s="4">
        <v>1.8E-3</v>
      </c>
      <c r="L306" s="4">
        <v>2.8000000000000001E-2</v>
      </c>
      <c r="M306" s="4">
        <v>5.0000000000000001E-3</v>
      </c>
      <c r="N306" s="4">
        <v>-5.1000000000000004E-3</v>
      </c>
      <c r="O306" s="4">
        <v>1E-4</v>
      </c>
      <c r="P306" s="4">
        <v>128.54</v>
      </c>
      <c r="Q306" s="4">
        <v>0.21</v>
      </c>
      <c r="R306" s="113">
        <f t="shared" si="19"/>
        <v>0.26236477620644411</v>
      </c>
      <c r="S306" s="22">
        <f t="shared" si="20"/>
        <v>4.2863391164892843E-4</v>
      </c>
    </row>
    <row r="307" spans="1:19">
      <c r="A307" s="109" t="s">
        <v>1369</v>
      </c>
      <c r="B307" s="113" t="s">
        <v>1457</v>
      </c>
      <c r="C307" s="113"/>
      <c r="D307" s="113">
        <v>0</v>
      </c>
      <c r="E307" s="4">
        <v>14</v>
      </c>
      <c r="F307" s="4">
        <v>7</v>
      </c>
      <c r="G307" s="4">
        <v>19</v>
      </c>
      <c r="H307" s="113">
        <v>6.7015000000000002</v>
      </c>
      <c r="I307" s="4">
        <v>1E-4</v>
      </c>
      <c r="J307" s="113">
        <v>-39.135199999999998</v>
      </c>
      <c r="K307" s="4">
        <v>1.8E-3</v>
      </c>
      <c r="L307" s="4">
        <v>2.8000000000000001E-2</v>
      </c>
      <c r="M307" s="4">
        <v>5.0000000000000001E-3</v>
      </c>
      <c r="N307" s="4">
        <v>-5.1000000000000004E-3</v>
      </c>
      <c r="O307" s="4">
        <v>1E-4</v>
      </c>
      <c r="P307" s="4">
        <v>128.54</v>
      </c>
      <c r="Q307" s="4">
        <v>0.21</v>
      </c>
      <c r="R307" s="113">
        <f t="shared" si="19"/>
        <v>0.26236477620644411</v>
      </c>
      <c r="S307" s="22">
        <f t="shared" si="20"/>
        <v>4.2863391164892843E-4</v>
      </c>
    </row>
    <row r="308" spans="1:19">
      <c r="A308" s="109" t="s">
        <v>1370</v>
      </c>
      <c r="B308" s="113" t="s">
        <v>1458</v>
      </c>
      <c r="C308" s="113"/>
      <c r="D308" s="113">
        <v>0</v>
      </c>
      <c r="E308" s="4">
        <v>14</v>
      </c>
      <c r="F308" s="4">
        <v>7</v>
      </c>
      <c r="G308" s="4">
        <v>19</v>
      </c>
      <c r="H308" s="113">
        <v>6.7015000000000002</v>
      </c>
      <c r="I308" s="4">
        <v>1E-4</v>
      </c>
      <c r="J308" s="113">
        <v>-39.135199999999998</v>
      </c>
      <c r="K308" s="4">
        <v>1.8E-3</v>
      </c>
      <c r="L308" s="4">
        <v>2.8000000000000001E-2</v>
      </c>
      <c r="M308" s="4">
        <v>5.0000000000000001E-3</v>
      </c>
      <c r="N308" s="4">
        <v>-5.1000000000000004E-3</v>
      </c>
      <c r="O308" s="4">
        <v>1E-4</v>
      </c>
      <c r="P308" s="4">
        <v>128.54</v>
      </c>
      <c r="Q308" s="4">
        <v>0.21</v>
      </c>
      <c r="R308" s="113">
        <f t="shared" si="19"/>
        <v>0.26236477620644411</v>
      </c>
      <c r="S308" s="22">
        <f t="shared" si="20"/>
        <v>4.2863391164892843E-4</v>
      </c>
    </row>
    <row r="309" spans="1:19">
      <c r="A309" s="109" t="s">
        <v>1371</v>
      </c>
      <c r="B309" s="113" t="s">
        <v>1459</v>
      </c>
      <c r="C309" s="113"/>
      <c r="D309" s="113">
        <v>0</v>
      </c>
      <c r="E309" s="4">
        <v>14</v>
      </c>
      <c r="F309" s="4">
        <v>7</v>
      </c>
      <c r="G309" s="4">
        <v>19</v>
      </c>
      <c r="H309" s="113">
        <v>6.7015000000000002</v>
      </c>
      <c r="I309" s="4">
        <v>1E-4</v>
      </c>
      <c r="J309" s="113">
        <v>-39.135199999999998</v>
      </c>
      <c r="K309" s="4">
        <v>1.8E-3</v>
      </c>
      <c r="L309" s="4">
        <v>2.8000000000000001E-2</v>
      </c>
      <c r="M309" s="4">
        <v>5.0000000000000001E-3</v>
      </c>
      <c r="N309" s="4">
        <v>-5.1000000000000004E-3</v>
      </c>
      <c r="O309" s="4">
        <v>1E-4</v>
      </c>
      <c r="P309" s="4">
        <v>128.54</v>
      </c>
      <c r="Q309" s="4">
        <v>0.21</v>
      </c>
      <c r="R309" s="113">
        <f t="shared" si="19"/>
        <v>0.26236477620644411</v>
      </c>
      <c r="S309" s="22">
        <f t="shared" si="20"/>
        <v>4.2863391164892843E-4</v>
      </c>
    </row>
    <row r="310" spans="1:19">
      <c r="A310" s="109" t="s">
        <v>1372</v>
      </c>
      <c r="B310" s="113" t="s">
        <v>1460</v>
      </c>
      <c r="C310" s="113"/>
      <c r="D310" s="113">
        <v>0</v>
      </c>
      <c r="E310" s="4">
        <v>14</v>
      </c>
      <c r="F310" s="4">
        <v>7</v>
      </c>
      <c r="G310" s="4">
        <v>19</v>
      </c>
      <c r="H310" s="113">
        <v>6.7015000000000002</v>
      </c>
      <c r="I310" s="4">
        <v>1E-4</v>
      </c>
      <c r="J310" s="113">
        <v>-39.135199999999998</v>
      </c>
      <c r="K310" s="4">
        <v>1.8E-3</v>
      </c>
      <c r="L310" s="4">
        <v>2.8000000000000001E-2</v>
      </c>
      <c r="M310" s="4">
        <v>5.0000000000000001E-3</v>
      </c>
      <c r="N310" s="4">
        <v>-5.1000000000000004E-3</v>
      </c>
      <c r="O310" s="4">
        <v>1E-4</v>
      </c>
      <c r="P310" s="4">
        <v>128.54</v>
      </c>
      <c r="Q310" s="4">
        <v>0.21</v>
      </c>
      <c r="R310" s="113">
        <f t="shared" si="19"/>
        <v>0.26236477620644411</v>
      </c>
      <c r="S310" s="22">
        <f t="shared" si="20"/>
        <v>4.2863391164892843E-4</v>
      </c>
    </row>
    <row r="311" spans="1:19">
      <c r="A311" s="109" t="s">
        <v>1373</v>
      </c>
      <c r="B311" s="113" t="s">
        <v>1461</v>
      </c>
      <c r="C311" s="113"/>
      <c r="D311" s="113">
        <v>0</v>
      </c>
      <c r="E311" s="4">
        <v>14</v>
      </c>
      <c r="F311" s="4">
        <v>7</v>
      </c>
      <c r="G311" s="4">
        <v>19</v>
      </c>
      <c r="H311" s="113">
        <v>6.7015000000000002</v>
      </c>
      <c r="I311" s="4">
        <v>1E-4</v>
      </c>
      <c r="J311" s="113">
        <v>-39.135199999999998</v>
      </c>
      <c r="K311" s="4">
        <v>1.8E-3</v>
      </c>
      <c r="L311" s="4">
        <v>2.8000000000000001E-2</v>
      </c>
      <c r="M311" s="4">
        <v>5.0000000000000001E-3</v>
      </c>
      <c r="N311" s="4">
        <v>-5.1000000000000004E-3</v>
      </c>
      <c r="O311" s="4">
        <v>1E-4</v>
      </c>
      <c r="P311" s="4">
        <v>128.54</v>
      </c>
      <c r="Q311" s="4">
        <v>0.21</v>
      </c>
      <c r="R311" s="113">
        <f t="shared" si="19"/>
        <v>0.26236477620644411</v>
      </c>
      <c r="S311" s="22">
        <f t="shared" si="20"/>
        <v>4.2863391164892843E-4</v>
      </c>
    </row>
    <row r="312" spans="1:19">
      <c r="A312" s="109" t="s">
        <v>1374</v>
      </c>
      <c r="B312" s="113" t="s">
        <v>1462</v>
      </c>
      <c r="C312" s="113"/>
      <c r="D312" s="113">
        <v>0</v>
      </c>
      <c r="E312" s="4">
        <v>14</v>
      </c>
      <c r="F312" s="4">
        <v>7</v>
      </c>
      <c r="G312" s="4">
        <v>19</v>
      </c>
      <c r="H312" s="113">
        <v>6.7015000000000002</v>
      </c>
      <c r="I312" s="4">
        <v>1E-4</v>
      </c>
      <c r="J312" s="113">
        <v>-39.135199999999998</v>
      </c>
      <c r="K312" s="4">
        <v>1.8E-3</v>
      </c>
      <c r="L312" s="4">
        <v>2.8000000000000001E-2</v>
      </c>
      <c r="M312" s="4">
        <v>5.0000000000000001E-3</v>
      </c>
      <c r="N312" s="4">
        <v>-5.1000000000000004E-3</v>
      </c>
      <c r="O312" s="4">
        <v>1E-4</v>
      </c>
      <c r="P312" s="4">
        <v>128.54</v>
      </c>
      <c r="Q312" s="4">
        <v>0.21</v>
      </c>
      <c r="R312" s="113">
        <f t="shared" si="19"/>
        <v>0.26236477620644411</v>
      </c>
      <c r="S312" s="22">
        <f t="shared" si="20"/>
        <v>4.2863391164892843E-4</v>
      </c>
    </row>
    <row r="313" spans="1:19">
      <c r="A313" s="109" t="s">
        <v>1375</v>
      </c>
      <c r="B313" s="113" t="s">
        <v>1463</v>
      </c>
      <c r="C313" s="113"/>
      <c r="D313" s="113">
        <v>0</v>
      </c>
      <c r="E313" s="4">
        <v>14</v>
      </c>
      <c r="F313" s="4">
        <v>8</v>
      </c>
      <c r="G313" s="4">
        <v>19</v>
      </c>
      <c r="H313" s="113">
        <v>6.7015000000000002</v>
      </c>
      <c r="I313" s="4">
        <v>1E-4</v>
      </c>
      <c r="J313" s="113">
        <v>-39.135199999999998</v>
      </c>
      <c r="K313" s="4">
        <v>1.8E-3</v>
      </c>
      <c r="L313" s="4">
        <v>2.8000000000000001E-2</v>
      </c>
      <c r="M313" s="4">
        <v>5.0000000000000001E-3</v>
      </c>
      <c r="N313" s="4">
        <v>-5.1000000000000004E-3</v>
      </c>
      <c r="O313" s="4">
        <v>1E-4</v>
      </c>
      <c r="P313" s="4">
        <v>128.54</v>
      </c>
      <c r="Q313" s="4">
        <v>0.21</v>
      </c>
      <c r="R313" s="113">
        <f t="shared" si="19"/>
        <v>0.26236477620644411</v>
      </c>
      <c r="S313" s="22">
        <f t="shared" si="20"/>
        <v>4.2863391164892843E-4</v>
      </c>
    </row>
    <row r="314" spans="1:19">
      <c r="A314" s="109" t="s">
        <v>1376</v>
      </c>
      <c r="B314" s="113" t="s">
        <v>1464</v>
      </c>
      <c r="C314" s="113"/>
      <c r="D314" s="113">
        <v>0</v>
      </c>
      <c r="E314" s="4">
        <v>14</v>
      </c>
      <c r="F314" s="4">
        <v>8</v>
      </c>
      <c r="G314" s="4">
        <v>19</v>
      </c>
      <c r="H314" s="113">
        <v>6.7015000000000002</v>
      </c>
      <c r="I314" s="4">
        <v>1E-4</v>
      </c>
      <c r="J314" s="113">
        <v>-39.135199999999998</v>
      </c>
      <c r="K314" s="4">
        <v>1.8E-3</v>
      </c>
      <c r="L314" s="4">
        <v>2.8000000000000001E-2</v>
      </c>
      <c r="M314" s="4">
        <v>5.0000000000000001E-3</v>
      </c>
      <c r="N314" s="4">
        <v>-5.1000000000000004E-3</v>
      </c>
      <c r="O314" s="4">
        <v>1E-4</v>
      </c>
      <c r="P314" s="4">
        <v>128.54</v>
      </c>
      <c r="Q314" s="4">
        <v>0.21</v>
      </c>
      <c r="R314" s="113">
        <f t="shared" si="19"/>
        <v>0.26236477620644411</v>
      </c>
      <c r="S314" s="22">
        <f t="shared" si="20"/>
        <v>4.2863391164892843E-4</v>
      </c>
    </row>
    <row r="315" spans="1:19">
      <c r="A315" s="109" t="s">
        <v>1377</v>
      </c>
      <c r="B315" s="113" t="s">
        <v>1465</v>
      </c>
      <c r="C315" s="113"/>
      <c r="D315" s="113">
        <v>0</v>
      </c>
      <c r="E315" s="4">
        <v>14</v>
      </c>
      <c r="F315" s="4">
        <v>8</v>
      </c>
      <c r="G315" s="4">
        <v>19</v>
      </c>
      <c r="H315" s="113">
        <v>6.7015000000000002</v>
      </c>
      <c r="I315" s="4">
        <v>1E-4</v>
      </c>
      <c r="J315" s="113">
        <v>-39.135199999999998</v>
      </c>
      <c r="K315" s="4">
        <v>1.8E-3</v>
      </c>
      <c r="L315" s="4">
        <v>2.8000000000000001E-2</v>
      </c>
      <c r="M315" s="4">
        <v>5.0000000000000001E-3</v>
      </c>
      <c r="N315" s="4">
        <v>-5.1000000000000004E-3</v>
      </c>
      <c r="O315" s="4">
        <v>1E-4</v>
      </c>
      <c r="P315" s="4">
        <v>128.54</v>
      </c>
      <c r="Q315" s="4">
        <v>0.21</v>
      </c>
      <c r="R315" s="113">
        <f t="shared" si="19"/>
        <v>0.26236477620644411</v>
      </c>
      <c r="S315" s="22">
        <f t="shared" si="20"/>
        <v>4.2863391164892843E-4</v>
      </c>
    </row>
    <row r="316" spans="1:19">
      <c r="A316" s="109" t="s">
        <v>1378</v>
      </c>
      <c r="B316" s="113" t="s">
        <v>1466</v>
      </c>
      <c r="C316" s="113"/>
      <c r="D316" s="113">
        <v>0</v>
      </c>
      <c r="E316" s="4">
        <v>14</v>
      </c>
      <c r="F316" s="4">
        <v>8</v>
      </c>
      <c r="G316" s="4">
        <v>19</v>
      </c>
      <c r="H316" s="113">
        <v>6.7015000000000002</v>
      </c>
      <c r="I316" s="4">
        <v>1E-4</v>
      </c>
      <c r="J316" s="113">
        <v>-39.135199999999998</v>
      </c>
      <c r="K316" s="4">
        <v>1.8E-3</v>
      </c>
      <c r="L316" s="4">
        <v>2.8000000000000001E-2</v>
      </c>
      <c r="M316" s="4">
        <v>5.0000000000000001E-3</v>
      </c>
      <c r="N316" s="4">
        <v>-5.1000000000000004E-3</v>
      </c>
      <c r="O316" s="4">
        <v>1E-4</v>
      </c>
      <c r="P316" s="4">
        <v>128.54</v>
      </c>
      <c r="Q316" s="4">
        <v>0.21</v>
      </c>
      <c r="R316" s="113">
        <f t="shared" si="19"/>
        <v>0.26236477620644411</v>
      </c>
      <c r="S316" s="22">
        <f t="shared" si="20"/>
        <v>4.2863391164892843E-4</v>
      </c>
    </row>
    <row r="317" spans="1:19">
      <c r="A317" s="109" t="s">
        <v>1379</v>
      </c>
      <c r="B317" s="113" t="s">
        <v>1467</v>
      </c>
      <c r="C317" s="113"/>
      <c r="D317" s="113">
        <v>0</v>
      </c>
      <c r="E317" s="4">
        <v>14</v>
      </c>
      <c r="F317" s="4">
        <v>8</v>
      </c>
      <c r="G317" s="4">
        <v>19</v>
      </c>
      <c r="H317" s="113">
        <v>6.7015000000000002</v>
      </c>
      <c r="I317" s="4">
        <v>1E-4</v>
      </c>
      <c r="J317" s="113">
        <v>-39.135199999999998</v>
      </c>
      <c r="K317" s="4">
        <v>1.8E-3</v>
      </c>
      <c r="L317" s="4">
        <v>2.8000000000000001E-2</v>
      </c>
      <c r="M317" s="4">
        <v>5.0000000000000001E-3</v>
      </c>
      <c r="N317" s="4">
        <v>-5.1000000000000004E-3</v>
      </c>
      <c r="O317" s="4">
        <v>1E-4</v>
      </c>
      <c r="P317" s="4">
        <v>128.54</v>
      </c>
      <c r="Q317" s="4">
        <v>0.21</v>
      </c>
      <c r="R317" s="113">
        <f t="shared" si="19"/>
        <v>0.26236477620644411</v>
      </c>
      <c r="S317" s="22">
        <f t="shared" si="20"/>
        <v>4.2863391164892843E-4</v>
      </c>
    </row>
    <row r="318" spans="1:19">
      <c r="A318" s="109" t="s">
        <v>1380</v>
      </c>
      <c r="B318" s="113" t="s">
        <v>1468</v>
      </c>
      <c r="C318" s="113"/>
      <c r="D318" s="113">
        <v>0</v>
      </c>
      <c r="E318" s="4">
        <v>14</v>
      </c>
      <c r="F318" s="4">
        <v>8</v>
      </c>
      <c r="G318" s="4">
        <v>19</v>
      </c>
      <c r="H318" s="113">
        <v>6.7015000000000002</v>
      </c>
      <c r="I318" s="4">
        <v>1E-4</v>
      </c>
      <c r="J318" s="113">
        <v>-39.135199999999998</v>
      </c>
      <c r="K318" s="4">
        <v>1.8E-3</v>
      </c>
      <c r="L318" s="4">
        <v>2.8000000000000001E-2</v>
      </c>
      <c r="M318" s="4">
        <v>5.0000000000000001E-3</v>
      </c>
      <c r="N318" s="4">
        <v>-5.1000000000000004E-3</v>
      </c>
      <c r="O318" s="4">
        <v>1E-4</v>
      </c>
      <c r="P318" s="4">
        <v>128.54</v>
      </c>
      <c r="Q318" s="4">
        <v>0.21</v>
      </c>
      <c r="R318" s="113">
        <f t="shared" si="19"/>
        <v>0.26236477620644411</v>
      </c>
      <c r="S318" s="22">
        <f t="shared" si="20"/>
        <v>4.2863391164892843E-4</v>
      </c>
    </row>
    <row r="319" spans="1:19">
      <c r="A319" s="109" t="s">
        <v>1381</v>
      </c>
      <c r="B319" s="113" t="s">
        <v>1469</v>
      </c>
      <c r="C319" s="113"/>
      <c r="D319" s="113">
        <v>0</v>
      </c>
      <c r="E319" s="4">
        <v>14</v>
      </c>
      <c r="F319" s="4">
        <v>8</v>
      </c>
      <c r="G319" s="4">
        <v>19</v>
      </c>
      <c r="H319" s="113">
        <v>6.7015000000000002</v>
      </c>
      <c r="I319" s="4">
        <v>1E-4</v>
      </c>
      <c r="J319" s="113">
        <v>-39.135199999999998</v>
      </c>
      <c r="K319" s="4">
        <v>1.8E-3</v>
      </c>
      <c r="L319" s="4">
        <v>2.8000000000000001E-2</v>
      </c>
      <c r="M319" s="4">
        <v>5.0000000000000001E-3</v>
      </c>
      <c r="N319" s="4">
        <v>-5.1000000000000004E-3</v>
      </c>
      <c r="O319" s="4">
        <v>1E-4</v>
      </c>
      <c r="P319" s="4">
        <v>128.54</v>
      </c>
      <c r="Q319" s="4">
        <v>0.21</v>
      </c>
      <c r="R319" s="113">
        <f t="shared" si="19"/>
        <v>0.26236477620644411</v>
      </c>
      <c r="S319" s="22">
        <f t="shared" si="20"/>
        <v>4.2863391164892843E-4</v>
      </c>
    </row>
    <row r="320" spans="1:19">
      <c r="A320" s="109" t="s">
        <v>1382</v>
      </c>
      <c r="B320" s="113" t="s">
        <v>1470</v>
      </c>
      <c r="C320" s="113"/>
      <c r="D320" s="113">
        <v>0</v>
      </c>
      <c r="E320" s="4">
        <v>14</v>
      </c>
      <c r="F320" s="4">
        <v>8</v>
      </c>
      <c r="G320" s="4">
        <v>19</v>
      </c>
      <c r="H320" s="113">
        <v>6.7015000000000002</v>
      </c>
      <c r="I320" s="4">
        <v>1E-4</v>
      </c>
      <c r="J320" s="113">
        <v>-39.135199999999998</v>
      </c>
      <c r="K320" s="4">
        <v>1.8E-3</v>
      </c>
      <c r="L320" s="4">
        <v>2.8000000000000001E-2</v>
      </c>
      <c r="M320" s="4">
        <v>5.0000000000000001E-3</v>
      </c>
      <c r="N320" s="4">
        <v>-5.1000000000000004E-3</v>
      </c>
      <c r="O320" s="4">
        <v>1E-4</v>
      </c>
      <c r="P320" s="4">
        <v>128.54</v>
      </c>
      <c r="Q320" s="4">
        <v>0.21</v>
      </c>
      <c r="R320" s="113">
        <f t="shared" si="19"/>
        <v>0.26236477620644411</v>
      </c>
      <c r="S320" s="22">
        <f t="shared" si="20"/>
        <v>4.2863391164892843E-4</v>
      </c>
    </row>
    <row r="321" spans="1:19">
      <c r="A321" s="109" t="s">
        <v>1383</v>
      </c>
      <c r="B321" s="113" t="s">
        <v>1471</v>
      </c>
      <c r="C321" s="113"/>
      <c r="D321" s="113">
        <v>0</v>
      </c>
      <c r="E321" s="4">
        <v>14</v>
      </c>
      <c r="F321" s="4">
        <v>8</v>
      </c>
      <c r="G321" s="4">
        <v>19</v>
      </c>
      <c r="H321" s="113">
        <v>6.7015000000000002</v>
      </c>
      <c r="I321" s="4">
        <v>1E-4</v>
      </c>
      <c r="J321" s="113">
        <v>-39.135199999999998</v>
      </c>
      <c r="K321" s="4">
        <v>1.8E-3</v>
      </c>
      <c r="L321" s="4">
        <v>2.8000000000000001E-2</v>
      </c>
      <c r="M321" s="4">
        <v>5.0000000000000001E-3</v>
      </c>
      <c r="N321" s="4">
        <v>-5.1000000000000004E-3</v>
      </c>
      <c r="O321" s="4">
        <v>1E-4</v>
      </c>
      <c r="P321" s="4">
        <v>128.54</v>
      </c>
      <c r="Q321" s="4">
        <v>0.21</v>
      </c>
      <c r="R321" s="113">
        <f t="shared" si="19"/>
        <v>0.26236477620644411</v>
      </c>
      <c r="S321" s="22">
        <f t="shared" si="20"/>
        <v>4.2863391164892843E-4</v>
      </c>
    </row>
    <row r="322" spans="1:19">
      <c r="A322" s="109" t="s">
        <v>1384</v>
      </c>
      <c r="B322" s="113" t="s">
        <v>1472</v>
      </c>
      <c r="C322" s="113"/>
      <c r="D322" s="113">
        <v>0</v>
      </c>
      <c r="E322" s="4">
        <v>14</v>
      </c>
      <c r="F322" s="4">
        <v>8</v>
      </c>
      <c r="G322" s="4">
        <v>19</v>
      </c>
      <c r="H322" s="113">
        <v>6.7015000000000002</v>
      </c>
      <c r="I322" s="4">
        <v>1E-4</v>
      </c>
      <c r="J322" s="113">
        <v>-39.135199999999998</v>
      </c>
      <c r="K322" s="4">
        <v>1.8E-3</v>
      </c>
      <c r="L322" s="4">
        <v>2.8000000000000001E-2</v>
      </c>
      <c r="M322" s="4">
        <v>5.0000000000000001E-3</v>
      </c>
      <c r="N322" s="4">
        <v>-5.1000000000000004E-3</v>
      </c>
      <c r="O322" s="4">
        <v>1E-4</v>
      </c>
      <c r="P322" s="4">
        <v>128.54</v>
      </c>
      <c r="Q322" s="4">
        <v>0.21</v>
      </c>
      <c r="R322" s="113">
        <f t="shared" si="19"/>
        <v>0.26236477620644411</v>
      </c>
      <c r="S322" s="22">
        <f t="shared" si="20"/>
        <v>4.2863391164892843E-4</v>
      </c>
    </row>
    <row r="323" spans="1:19">
      <c r="A323" s="109" t="s">
        <v>1385</v>
      </c>
      <c r="B323" s="113" t="s">
        <v>1473</v>
      </c>
      <c r="C323" s="113"/>
      <c r="D323" s="113">
        <v>0</v>
      </c>
      <c r="E323" s="4">
        <v>14</v>
      </c>
      <c r="F323" s="4">
        <v>8</v>
      </c>
      <c r="G323" s="4">
        <v>19</v>
      </c>
      <c r="H323" s="113">
        <v>6.7015000000000002</v>
      </c>
      <c r="I323" s="4">
        <v>1E-4</v>
      </c>
      <c r="J323" s="113">
        <v>-39.135199999999998</v>
      </c>
      <c r="K323" s="4">
        <v>1.8E-3</v>
      </c>
      <c r="L323" s="4">
        <v>2.8000000000000001E-2</v>
      </c>
      <c r="M323" s="4">
        <v>5.0000000000000001E-3</v>
      </c>
      <c r="N323" s="4">
        <v>-5.1000000000000004E-3</v>
      </c>
      <c r="O323" s="4">
        <v>1E-4</v>
      </c>
      <c r="P323" s="4">
        <v>128.54</v>
      </c>
      <c r="Q323" s="4">
        <v>0.21</v>
      </c>
      <c r="R323" s="113">
        <f t="shared" si="19"/>
        <v>0.26236477620644411</v>
      </c>
      <c r="S323" s="22">
        <f t="shared" si="20"/>
        <v>4.2863391164892843E-4</v>
      </c>
    </row>
    <row r="324" spans="1:19">
      <c r="A324" s="109" t="s">
        <v>1386</v>
      </c>
      <c r="B324" s="113" t="s">
        <v>1474</v>
      </c>
      <c r="C324" s="113"/>
      <c r="D324" s="113">
        <v>0</v>
      </c>
      <c r="E324" s="4">
        <v>14</v>
      </c>
      <c r="F324" s="4">
        <v>8</v>
      </c>
      <c r="G324" s="4">
        <v>19</v>
      </c>
      <c r="H324" s="113">
        <v>6.7015000000000002</v>
      </c>
      <c r="I324" s="4">
        <v>1E-4</v>
      </c>
      <c r="J324" s="113">
        <v>-39.135199999999998</v>
      </c>
      <c r="K324" s="4">
        <v>1.8E-3</v>
      </c>
      <c r="L324" s="4">
        <v>2.8000000000000001E-2</v>
      </c>
      <c r="M324" s="4">
        <v>5.0000000000000001E-3</v>
      </c>
      <c r="N324" s="4">
        <v>-5.1000000000000004E-3</v>
      </c>
      <c r="O324" s="4">
        <v>1E-4</v>
      </c>
      <c r="P324" s="4">
        <v>128.54</v>
      </c>
      <c r="Q324" s="4">
        <v>0.21</v>
      </c>
      <c r="R324" s="113">
        <f t="shared" si="19"/>
        <v>0.26236477620644411</v>
      </c>
      <c r="S324" s="22">
        <f t="shared" si="20"/>
        <v>4.2863391164892843E-4</v>
      </c>
    </row>
    <row r="325" spans="1:19">
      <c r="A325" s="109" t="s">
        <v>1387</v>
      </c>
      <c r="B325" s="113" t="s">
        <v>1475</v>
      </c>
      <c r="C325" s="113"/>
      <c r="D325" s="113">
        <v>0</v>
      </c>
      <c r="E325" s="4">
        <v>14</v>
      </c>
      <c r="F325" s="4">
        <v>9</v>
      </c>
      <c r="G325" s="4">
        <v>19</v>
      </c>
      <c r="H325" s="113">
        <v>6.7015000000000002</v>
      </c>
      <c r="I325" s="4">
        <v>1E-4</v>
      </c>
      <c r="J325" s="113">
        <v>-39.135199999999998</v>
      </c>
      <c r="K325" s="4">
        <v>1.8E-3</v>
      </c>
      <c r="L325" s="4">
        <v>2.8000000000000001E-2</v>
      </c>
      <c r="M325" s="4">
        <v>5.0000000000000001E-3</v>
      </c>
      <c r="N325" s="4">
        <v>-5.1000000000000004E-3</v>
      </c>
      <c r="O325" s="4">
        <v>1E-4</v>
      </c>
      <c r="P325" s="4">
        <v>128.54</v>
      </c>
      <c r="Q325" s="4">
        <v>0.21</v>
      </c>
      <c r="R325" s="113">
        <f t="shared" si="19"/>
        <v>0.26236477620644411</v>
      </c>
      <c r="S325" s="22">
        <f t="shared" si="20"/>
        <v>4.2863391164892843E-4</v>
      </c>
    </row>
    <row r="326" spans="1:19">
      <c r="A326" s="109" t="s">
        <v>1388</v>
      </c>
      <c r="B326" s="113" t="s">
        <v>1476</v>
      </c>
      <c r="C326" s="113"/>
      <c r="D326" s="113">
        <v>0</v>
      </c>
      <c r="E326" s="4">
        <v>14</v>
      </c>
      <c r="F326" s="4">
        <v>9</v>
      </c>
      <c r="G326" s="4">
        <v>19</v>
      </c>
      <c r="H326" s="113">
        <v>6.7015000000000002</v>
      </c>
      <c r="I326" s="4">
        <v>1E-4</v>
      </c>
      <c r="J326" s="113">
        <v>-39.135199999999998</v>
      </c>
      <c r="K326" s="4">
        <v>1.8E-3</v>
      </c>
      <c r="L326" s="4">
        <v>2.8000000000000001E-2</v>
      </c>
      <c r="M326" s="4">
        <v>5.0000000000000001E-3</v>
      </c>
      <c r="N326" s="4">
        <v>-5.1000000000000004E-3</v>
      </c>
      <c r="O326" s="4">
        <v>1E-4</v>
      </c>
      <c r="P326" s="4">
        <v>128.54</v>
      </c>
      <c r="Q326" s="4">
        <v>0.21</v>
      </c>
      <c r="R326" s="113">
        <f t="shared" si="19"/>
        <v>0.26236477620644411</v>
      </c>
      <c r="S326" s="22">
        <f t="shared" si="20"/>
        <v>4.2863391164892843E-4</v>
      </c>
    </row>
    <row r="327" spans="1:19">
      <c r="A327" s="109" t="s">
        <v>1389</v>
      </c>
      <c r="B327" s="113" t="s">
        <v>1477</v>
      </c>
      <c r="C327" s="113"/>
      <c r="D327" s="113">
        <v>0</v>
      </c>
      <c r="E327" s="4">
        <v>14</v>
      </c>
      <c r="F327" s="4">
        <v>9</v>
      </c>
      <c r="G327" s="4">
        <v>19</v>
      </c>
      <c r="H327" s="113">
        <v>6.7015000000000002</v>
      </c>
      <c r="I327" s="4">
        <v>1E-4</v>
      </c>
      <c r="J327" s="113">
        <v>-39.135199999999998</v>
      </c>
      <c r="K327" s="4">
        <v>1.8E-3</v>
      </c>
      <c r="L327" s="4">
        <v>2.8000000000000001E-2</v>
      </c>
      <c r="M327" s="4">
        <v>5.0000000000000001E-3</v>
      </c>
      <c r="N327" s="4">
        <v>-5.1000000000000004E-3</v>
      </c>
      <c r="O327" s="4">
        <v>1E-4</v>
      </c>
      <c r="P327" s="4">
        <v>128.54</v>
      </c>
      <c r="Q327" s="4">
        <v>0.21</v>
      </c>
      <c r="R327" s="113">
        <f t="shared" si="19"/>
        <v>0.26236477620644411</v>
      </c>
      <c r="S327" s="22">
        <f t="shared" si="20"/>
        <v>4.2863391164892843E-4</v>
      </c>
    </row>
    <row r="328" spans="1:19">
      <c r="A328" s="109" t="s">
        <v>1390</v>
      </c>
      <c r="B328" s="113" t="s">
        <v>1478</v>
      </c>
      <c r="C328" s="113"/>
      <c r="D328" s="113">
        <v>0</v>
      </c>
      <c r="E328" s="4">
        <v>14</v>
      </c>
      <c r="F328" s="4">
        <v>9</v>
      </c>
      <c r="G328" s="4">
        <v>19</v>
      </c>
      <c r="H328" s="113">
        <v>6.7015000000000002</v>
      </c>
      <c r="I328" s="4">
        <v>1E-4</v>
      </c>
      <c r="J328" s="113">
        <v>-39.135199999999998</v>
      </c>
      <c r="K328" s="4">
        <v>1.8E-3</v>
      </c>
      <c r="L328" s="4">
        <v>2.8000000000000001E-2</v>
      </c>
      <c r="M328" s="4">
        <v>5.0000000000000001E-3</v>
      </c>
      <c r="N328" s="4">
        <v>-5.1000000000000004E-3</v>
      </c>
      <c r="O328" s="4">
        <v>1E-4</v>
      </c>
      <c r="P328" s="4">
        <v>128.54</v>
      </c>
      <c r="Q328" s="4">
        <v>0.21</v>
      </c>
      <c r="R328" s="113">
        <f t="shared" ref="R328:R349" si="21">P328*E328/G328^3</f>
        <v>0.26236477620644411</v>
      </c>
      <c r="S328" s="22">
        <f t="shared" ref="S328:S349" si="22">Q328*E328/G328^3</f>
        <v>4.2863391164892843E-4</v>
      </c>
    </row>
    <row r="329" spans="1:19">
      <c r="A329" s="109" t="s">
        <v>1391</v>
      </c>
      <c r="B329" s="113" t="s">
        <v>1479</v>
      </c>
      <c r="C329" s="113"/>
      <c r="D329" s="113">
        <v>0</v>
      </c>
      <c r="E329" s="4">
        <v>14</v>
      </c>
      <c r="F329" s="4">
        <v>9</v>
      </c>
      <c r="G329" s="4">
        <v>19</v>
      </c>
      <c r="H329" s="113">
        <v>6.7015000000000002</v>
      </c>
      <c r="I329" s="4">
        <v>1E-4</v>
      </c>
      <c r="J329" s="113">
        <v>-39.135199999999998</v>
      </c>
      <c r="K329" s="4">
        <v>1.8E-3</v>
      </c>
      <c r="L329" s="4">
        <v>2.8000000000000001E-2</v>
      </c>
      <c r="M329" s="4">
        <v>5.0000000000000001E-3</v>
      </c>
      <c r="N329" s="4">
        <v>-5.1000000000000004E-3</v>
      </c>
      <c r="O329" s="4">
        <v>1E-4</v>
      </c>
      <c r="P329" s="4">
        <v>128.54</v>
      </c>
      <c r="Q329" s="4">
        <v>0.21</v>
      </c>
      <c r="R329" s="113">
        <f t="shared" si="21"/>
        <v>0.26236477620644411</v>
      </c>
      <c r="S329" s="22">
        <f t="shared" si="22"/>
        <v>4.2863391164892843E-4</v>
      </c>
    </row>
    <row r="330" spans="1:19">
      <c r="A330" s="109" t="s">
        <v>1392</v>
      </c>
      <c r="B330" s="113" t="s">
        <v>1480</v>
      </c>
      <c r="C330" s="113"/>
      <c r="D330" s="113">
        <v>0</v>
      </c>
      <c r="E330" s="4">
        <v>14</v>
      </c>
      <c r="F330" s="4">
        <v>9</v>
      </c>
      <c r="G330" s="4">
        <v>19</v>
      </c>
      <c r="H330" s="113">
        <v>6.7015000000000002</v>
      </c>
      <c r="I330" s="4">
        <v>1E-4</v>
      </c>
      <c r="J330" s="113">
        <v>-39.135199999999998</v>
      </c>
      <c r="K330" s="4">
        <v>1.8E-3</v>
      </c>
      <c r="L330" s="4">
        <v>2.8000000000000001E-2</v>
      </c>
      <c r="M330" s="4">
        <v>5.0000000000000001E-3</v>
      </c>
      <c r="N330" s="4">
        <v>-5.1000000000000004E-3</v>
      </c>
      <c r="O330" s="4">
        <v>1E-4</v>
      </c>
      <c r="P330" s="4">
        <v>128.54</v>
      </c>
      <c r="Q330" s="4">
        <v>0.21</v>
      </c>
      <c r="R330" s="113">
        <f t="shared" si="21"/>
        <v>0.26236477620644411</v>
      </c>
      <c r="S330" s="22">
        <f t="shared" si="22"/>
        <v>4.2863391164892843E-4</v>
      </c>
    </row>
    <row r="331" spans="1:19">
      <c r="A331" s="109" t="s">
        <v>1393</v>
      </c>
      <c r="B331" s="113" t="s">
        <v>1481</v>
      </c>
      <c r="C331" s="113"/>
      <c r="D331" s="113">
        <v>0</v>
      </c>
      <c r="E331" s="4">
        <v>14</v>
      </c>
      <c r="F331" s="4">
        <v>9</v>
      </c>
      <c r="G331" s="4">
        <v>19</v>
      </c>
      <c r="H331" s="113">
        <v>6.7015000000000002</v>
      </c>
      <c r="I331" s="4">
        <v>1E-4</v>
      </c>
      <c r="J331" s="113">
        <v>-39.135199999999998</v>
      </c>
      <c r="K331" s="4">
        <v>1.8E-3</v>
      </c>
      <c r="L331" s="4">
        <v>2.8000000000000001E-2</v>
      </c>
      <c r="M331" s="4">
        <v>5.0000000000000001E-3</v>
      </c>
      <c r="N331" s="4">
        <v>-5.1000000000000004E-3</v>
      </c>
      <c r="O331" s="4">
        <v>1E-4</v>
      </c>
      <c r="P331" s="4">
        <v>128.54</v>
      </c>
      <c r="Q331" s="4">
        <v>0.21</v>
      </c>
      <c r="R331" s="113">
        <f t="shared" si="21"/>
        <v>0.26236477620644411</v>
      </c>
      <c r="S331" s="22">
        <f t="shared" si="22"/>
        <v>4.2863391164892843E-4</v>
      </c>
    </row>
    <row r="332" spans="1:19">
      <c r="A332" s="109" t="s">
        <v>1394</v>
      </c>
      <c r="B332" s="113" t="s">
        <v>1482</v>
      </c>
      <c r="C332" s="113"/>
      <c r="D332" s="113">
        <v>0</v>
      </c>
      <c r="E332" s="4">
        <v>14</v>
      </c>
      <c r="F332" s="4">
        <v>9</v>
      </c>
      <c r="G332" s="4">
        <v>19</v>
      </c>
      <c r="H332" s="113">
        <v>6.7015000000000002</v>
      </c>
      <c r="I332" s="4">
        <v>1E-4</v>
      </c>
      <c r="J332" s="113">
        <v>-39.135199999999998</v>
      </c>
      <c r="K332" s="4">
        <v>1.8E-3</v>
      </c>
      <c r="L332" s="4">
        <v>2.8000000000000001E-2</v>
      </c>
      <c r="M332" s="4">
        <v>5.0000000000000001E-3</v>
      </c>
      <c r="N332" s="4">
        <v>-5.1000000000000004E-3</v>
      </c>
      <c r="O332" s="4">
        <v>1E-4</v>
      </c>
      <c r="P332" s="4">
        <v>128.54</v>
      </c>
      <c r="Q332" s="4">
        <v>0.21</v>
      </c>
      <c r="R332" s="113">
        <f t="shared" si="21"/>
        <v>0.26236477620644411</v>
      </c>
      <c r="S332" s="22">
        <f t="shared" si="22"/>
        <v>4.2863391164892843E-4</v>
      </c>
    </row>
    <row r="333" spans="1:19">
      <c r="A333" s="109" t="s">
        <v>1395</v>
      </c>
      <c r="B333" s="113" t="s">
        <v>1483</v>
      </c>
      <c r="C333" s="113"/>
      <c r="D333" s="113">
        <v>0</v>
      </c>
      <c r="E333" s="4">
        <v>14</v>
      </c>
      <c r="F333" s="4">
        <v>9</v>
      </c>
      <c r="G333" s="4">
        <v>19</v>
      </c>
      <c r="H333" s="113">
        <v>6.7015000000000002</v>
      </c>
      <c r="I333" s="4">
        <v>1E-4</v>
      </c>
      <c r="J333" s="113">
        <v>-39.135199999999998</v>
      </c>
      <c r="K333" s="4">
        <v>1.8E-3</v>
      </c>
      <c r="L333" s="4">
        <v>2.8000000000000001E-2</v>
      </c>
      <c r="M333" s="4">
        <v>5.0000000000000001E-3</v>
      </c>
      <c r="N333" s="4">
        <v>-5.1000000000000004E-3</v>
      </c>
      <c r="O333" s="4">
        <v>1E-4</v>
      </c>
      <c r="P333" s="4">
        <v>128.54</v>
      </c>
      <c r="Q333" s="4">
        <v>0.21</v>
      </c>
      <c r="R333" s="113">
        <f t="shared" si="21"/>
        <v>0.26236477620644411</v>
      </c>
      <c r="S333" s="22">
        <f t="shared" si="22"/>
        <v>4.2863391164892843E-4</v>
      </c>
    </row>
    <row r="334" spans="1:19">
      <c r="A334" s="109" t="s">
        <v>1396</v>
      </c>
      <c r="B334" s="113" t="s">
        <v>1484</v>
      </c>
      <c r="C334" s="113"/>
      <c r="D334" s="113">
        <v>0</v>
      </c>
      <c r="E334" s="4">
        <v>14</v>
      </c>
      <c r="F334" s="4">
        <v>10</v>
      </c>
      <c r="G334" s="4">
        <v>19</v>
      </c>
      <c r="H334" s="113">
        <v>6.7015000000000002</v>
      </c>
      <c r="I334" s="4">
        <v>1E-4</v>
      </c>
      <c r="J334" s="113">
        <v>-39.135199999999998</v>
      </c>
      <c r="K334" s="4">
        <v>1.8E-3</v>
      </c>
      <c r="L334" s="4">
        <v>2.8000000000000001E-2</v>
      </c>
      <c r="M334" s="4">
        <v>5.0000000000000001E-3</v>
      </c>
      <c r="N334" s="4">
        <v>-5.1000000000000004E-3</v>
      </c>
      <c r="O334" s="4">
        <v>1E-4</v>
      </c>
      <c r="P334" s="4">
        <v>128.54</v>
      </c>
      <c r="Q334" s="4">
        <v>0.21</v>
      </c>
      <c r="R334" s="113">
        <f t="shared" si="21"/>
        <v>0.26236477620644411</v>
      </c>
      <c r="S334" s="22">
        <f t="shared" si="22"/>
        <v>4.2863391164892843E-4</v>
      </c>
    </row>
    <row r="335" spans="1:19">
      <c r="A335" s="109" t="s">
        <v>1397</v>
      </c>
      <c r="B335" s="113" t="s">
        <v>1485</v>
      </c>
      <c r="C335" s="113"/>
      <c r="D335" s="113">
        <v>0</v>
      </c>
      <c r="E335" s="4">
        <v>14</v>
      </c>
      <c r="F335" s="4">
        <v>10</v>
      </c>
      <c r="G335" s="4">
        <v>19</v>
      </c>
      <c r="H335" s="113">
        <v>6.7015000000000002</v>
      </c>
      <c r="I335" s="4">
        <v>1E-4</v>
      </c>
      <c r="J335" s="113">
        <v>-39.135199999999998</v>
      </c>
      <c r="K335" s="4">
        <v>1.8E-3</v>
      </c>
      <c r="L335" s="4">
        <v>2.8000000000000001E-2</v>
      </c>
      <c r="M335" s="4">
        <v>5.0000000000000001E-3</v>
      </c>
      <c r="N335" s="4">
        <v>-5.1000000000000004E-3</v>
      </c>
      <c r="O335" s="4">
        <v>1E-4</v>
      </c>
      <c r="P335" s="4">
        <v>128.54</v>
      </c>
      <c r="Q335" s="4">
        <v>0.21</v>
      </c>
      <c r="R335" s="113">
        <f t="shared" si="21"/>
        <v>0.26236477620644411</v>
      </c>
      <c r="S335" s="22">
        <f t="shared" si="22"/>
        <v>4.2863391164892843E-4</v>
      </c>
    </row>
    <row r="336" spans="1:19">
      <c r="A336" s="109" t="s">
        <v>1398</v>
      </c>
      <c r="B336" s="113" t="s">
        <v>1486</v>
      </c>
      <c r="C336" s="113"/>
      <c r="D336" s="113">
        <v>0</v>
      </c>
      <c r="E336" s="4">
        <v>14</v>
      </c>
      <c r="F336" s="4">
        <v>10</v>
      </c>
      <c r="G336" s="4">
        <v>19</v>
      </c>
      <c r="H336" s="113">
        <v>6.7015000000000002</v>
      </c>
      <c r="I336" s="4">
        <v>1E-4</v>
      </c>
      <c r="J336" s="113">
        <v>-39.135199999999998</v>
      </c>
      <c r="K336" s="4">
        <v>1.8E-3</v>
      </c>
      <c r="L336" s="4">
        <v>2.8000000000000001E-2</v>
      </c>
      <c r="M336" s="4">
        <v>5.0000000000000001E-3</v>
      </c>
      <c r="N336" s="4">
        <v>-5.1000000000000004E-3</v>
      </c>
      <c r="O336" s="4">
        <v>1E-4</v>
      </c>
      <c r="P336" s="4">
        <v>128.54</v>
      </c>
      <c r="Q336" s="4">
        <v>0.21</v>
      </c>
      <c r="R336" s="113">
        <f t="shared" si="21"/>
        <v>0.26236477620644411</v>
      </c>
      <c r="S336" s="22">
        <f t="shared" si="22"/>
        <v>4.2863391164892843E-4</v>
      </c>
    </row>
    <row r="337" spans="1:19">
      <c r="A337" s="109" t="s">
        <v>1399</v>
      </c>
      <c r="B337" s="113" t="s">
        <v>1487</v>
      </c>
      <c r="C337" s="113"/>
      <c r="D337" s="113">
        <v>0</v>
      </c>
      <c r="E337" s="4">
        <v>14</v>
      </c>
      <c r="F337" s="4">
        <v>10</v>
      </c>
      <c r="G337" s="4">
        <v>19</v>
      </c>
      <c r="H337" s="113">
        <v>6.7015000000000002</v>
      </c>
      <c r="I337" s="4">
        <v>1E-4</v>
      </c>
      <c r="J337" s="113">
        <v>-39.135199999999998</v>
      </c>
      <c r="K337" s="4">
        <v>1.8E-3</v>
      </c>
      <c r="L337" s="4">
        <v>2.8000000000000001E-2</v>
      </c>
      <c r="M337" s="4">
        <v>5.0000000000000001E-3</v>
      </c>
      <c r="N337" s="4">
        <v>-5.1000000000000004E-3</v>
      </c>
      <c r="O337" s="4">
        <v>1E-4</v>
      </c>
      <c r="P337" s="4">
        <v>128.54</v>
      </c>
      <c r="Q337" s="4">
        <v>0.21</v>
      </c>
      <c r="R337" s="113">
        <f t="shared" si="21"/>
        <v>0.26236477620644411</v>
      </c>
      <c r="S337" s="22">
        <f t="shared" si="22"/>
        <v>4.2863391164892843E-4</v>
      </c>
    </row>
    <row r="338" spans="1:19">
      <c r="A338" s="109" t="s">
        <v>1400</v>
      </c>
      <c r="B338" s="113" t="s">
        <v>1488</v>
      </c>
      <c r="C338" s="113"/>
      <c r="D338" s="113">
        <v>0</v>
      </c>
      <c r="E338" s="4">
        <v>14</v>
      </c>
      <c r="F338" s="4">
        <v>10</v>
      </c>
      <c r="G338" s="4">
        <v>19</v>
      </c>
      <c r="H338" s="113">
        <v>6.7015000000000002</v>
      </c>
      <c r="I338" s="4">
        <v>1E-4</v>
      </c>
      <c r="J338" s="113">
        <v>-39.135199999999998</v>
      </c>
      <c r="K338" s="4">
        <v>1.8E-3</v>
      </c>
      <c r="L338" s="4">
        <v>2.8000000000000001E-2</v>
      </c>
      <c r="M338" s="4">
        <v>5.0000000000000001E-3</v>
      </c>
      <c r="N338" s="4">
        <v>-5.1000000000000004E-3</v>
      </c>
      <c r="O338" s="4">
        <v>1E-4</v>
      </c>
      <c r="P338" s="4">
        <v>128.54</v>
      </c>
      <c r="Q338" s="4">
        <v>0.21</v>
      </c>
      <c r="R338" s="113">
        <f t="shared" si="21"/>
        <v>0.26236477620644411</v>
      </c>
      <c r="S338" s="22">
        <f t="shared" si="22"/>
        <v>4.2863391164892843E-4</v>
      </c>
    </row>
    <row r="339" spans="1:19">
      <c r="A339" s="109" t="s">
        <v>1401</v>
      </c>
      <c r="B339" s="113" t="s">
        <v>1489</v>
      </c>
      <c r="C339" s="113"/>
      <c r="D339" s="113">
        <v>0</v>
      </c>
      <c r="E339" s="4">
        <v>14</v>
      </c>
      <c r="F339" s="4">
        <v>10</v>
      </c>
      <c r="G339" s="4">
        <v>19</v>
      </c>
      <c r="H339" s="113">
        <v>6.7015000000000002</v>
      </c>
      <c r="I339" s="4">
        <v>1E-4</v>
      </c>
      <c r="J339" s="113">
        <v>-39.135199999999998</v>
      </c>
      <c r="K339" s="4">
        <v>1.8E-3</v>
      </c>
      <c r="L339" s="4">
        <v>2.8000000000000001E-2</v>
      </c>
      <c r="M339" s="4">
        <v>5.0000000000000001E-3</v>
      </c>
      <c r="N339" s="4">
        <v>-5.1000000000000004E-3</v>
      </c>
      <c r="O339" s="4">
        <v>1E-4</v>
      </c>
      <c r="P339" s="4">
        <v>128.54</v>
      </c>
      <c r="Q339" s="4">
        <v>0.21</v>
      </c>
      <c r="R339" s="113">
        <f t="shared" si="21"/>
        <v>0.26236477620644411</v>
      </c>
      <c r="S339" s="22">
        <f t="shared" si="22"/>
        <v>4.2863391164892843E-4</v>
      </c>
    </row>
    <row r="340" spans="1:19">
      <c r="A340" s="109" t="s">
        <v>1402</v>
      </c>
      <c r="B340" s="113" t="s">
        <v>1490</v>
      </c>
      <c r="C340" s="113"/>
      <c r="D340" s="113">
        <v>0</v>
      </c>
      <c r="E340" s="4">
        <v>14</v>
      </c>
      <c r="F340" s="4">
        <v>11</v>
      </c>
      <c r="G340" s="4">
        <v>19</v>
      </c>
      <c r="H340" s="113">
        <v>6.7015000000000002</v>
      </c>
      <c r="I340" s="4">
        <v>1E-4</v>
      </c>
      <c r="J340" s="113">
        <v>-39.135199999999998</v>
      </c>
      <c r="K340" s="4">
        <v>1.8E-3</v>
      </c>
      <c r="L340" s="4">
        <v>2.8000000000000001E-2</v>
      </c>
      <c r="M340" s="4">
        <v>5.0000000000000001E-3</v>
      </c>
      <c r="N340" s="4">
        <v>-5.1000000000000004E-3</v>
      </c>
      <c r="O340" s="4">
        <v>1E-4</v>
      </c>
      <c r="P340" s="4">
        <v>128.54</v>
      </c>
      <c r="Q340" s="4">
        <v>0.21</v>
      </c>
      <c r="R340" s="113">
        <f t="shared" si="21"/>
        <v>0.26236477620644411</v>
      </c>
      <c r="S340" s="22">
        <f t="shared" si="22"/>
        <v>4.2863391164892843E-4</v>
      </c>
    </row>
    <row r="341" spans="1:19">
      <c r="A341" s="109" t="s">
        <v>1403</v>
      </c>
      <c r="B341" s="113" t="s">
        <v>1491</v>
      </c>
      <c r="C341" s="113"/>
      <c r="D341" s="113">
        <v>0</v>
      </c>
      <c r="E341" s="4">
        <v>14</v>
      </c>
      <c r="F341" s="4">
        <v>11</v>
      </c>
      <c r="G341" s="4">
        <v>19</v>
      </c>
      <c r="H341" s="113">
        <v>6.7015000000000002</v>
      </c>
      <c r="I341" s="4">
        <v>1E-4</v>
      </c>
      <c r="J341" s="113">
        <v>-39.135199999999998</v>
      </c>
      <c r="K341" s="4">
        <v>1.8E-3</v>
      </c>
      <c r="L341" s="4">
        <v>2.8000000000000001E-2</v>
      </c>
      <c r="M341" s="4">
        <v>5.0000000000000001E-3</v>
      </c>
      <c r="N341" s="4">
        <v>-5.1000000000000004E-3</v>
      </c>
      <c r="O341" s="4">
        <v>1E-4</v>
      </c>
      <c r="P341" s="4">
        <v>128.54</v>
      </c>
      <c r="Q341" s="4">
        <v>0.21</v>
      </c>
      <c r="R341" s="113">
        <f t="shared" si="21"/>
        <v>0.26236477620644411</v>
      </c>
      <c r="S341" s="22">
        <f t="shared" si="22"/>
        <v>4.2863391164892843E-4</v>
      </c>
    </row>
    <row r="342" spans="1:19">
      <c r="A342" s="109" t="s">
        <v>1404</v>
      </c>
      <c r="B342" s="113" t="s">
        <v>1492</v>
      </c>
      <c r="C342" s="113"/>
      <c r="D342" s="113">
        <v>0</v>
      </c>
      <c r="E342" s="4">
        <v>14</v>
      </c>
      <c r="F342" s="4">
        <v>11</v>
      </c>
      <c r="G342" s="4">
        <v>19</v>
      </c>
      <c r="H342" s="113">
        <v>6.7015000000000002</v>
      </c>
      <c r="I342" s="4">
        <v>1E-4</v>
      </c>
      <c r="J342" s="113">
        <v>-39.135199999999998</v>
      </c>
      <c r="K342" s="4">
        <v>1.8E-3</v>
      </c>
      <c r="L342" s="4">
        <v>2.8000000000000001E-2</v>
      </c>
      <c r="M342" s="4">
        <v>5.0000000000000001E-3</v>
      </c>
      <c r="N342" s="4">
        <v>-5.1000000000000004E-3</v>
      </c>
      <c r="O342" s="4">
        <v>1E-4</v>
      </c>
      <c r="P342" s="4">
        <v>128.54</v>
      </c>
      <c r="Q342" s="4">
        <v>0.21</v>
      </c>
      <c r="R342" s="113">
        <f t="shared" si="21"/>
        <v>0.26236477620644411</v>
      </c>
      <c r="S342" s="22">
        <f t="shared" si="22"/>
        <v>4.2863391164892843E-4</v>
      </c>
    </row>
    <row r="343" spans="1:19">
      <c r="A343" s="109" t="s">
        <v>1405</v>
      </c>
      <c r="B343" s="113" t="s">
        <v>1493</v>
      </c>
      <c r="C343" s="113"/>
      <c r="D343" s="113">
        <v>0</v>
      </c>
      <c r="E343" s="4">
        <v>14</v>
      </c>
      <c r="F343" s="4">
        <v>11</v>
      </c>
      <c r="G343" s="4">
        <v>19</v>
      </c>
      <c r="H343" s="113">
        <v>6.7015000000000002</v>
      </c>
      <c r="I343" s="4">
        <v>1E-4</v>
      </c>
      <c r="J343" s="113">
        <v>-39.135199999999998</v>
      </c>
      <c r="K343" s="4">
        <v>1.8E-3</v>
      </c>
      <c r="L343" s="4">
        <v>2.8000000000000001E-2</v>
      </c>
      <c r="M343" s="4">
        <v>5.0000000000000001E-3</v>
      </c>
      <c r="N343" s="4">
        <v>-5.1000000000000004E-3</v>
      </c>
      <c r="O343" s="4">
        <v>1E-4</v>
      </c>
      <c r="P343" s="4">
        <v>128.54</v>
      </c>
      <c r="Q343" s="4">
        <v>0.21</v>
      </c>
      <c r="R343" s="113">
        <f t="shared" si="21"/>
        <v>0.26236477620644411</v>
      </c>
      <c r="S343" s="22">
        <f t="shared" si="22"/>
        <v>4.2863391164892843E-4</v>
      </c>
    </row>
    <row r="344" spans="1:19">
      <c r="A344" s="109" t="s">
        <v>1406</v>
      </c>
      <c r="B344" s="113" t="s">
        <v>1494</v>
      </c>
      <c r="C344" s="113"/>
      <c r="D344" s="113">
        <v>0</v>
      </c>
      <c r="E344" s="4">
        <v>14</v>
      </c>
      <c r="F344" s="4">
        <v>12</v>
      </c>
      <c r="G344" s="4">
        <v>19</v>
      </c>
      <c r="H344" s="113">
        <v>6.7015000000000002</v>
      </c>
      <c r="I344" s="4">
        <v>1E-4</v>
      </c>
      <c r="J344" s="113">
        <v>-39.135199999999998</v>
      </c>
      <c r="K344" s="4">
        <v>1.8E-3</v>
      </c>
      <c r="L344" s="4">
        <v>2.8000000000000001E-2</v>
      </c>
      <c r="M344" s="4">
        <v>5.0000000000000001E-3</v>
      </c>
      <c r="N344" s="4">
        <v>-5.1000000000000004E-3</v>
      </c>
      <c r="O344" s="4">
        <v>1E-4</v>
      </c>
      <c r="P344" s="4">
        <v>128.54</v>
      </c>
      <c r="Q344" s="4">
        <v>0.21</v>
      </c>
      <c r="R344" s="113">
        <f t="shared" si="21"/>
        <v>0.26236477620644411</v>
      </c>
      <c r="S344" s="22">
        <f t="shared" si="22"/>
        <v>4.2863391164892843E-4</v>
      </c>
    </row>
    <row r="345" spans="1:19">
      <c r="A345" s="109" t="s">
        <v>1407</v>
      </c>
      <c r="B345" s="113" t="s">
        <v>1495</v>
      </c>
      <c r="C345" s="113"/>
      <c r="D345" s="113">
        <v>0</v>
      </c>
      <c r="E345" s="4">
        <v>14</v>
      </c>
      <c r="F345" s="4">
        <v>12</v>
      </c>
      <c r="G345" s="4">
        <v>19</v>
      </c>
      <c r="H345" s="113">
        <v>6.7015000000000002</v>
      </c>
      <c r="I345" s="4">
        <v>1E-4</v>
      </c>
      <c r="J345" s="113">
        <v>-39.135199999999998</v>
      </c>
      <c r="K345" s="4">
        <v>1.8E-3</v>
      </c>
      <c r="L345" s="4">
        <v>2.8000000000000001E-2</v>
      </c>
      <c r="M345" s="4">
        <v>5.0000000000000001E-3</v>
      </c>
      <c r="N345" s="4">
        <v>-5.1000000000000004E-3</v>
      </c>
      <c r="O345" s="4">
        <v>1E-4</v>
      </c>
      <c r="P345" s="4">
        <v>128.54</v>
      </c>
      <c r="Q345" s="4">
        <v>0.21</v>
      </c>
      <c r="R345" s="113">
        <f t="shared" si="21"/>
        <v>0.26236477620644411</v>
      </c>
      <c r="S345" s="22">
        <f t="shared" si="22"/>
        <v>4.2863391164892843E-4</v>
      </c>
    </row>
    <row r="346" spans="1:19">
      <c r="A346" s="109" t="s">
        <v>1408</v>
      </c>
      <c r="B346" s="113" t="s">
        <v>1496</v>
      </c>
      <c r="C346" s="113"/>
      <c r="D346" s="113">
        <v>0</v>
      </c>
      <c r="E346" s="4">
        <v>14</v>
      </c>
      <c r="F346" s="4">
        <v>12</v>
      </c>
      <c r="G346" s="4">
        <v>19</v>
      </c>
      <c r="H346" s="113">
        <v>6.7015000000000002</v>
      </c>
      <c r="I346" s="4">
        <v>1E-4</v>
      </c>
      <c r="J346" s="113">
        <v>-39.135199999999998</v>
      </c>
      <c r="K346" s="4">
        <v>1.8E-3</v>
      </c>
      <c r="L346" s="4">
        <v>2.8000000000000001E-2</v>
      </c>
      <c r="M346" s="4">
        <v>5.0000000000000001E-3</v>
      </c>
      <c r="N346" s="4">
        <v>-5.1000000000000004E-3</v>
      </c>
      <c r="O346" s="4">
        <v>1E-4</v>
      </c>
      <c r="P346" s="4">
        <v>128.54</v>
      </c>
      <c r="Q346" s="4">
        <v>0.21</v>
      </c>
      <c r="R346" s="113">
        <f t="shared" si="21"/>
        <v>0.26236477620644411</v>
      </c>
      <c r="S346" s="22">
        <f t="shared" si="22"/>
        <v>4.2863391164892843E-4</v>
      </c>
    </row>
    <row r="347" spans="1:19">
      <c r="A347" s="109" t="s">
        <v>1409</v>
      </c>
      <c r="B347" s="113" t="s">
        <v>1497</v>
      </c>
      <c r="C347" s="113"/>
      <c r="D347" s="113">
        <v>0</v>
      </c>
      <c r="E347" s="4">
        <v>14</v>
      </c>
      <c r="F347" s="4">
        <v>12</v>
      </c>
      <c r="G347" s="4">
        <v>19</v>
      </c>
      <c r="H347" s="113">
        <v>6.7015000000000002</v>
      </c>
      <c r="I347" s="4">
        <v>1E-4</v>
      </c>
      <c r="J347" s="113">
        <v>-39.135199999999998</v>
      </c>
      <c r="K347" s="4">
        <v>1.8E-3</v>
      </c>
      <c r="L347" s="4">
        <v>2.8000000000000001E-2</v>
      </c>
      <c r="M347" s="4">
        <v>5.0000000000000001E-3</v>
      </c>
      <c r="N347" s="4">
        <v>-5.1000000000000004E-3</v>
      </c>
      <c r="O347" s="4">
        <v>1E-4</v>
      </c>
      <c r="P347" s="4">
        <v>128.54</v>
      </c>
      <c r="Q347" s="4">
        <v>0.21</v>
      </c>
      <c r="R347" s="113">
        <f t="shared" si="21"/>
        <v>0.26236477620644411</v>
      </c>
      <c r="S347" s="22">
        <f t="shared" si="22"/>
        <v>4.2863391164892843E-4</v>
      </c>
    </row>
    <row r="348" spans="1:19">
      <c r="A348" s="109" t="s">
        <v>1410</v>
      </c>
      <c r="B348" s="113" t="s">
        <v>1498</v>
      </c>
      <c r="C348" s="113"/>
      <c r="D348" s="113">
        <v>0</v>
      </c>
      <c r="E348" s="4">
        <v>14</v>
      </c>
      <c r="F348" s="4">
        <v>13</v>
      </c>
      <c r="G348" s="4">
        <v>19</v>
      </c>
      <c r="H348" s="113">
        <v>6.7015000000000002</v>
      </c>
      <c r="I348" s="4">
        <v>1E-4</v>
      </c>
      <c r="J348" s="113">
        <v>-39.135199999999998</v>
      </c>
      <c r="K348" s="4">
        <v>1.8E-3</v>
      </c>
      <c r="L348" s="4">
        <v>2.8000000000000001E-2</v>
      </c>
      <c r="M348" s="4">
        <v>5.0000000000000001E-3</v>
      </c>
      <c r="N348" s="4">
        <v>-5.1000000000000004E-3</v>
      </c>
      <c r="O348" s="4">
        <v>1E-4</v>
      </c>
      <c r="P348" s="4">
        <v>128.54</v>
      </c>
      <c r="Q348" s="4">
        <v>0.21</v>
      </c>
      <c r="R348" s="113">
        <f t="shared" si="21"/>
        <v>0.26236477620644411</v>
      </c>
      <c r="S348" s="22">
        <f t="shared" si="22"/>
        <v>4.2863391164892843E-4</v>
      </c>
    </row>
    <row r="349" spans="1:19" ht="17" thickBot="1">
      <c r="A349" s="141" t="s">
        <v>1411</v>
      </c>
      <c r="B349" s="140" t="s">
        <v>1499</v>
      </c>
      <c r="C349" s="140"/>
      <c r="D349" s="140">
        <v>0</v>
      </c>
      <c r="E349" s="56">
        <v>14</v>
      </c>
      <c r="F349" s="56">
        <v>13</v>
      </c>
      <c r="G349" s="56">
        <v>19</v>
      </c>
      <c r="H349" s="140">
        <v>6.7015000000000002</v>
      </c>
      <c r="I349" s="56">
        <v>1E-4</v>
      </c>
      <c r="J349" s="140">
        <v>-39.135199999999998</v>
      </c>
      <c r="K349" s="56">
        <v>1.8E-3</v>
      </c>
      <c r="L349" s="56">
        <v>2.8000000000000001E-2</v>
      </c>
      <c r="M349" s="56">
        <v>5.0000000000000001E-3</v>
      </c>
      <c r="N349" s="56">
        <v>-5.1000000000000004E-3</v>
      </c>
      <c r="O349" s="56">
        <v>1E-4</v>
      </c>
      <c r="P349" s="56">
        <v>128.54</v>
      </c>
      <c r="Q349" s="56">
        <v>0.21</v>
      </c>
      <c r="R349" s="140">
        <f t="shared" si="21"/>
        <v>0.26236477620644411</v>
      </c>
      <c r="S349" s="57">
        <f t="shared" si="22"/>
        <v>4.2863391164892843E-4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40"/>
  <sheetViews>
    <sheetView zoomScale="67" workbookViewId="0">
      <selection activeCell="B2" sqref="B2"/>
    </sheetView>
  </sheetViews>
  <sheetFormatPr baseColWidth="10" defaultColWidth="8.83203125" defaultRowHeight="16"/>
  <cols>
    <col min="1" max="1" width="29.83203125" style="4" customWidth="1"/>
    <col min="2" max="2" width="32.83203125" style="4" customWidth="1"/>
    <col min="3" max="3" width="18.6640625" style="4" customWidth="1"/>
    <col min="4" max="16384" width="8.83203125" style="4"/>
  </cols>
  <sheetData>
    <row r="1" spans="1:19" ht="17" thickBot="1">
      <c r="A1" s="114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6" t="s">
        <v>1712</v>
      </c>
      <c r="I1" s="179" t="s">
        <v>1714</v>
      </c>
      <c r="J1" s="116" t="s">
        <v>7</v>
      </c>
      <c r="K1" s="116" t="s">
        <v>1713</v>
      </c>
      <c r="L1" s="116" t="s">
        <v>8</v>
      </c>
      <c r="M1" s="116" t="s">
        <v>1713</v>
      </c>
      <c r="N1" s="116" t="s">
        <v>9</v>
      </c>
      <c r="O1" s="116" t="s">
        <v>1713</v>
      </c>
      <c r="P1" s="116" t="s">
        <v>10</v>
      </c>
      <c r="Q1" s="116" t="s">
        <v>1713</v>
      </c>
      <c r="R1" s="117" t="s">
        <v>11</v>
      </c>
      <c r="S1" s="180" t="s">
        <v>1715</v>
      </c>
    </row>
    <row r="2" spans="1:19">
      <c r="A2" s="109" t="s">
        <v>1500</v>
      </c>
      <c r="B2" s="113" t="s">
        <v>1501</v>
      </c>
      <c r="C2" s="113" t="s">
        <v>13</v>
      </c>
      <c r="D2" s="113">
        <v>0</v>
      </c>
      <c r="E2" s="4">
        <v>24</v>
      </c>
      <c r="F2" s="4">
        <v>0</v>
      </c>
      <c r="G2" s="4">
        <v>24</v>
      </c>
      <c r="H2" s="113">
        <v>7.3643999999999998</v>
      </c>
      <c r="I2" s="4">
        <v>1E-4</v>
      </c>
      <c r="J2" s="113">
        <v>-47.771500000000003</v>
      </c>
      <c r="K2" s="4">
        <v>2.9999999999999997E-4</v>
      </c>
      <c r="L2" s="4">
        <v>0.03</v>
      </c>
      <c r="M2" s="4">
        <v>0.02</v>
      </c>
      <c r="N2" s="4">
        <v>-4.1000000000000003E-3</v>
      </c>
      <c r="O2" s="4">
        <v>0</v>
      </c>
      <c r="P2" s="4">
        <v>127.73</v>
      </c>
      <c r="Q2" s="4">
        <v>0.1</v>
      </c>
      <c r="R2" s="113">
        <f>P2*E2/G2^3</f>
        <v>0.22175347222222222</v>
      </c>
      <c r="S2" s="22">
        <f t="shared" ref="S2:S64" si="0">Q2*E2/G2^3</f>
        <v>1.7361111111111114E-4</v>
      </c>
    </row>
    <row r="3" spans="1:19">
      <c r="A3" s="44" t="s">
        <v>1500</v>
      </c>
      <c r="B3" s="45" t="s">
        <v>1501</v>
      </c>
      <c r="C3" s="45" t="s">
        <v>13</v>
      </c>
      <c r="D3" s="45">
        <v>0.25</v>
      </c>
      <c r="E3" s="4">
        <v>24</v>
      </c>
      <c r="F3" s="4">
        <v>0</v>
      </c>
      <c r="G3" s="4">
        <v>24</v>
      </c>
      <c r="H3" s="45">
        <v>5.5232000000000001</v>
      </c>
      <c r="I3" s="4">
        <v>6.9999999999999999E-4</v>
      </c>
      <c r="J3" s="45">
        <v>-35.829599999999999</v>
      </c>
      <c r="K3" s="4">
        <v>2E-3</v>
      </c>
      <c r="L3" s="4">
        <v>0.03</v>
      </c>
      <c r="M3" s="4">
        <v>1.2E-2</v>
      </c>
      <c r="N3" s="4">
        <v>-5.4999999999999997E-3</v>
      </c>
      <c r="O3" s="4">
        <v>2.0000000000000001E-4</v>
      </c>
      <c r="P3" s="4">
        <v>127.89</v>
      </c>
      <c r="Q3" s="4">
        <v>0.21</v>
      </c>
      <c r="R3" s="45">
        <f t="shared" ref="R3" si="1">P3*E3/G3^3</f>
        <v>0.22203125000000001</v>
      </c>
      <c r="S3" s="22">
        <f t="shared" si="0"/>
        <v>3.6458333333333335E-4</v>
      </c>
    </row>
    <row r="4" spans="1:19">
      <c r="A4" s="23" t="s">
        <v>1500</v>
      </c>
      <c r="B4" s="4" t="s">
        <v>1501</v>
      </c>
      <c r="C4" s="4" t="s">
        <v>13</v>
      </c>
      <c r="D4" s="4">
        <v>0.5</v>
      </c>
      <c r="E4" s="4">
        <v>24</v>
      </c>
      <c r="F4" s="4">
        <v>0</v>
      </c>
      <c r="G4" s="4">
        <v>24</v>
      </c>
      <c r="H4" s="4">
        <v>3.6833</v>
      </c>
      <c r="I4" s="4">
        <v>5.9999999999999995E-4</v>
      </c>
      <c r="J4" s="4">
        <v>-23.883099999999999</v>
      </c>
      <c r="K4" s="4">
        <v>2.3999999999999998E-3</v>
      </c>
      <c r="L4" s="4">
        <v>8.2000000000000003E-2</v>
      </c>
      <c r="M4" s="4">
        <v>3.1E-2</v>
      </c>
      <c r="N4" s="4">
        <v>-8.5000000000000006E-3</v>
      </c>
      <c r="O4" s="4">
        <v>4.0000000000000002E-4</v>
      </c>
      <c r="P4" s="4">
        <v>127.94</v>
      </c>
      <c r="Q4" s="4">
        <v>0.31</v>
      </c>
      <c r="R4" s="4">
        <f>P4*E4/G4^3</f>
        <v>0.22211805555555555</v>
      </c>
      <c r="S4" s="22">
        <f t="shared" si="0"/>
        <v>5.3819444444444444E-4</v>
      </c>
    </row>
    <row r="5" spans="1:19" ht="17" thickBot="1">
      <c r="A5" s="25" t="s">
        <v>1500</v>
      </c>
      <c r="B5" s="9" t="s">
        <v>1501</v>
      </c>
      <c r="C5" s="9" t="s">
        <v>13</v>
      </c>
      <c r="D5" s="9">
        <v>0.75</v>
      </c>
      <c r="E5" s="10">
        <v>24</v>
      </c>
      <c r="F5" s="10">
        <v>0</v>
      </c>
      <c r="G5" s="10">
        <v>24</v>
      </c>
      <c r="H5" s="9">
        <v>1.8414999999999999</v>
      </c>
      <c r="I5" s="10">
        <v>8.0000000000000004E-4</v>
      </c>
      <c r="J5" s="9">
        <v>-11.9396</v>
      </c>
      <c r="K5" s="10">
        <v>3.5000000000000001E-3</v>
      </c>
      <c r="L5" s="10">
        <v>0.11700000000000001</v>
      </c>
      <c r="M5" s="10">
        <v>5.3999999999999999E-2</v>
      </c>
      <c r="N5" s="10">
        <v>-1.6199999999999999E-2</v>
      </c>
      <c r="O5" s="10">
        <v>3.2000000000000002E-3</v>
      </c>
      <c r="P5" s="10">
        <v>128.27000000000001</v>
      </c>
      <c r="Q5" s="10">
        <v>1.58</v>
      </c>
      <c r="R5" s="9">
        <f>P5*E5/G5^3</f>
        <v>0.22269097222222226</v>
      </c>
      <c r="S5" s="26">
        <f t="shared" si="0"/>
        <v>2.7430555555555559E-3</v>
      </c>
    </row>
    <row r="6" spans="1:19" ht="17" thickTop="1">
      <c r="A6" s="102" t="s">
        <v>1502</v>
      </c>
      <c r="B6" s="119" t="s">
        <v>1503</v>
      </c>
      <c r="C6" s="176" t="s">
        <v>17</v>
      </c>
      <c r="D6" s="119">
        <v>0.25</v>
      </c>
      <c r="E6" s="7">
        <v>24</v>
      </c>
      <c r="F6" s="7">
        <v>1</v>
      </c>
      <c r="G6" s="7">
        <v>24</v>
      </c>
      <c r="H6" s="119">
        <v>5.5319000000000003</v>
      </c>
      <c r="I6" s="7">
        <v>2.0000000000000001E-4</v>
      </c>
      <c r="J6" s="119">
        <v>-35.861600000000003</v>
      </c>
      <c r="K6" s="7">
        <v>1.1000000000000001E-3</v>
      </c>
      <c r="L6" s="7">
        <v>2.8000000000000001E-2</v>
      </c>
      <c r="M6" s="7">
        <v>6.0000000000000001E-3</v>
      </c>
      <c r="N6" s="7">
        <v>-5.4999999999999997E-3</v>
      </c>
      <c r="O6" s="7">
        <v>0</v>
      </c>
      <c r="P6" s="7">
        <v>127.77</v>
      </c>
      <c r="Q6" s="7">
        <v>0.1</v>
      </c>
      <c r="R6" s="119">
        <f t="shared" ref="R6" si="2">P6*E6/G6^3</f>
        <v>0.22182291666666668</v>
      </c>
      <c r="S6" s="18">
        <f t="shared" si="0"/>
        <v>1.7361111111111114E-4</v>
      </c>
    </row>
    <row r="7" spans="1:19">
      <c r="A7" s="23" t="s">
        <v>1502</v>
      </c>
      <c r="B7" s="4" t="s">
        <v>1503</v>
      </c>
      <c r="C7" s="170" t="s">
        <v>17</v>
      </c>
      <c r="D7" s="4">
        <v>0.5</v>
      </c>
      <c r="E7" s="4">
        <v>24</v>
      </c>
      <c r="F7" s="4">
        <v>1</v>
      </c>
      <c r="G7" s="4">
        <v>24</v>
      </c>
      <c r="H7" s="4">
        <v>3.7004000000000001</v>
      </c>
      <c r="I7" s="4">
        <v>2.0000000000000001E-4</v>
      </c>
      <c r="J7" s="4">
        <v>-23.951799999999999</v>
      </c>
      <c r="K7" s="4">
        <v>1.1999999999999999E-3</v>
      </c>
      <c r="L7" s="4">
        <v>3.4000000000000002E-2</v>
      </c>
      <c r="M7" s="4">
        <v>8.0000000000000002E-3</v>
      </c>
      <c r="N7" s="4">
        <v>-8.0999999999999996E-3</v>
      </c>
      <c r="O7" s="4">
        <v>4.0000000000000002E-4</v>
      </c>
      <c r="P7" s="4">
        <v>127.85</v>
      </c>
      <c r="Q7" s="4">
        <v>0.47</v>
      </c>
      <c r="R7" s="4">
        <f>P7*E7/G7^3</f>
        <v>0.22196180555555553</v>
      </c>
      <c r="S7" s="22">
        <f t="shared" si="0"/>
        <v>8.1597222222222216E-4</v>
      </c>
    </row>
    <row r="8" spans="1:19">
      <c r="A8" s="28" t="s">
        <v>1502</v>
      </c>
      <c r="B8" s="29" t="s">
        <v>1503</v>
      </c>
      <c r="C8" s="171" t="s">
        <v>17</v>
      </c>
      <c r="D8" s="29">
        <v>0.75</v>
      </c>
      <c r="E8" s="4">
        <v>24</v>
      </c>
      <c r="F8" s="4">
        <v>1</v>
      </c>
      <c r="G8" s="4">
        <v>24</v>
      </c>
      <c r="H8" s="29">
        <v>1.8713</v>
      </c>
      <c r="I8" s="4">
        <v>2.9999999999999997E-4</v>
      </c>
      <c r="J8" s="29">
        <v>-12.0589</v>
      </c>
      <c r="K8" s="4">
        <v>8.0000000000000004E-4</v>
      </c>
      <c r="L8" s="4">
        <v>3.5000000000000003E-2</v>
      </c>
      <c r="M8" s="4">
        <v>7.0000000000000001E-3</v>
      </c>
      <c r="N8" s="4">
        <v>-1.5699999999999999E-2</v>
      </c>
      <c r="O8" s="4">
        <v>2.0000000000000001E-4</v>
      </c>
      <c r="P8" s="4">
        <v>127.72</v>
      </c>
      <c r="Q8" s="4">
        <v>0.1</v>
      </c>
      <c r="R8" s="29">
        <f>P8*E8/G8^3</f>
        <v>0.22173611111111111</v>
      </c>
      <c r="S8" s="22">
        <f t="shared" si="0"/>
        <v>1.7361111111111114E-4</v>
      </c>
    </row>
    <row r="9" spans="1:19">
      <c r="A9" s="44" t="s">
        <v>1504</v>
      </c>
      <c r="B9" s="45" t="s">
        <v>1505</v>
      </c>
      <c r="C9" s="45" t="s">
        <v>19</v>
      </c>
      <c r="D9" s="45">
        <v>0.25</v>
      </c>
      <c r="E9" s="4">
        <v>24</v>
      </c>
      <c r="F9" s="4">
        <v>1</v>
      </c>
      <c r="G9" s="4">
        <v>24</v>
      </c>
      <c r="H9" s="45">
        <v>5.5289999999999999</v>
      </c>
      <c r="I9" s="4">
        <v>2.9999999999999997E-4</v>
      </c>
      <c r="J9" s="45">
        <v>-35.859200000000001</v>
      </c>
      <c r="K9" s="4">
        <v>4.0000000000000002E-4</v>
      </c>
      <c r="L9" s="4">
        <v>0.03</v>
      </c>
      <c r="M9" s="4">
        <v>3.0000000000000001E-3</v>
      </c>
      <c r="N9" s="4">
        <v>-5.4000000000000003E-3</v>
      </c>
      <c r="O9" s="4">
        <v>1E-4</v>
      </c>
      <c r="P9" s="4">
        <v>127.87</v>
      </c>
      <c r="Q9" s="4">
        <v>0.12</v>
      </c>
      <c r="R9" s="45">
        <f t="shared" ref="R9" si="3">P9*E9/G9^3</f>
        <v>0.22199652777777779</v>
      </c>
      <c r="S9" s="22">
        <f t="shared" si="0"/>
        <v>2.0833333333333332E-4</v>
      </c>
    </row>
    <row r="10" spans="1:19">
      <c r="A10" s="23" t="s">
        <v>1504</v>
      </c>
      <c r="B10" s="4" t="s">
        <v>1505</v>
      </c>
      <c r="C10" s="4" t="s">
        <v>19</v>
      </c>
      <c r="D10" s="4">
        <v>0.5</v>
      </c>
      <c r="E10" s="4">
        <v>24</v>
      </c>
      <c r="F10" s="4">
        <v>1</v>
      </c>
      <c r="G10" s="4">
        <v>24</v>
      </c>
      <c r="H10" s="4">
        <v>3.6945000000000001</v>
      </c>
      <c r="I10" s="4">
        <v>2.9999999999999997E-4</v>
      </c>
      <c r="J10" s="4">
        <v>-23.946999999999999</v>
      </c>
      <c r="K10" s="4">
        <v>8.0000000000000004E-4</v>
      </c>
      <c r="L10" s="4">
        <v>2.8000000000000001E-2</v>
      </c>
      <c r="M10" s="4">
        <v>2E-3</v>
      </c>
      <c r="N10" s="4">
        <v>-8.3000000000000001E-3</v>
      </c>
      <c r="O10" s="4">
        <v>2.0000000000000001E-4</v>
      </c>
      <c r="P10" s="4">
        <v>127.79</v>
      </c>
      <c r="Q10" s="4">
        <v>0.16</v>
      </c>
      <c r="R10" s="4">
        <f>P10*E10/G10^3</f>
        <v>0.2218576388888889</v>
      </c>
      <c r="S10" s="22">
        <f t="shared" si="0"/>
        <v>2.7777777777777778E-4</v>
      </c>
    </row>
    <row r="11" spans="1:19" ht="17" thickBot="1">
      <c r="A11" s="28" t="s">
        <v>1504</v>
      </c>
      <c r="B11" s="29" t="s">
        <v>1505</v>
      </c>
      <c r="C11" s="29" t="s">
        <v>19</v>
      </c>
      <c r="D11" s="29">
        <v>0.75</v>
      </c>
      <c r="E11" s="4">
        <v>24</v>
      </c>
      <c r="F11" s="4">
        <v>1</v>
      </c>
      <c r="G11" s="4">
        <v>24</v>
      </c>
      <c r="H11" s="29">
        <v>1.8614999999999999</v>
      </c>
      <c r="I11" s="4">
        <v>8.0000000000000004E-4</v>
      </c>
      <c r="J11" s="29">
        <v>-12.0472</v>
      </c>
      <c r="K11" s="4">
        <v>2.3E-3</v>
      </c>
      <c r="L11" s="4">
        <v>3.4000000000000002E-2</v>
      </c>
      <c r="M11" s="4">
        <v>0.13400000000000001</v>
      </c>
      <c r="N11" s="4">
        <v>-1.6199999999999999E-2</v>
      </c>
      <c r="O11" s="4">
        <v>7.9000000000000008E-3</v>
      </c>
      <c r="P11" s="4">
        <v>127.77</v>
      </c>
      <c r="Q11" s="4">
        <v>0.75</v>
      </c>
      <c r="R11" s="29">
        <f>P11*E11/G11^3</f>
        <v>0.22182291666666668</v>
      </c>
      <c r="S11" s="22">
        <f t="shared" si="0"/>
        <v>1.3020833333333333E-3</v>
      </c>
    </row>
    <row r="12" spans="1:19" ht="17" thickTop="1">
      <c r="A12" s="27" t="s">
        <v>1506</v>
      </c>
      <c r="B12" s="5" t="s">
        <v>1507</v>
      </c>
      <c r="C12" s="177" t="s">
        <v>17</v>
      </c>
      <c r="D12" s="5">
        <v>0.25</v>
      </c>
      <c r="E12" s="7">
        <v>24</v>
      </c>
      <c r="F12" s="7">
        <v>2</v>
      </c>
      <c r="G12" s="7">
        <v>24</v>
      </c>
      <c r="H12" s="119">
        <v>5.5561999999999996</v>
      </c>
      <c r="I12" s="7">
        <v>1E-3</v>
      </c>
      <c r="J12" s="119">
        <v>-35.958599999999997</v>
      </c>
      <c r="K12" s="7">
        <v>2.3999999999999998E-3</v>
      </c>
      <c r="L12" s="7">
        <v>0.03</v>
      </c>
      <c r="M12" s="7">
        <v>4.0000000000000001E-3</v>
      </c>
      <c r="N12" s="7">
        <v>-5.5999999999999999E-3</v>
      </c>
      <c r="O12" s="7">
        <v>1E-4</v>
      </c>
      <c r="P12" s="7">
        <v>127.5</v>
      </c>
      <c r="Q12" s="7">
        <v>0.15</v>
      </c>
      <c r="R12" s="119">
        <f t="shared" ref="R12:R75" si="4">P12*E12/G12^3</f>
        <v>0.22135416666666666</v>
      </c>
      <c r="S12" s="18">
        <f t="shared" si="0"/>
        <v>2.6041666666666666E-4</v>
      </c>
    </row>
    <row r="13" spans="1:19">
      <c r="A13" s="23" t="s">
        <v>1506</v>
      </c>
      <c r="B13" s="4" t="s">
        <v>1507</v>
      </c>
      <c r="C13" s="170" t="s">
        <v>17</v>
      </c>
      <c r="D13" s="4">
        <v>0.5</v>
      </c>
      <c r="E13" s="4">
        <v>24</v>
      </c>
      <c r="F13" s="4">
        <v>2</v>
      </c>
      <c r="G13" s="4">
        <v>24</v>
      </c>
      <c r="H13" s="4">
        <v>3.7538999999999998</v>
      </c>
      <c r="I13" s="4">
        <v>4.0000000000000002E-4</v>
      </c>
      <c r="J13" s="4">
        <v>-24.166</v>
      </c>
      <c r="K13" s="4">
        <v>1.5E-3</v>
      </c>
      <c r="L13" s="4">
        <v>0.04</v>
      </c>
      <c r="M13" s="4">
        <v>7.0000000000000001E-3</v>
      </c>
      <c r="N13" s="4">
        <v>-7.7999999999999996E-3</v>
      </c>
      <c r="O13" s="4">
        <v>1E-4</v>
      </c>
      <c r="P13" s="4">
        <v>127.6</v>
      </c>
      <c r="Q13" s="4">
        <v>0.28999999999999998</v>
      </c>
      <c r="R13" s="4">
        <f t="shared" si="4"/>
        <v>0.22152777777777774</v>
      </c>
      <c r="S13" s="22">
        <f t="shared" si="0"/>
        <v>5.034722222222221E-4</v>
      </c>
    </row>
    <row r="14" spans="1:19">
      <c r="A14" s="28" t="s">
        <v>1506</v>
      </c>
      <c r="B14" s="29" t="s">
        <v>1507</v>
      </c>
      <c r="C14" s="171" t="s">
        <v>17</v>
      </c>
      <c r="D14" s="29">
        <v>0.75</v>
      </c>
      <c r="E14" s="4">
        <v>24</v>
      </c>
      <c r="F14" s="4">
        <v>2</v>
      </c>
      <c r="G14" s="4">
        <v>24</v>
      </c>
      <c r="H14" s="29">
        <v>2.0790000000000002</v>
      </c>
      <c r="I14" s="4">
        <v>4.0000000000000002E-4</v>
      </c>
      <c r="J14" s="29">
        <v>-12.4902</v>
      </c>
      <c r="K14" s="4">
        <v>5.9999999999999995E-4</v>
      </c>
      <c r="L14" s="4">
        <v>0.14699999999999999</v>
      </c>
      <c r="M14" s="4">
        <v>4.8000000000000001E-2</v>
      </c>
      <c r="N14" s="4">
        <v>-1.47E-2</v>
      </c>
      <c r="O14" s="4">
        <v>1.9E-3</v>
      </c>
      <c r="P14" s="4">
        <v>132.63999999999999</v>
      </c>
      <c r="Q14" s="4">
        <v>1.22</v>
      </c>
      <c r="R14" s="29">
        <f>P14*E14/G14^3</f>
        <v>0.23027777777777775</v>
      </c>
      <c r="S14" s="22">
        <f t="shared" si="0"/>
        <v>2.1180555555555558E-3</v>
      </c>
    </row>
    <row r="15" spans="1:19">
      <c r="A15" s="19" t="s">
        <v>1508</v>
      </c>
      <c r="B15" s="20" t="s">
        <v>1509</v>
      </c>
      <c r="C15" s="20" t="s">
        <v>19</v>
      </c>
      <c r="D15" s="20">
        <v>0.25</v>
      </c>
      <c r="E15" s="4">
        <v>24</v>
      </c>
      <c r="F15" s="4">
        <v>2</v>
      </c>
      <c r="G15" s="4">
        <v>24</v>
      </c>
      <c r="H15" s="45">
        <v>5.5468000000000002</v>
      </c>
      <c r="I15" s="4">
        <v>5.0000000000000001E-4</v>
      </c>
      <c r="J15" s="45">
        <v>-35.949800000000003</v>
      </c>
      <c r="K15" s="4">
        <v>2.8E-3</v>
      </c>
      <c r="L15" s="4">
        <v>3.2000000000000001E-2</v>
      </c>
      <c r="M15" s="4">
        <v>7.0000000000000001E-3</v>
      </c>
      <c r="N15" s="4">
        <v>-5.4000000000000003E-3</v>
      </c>
      <c r="O15" s="4">
        <v>1E-4</v>
      </c>
      <c r="P15" s="4">
        <v>127.81</v>
      </c>
      <c r="Q15" s="4">
        <v>0.19</v>
      </c>
      <c r="R15" s="45">
        <f t="shared" si="4"/>
        <v>0.2218923611111111</v>
      </c>
      <c r="S15" s="22">
        <f>Q15*E15/G15^3</f>
        <v>3.2986111111111112E-4</v>
      </c>
    </row>
    <row r="16" spans="1:19">
      <c r="A16" s="23" t="s">
        <v>1508</v>
      </c>
      <c r="B16" s="4" t="s">
        <v>1509</v>
      </c>
      <c r="C16" s="4" t="s">
        <v>19</v>
      </c>
      <c r="D16" s="4">
        <v>0.5</v>
      </c>
      <c r="E16" s="4">
        <v>24</v>
      </c>
      <c r="F16" s="4">
        <v>2</v>
      </c>
      <c r="G16" s="4">
        <v>24</v>
      </c>
      <c r="H16" s="4">
        <v>3.7323</v>
      </c>
      <c r="I16" s="4">
        <v>5.0000000000000001E-4</v>
      </c>
      <c r="J16" s="4">
        <v>-24.146699999999999</v>
      </c>
      <c r="K16" s="4">
        <v>1.8E-3</v>
      </c>
      <c r="L16" s="4">
        <v>2.9000000000000001E-2</v>
      </c>
      <c r="M16" s="4">
        <v>8.9999999999999993E-3</v>
      </c>
      <c r="N16" s="4">
        <v>-8.0999999999999996E-3</v>
      </c>
      <c r="O16" s="4">
        <v>2.0000000000000001E-4</v>
      </c>
      <c r="P16" s="4">
        <v>127.66</v>
      </c>
      <c r="Q16" s="4">
        <v>0.19</v>
      </c>
      <c r="R16" s="4">
        <f t="shared" si="4"/>
        <v>0.22163194444444445</v>
      </c>
      <c r="S16" s="22">
        <f t="shared" si="0"/>
        <v>3.2986111111111112E-4</v>
      </c>
    </row>
    <row r="17" spans="1:19">
      <c r="A17" s="28" t="s">
        <v>1508</v>
      </c>
      <c r="B17" s="29" t="s">
        <v>1509</v>
      </c>
      <c r="C17" s="29" t="s">
        <v>19</v>
      </c>
      <c r="D17" s="29">
        <v>0.75</v>
      </c>
      <c r="E17" s="4">
        <v>24</v>
      </c>
      <c r="F17" s="4">
        <v>2</v>
      </c>
      <c r="G17" s="4">
        <v>24</v>
      </c>
      <c r="H17" s="41">
        <v>1.9355</v>
      </c>
      <c r="I17" s="4">
        <v>1E-4</v>
      </c>
      <c r="J17" s="29">
        <v>-12.4664</v>
      </c>
      <c r="K17" s="4">
        <v>5.0000000000000001E-4</v>
      </c>
      <c r="L17" s="4">
        <v>5.5E-2</v>
      </c>
      <c r="M17" s="4">
        <v>8.9999999999999993E-3</v>
      </c>
      <c r="N17" s="4">
        <v>-1.67E-2</v>
      </c>
      <c r="O17" s="4">
        <v>5.9999999999999995E-4</v>
      </c>
      <c r="P17" s="4">
        <v>125.93</v>
      </c>
      <c r="Q17" s="4">
        <v>0.21</v>
      </c>
      <c r="R17" s="29">
        <f>P17*E17/G17^3</f>
        <v>0.21862847222222223</v>
      </c>
      <c r="S17" s="22">
        <f t="shared" si="0"/>
        <v>3.6458333333333335E-4</v>
      </c>
    </row>
    <row r="18" spans="1:19">
      <c r="A18" s="19" t="s">
        <v>1510</v>
      </c>
      <c r="B18" s="20" t="s">
        <v>1511</v>
      </c>
      <c r="C18" s="20" t="s">
        <v>30</v>
      </c>
      <c r="D18" s="20">
        <v>0.25</v>
      </c>
      <c r="E18" s="4">
        <v>24</v>
      </c>
      <c r="F18" s="4">
        <v>2</v>
      </c>
      <c r="G18" s="4">
        <v>24</v>
      </c>
      <c r="H18" s="45">
        <v>5.5570000000000004</v>
      </c>
      <c r="I18" s="4">
        <v>1E-3</v>
      </c>
      <c r="J18" s="45">
        <v>-35.962299999999999</v>
      </c>
      <c r="K18" s="4">
        <v>2.5000000000000001E-3</v>
      </c>
      <c r="L18" s="4">
        <v>3.1E-2</v>
      </c>
      <c r="M18" s="4">
        <v>3.7999999999999999E-2</v>
      </c>
      <c r="N18" s="4">
        <v>-5.4000000000000003E-3</v>
      </c>
      <c r="O18" s="4">
        <v>2.9999999999999997E-4</v>
      </c>
      <c r="P18" s="4">
        <v>127.76</v>
      </c>
      <c r="Q18" s="4">
        <v>0.31</v>
      </c>
      <c r="R18" s="45">
        <f t="shared" si="4"/>
        <v>0.22180555555555556</v>
      </c>
      <c r="S18" s="22">
        <f>Q18*E18/G18^3</f>
        <v>5.3819444444444444E-4</v>
      </c>
    </row>
    <row r="19" spans="1:19">
      <c r="A19" s="23" t="s">
        <v>1510</v>
      </c>
      <c r="B19" s="4" t="s">
        <v>1511</v>
      </c>
      <c r="C19" s="4" t="s">
        <v>30</v>
      </c>
      <c r="D19" s="4">
        <v>0.5</v>
      </c>
      <c r="E19" s="4">
        <v>24</v>
      </c>
      <c r="F19" s="4">
        <v>2</v>
      </c>
      <c r="G19" s="4">
        <v>24</v>
      </c>
      <c r="H19" s="4">
        <v>3.7551000000000001</v>
      </c>
      <c r="I19" s="4">
        <v>2.9999999999999997E-4</v>
      </c>
      <c r="J19" s="4">
        <v>-24.154499999999999</v>
      </c>
      <c r="K19" s="4">
        <v>1.2999999999999999E-3</v>
      </c>
      <c r="L19" s="4">
        <v>0.14000000000000001</v>
      </c>
      <c r="M19" s="4">
        <v>2.5000000000000001E-2</v>
      </c>
      <c r="N19" s="4">
        <v>-8.3000000000000001E-3</v>
      </c>
      <c r="O19" s="4">
        <v>5.9999999999999995E-4</v>
      </c>
      <c r="P19" s="4">
        <v>127.44</v>
      </c>
      <c r="Q19" s="4">
        <v>0.2</v>
      </c>
      <c r="R19" s="4">
        <f t="shared" si="4"/>
        <v>0.22125</v>
      </c>
      <c r="S19" s="22">
        <f t="shared" si="0"/>
        <v>3.4722222222222229E-4</v>
      </c>
    </row>
    <row r="20" spans="1:19">
      <c r="A20" s="28" t="s">
        <v>1510</v>
      </c>
      <c r="B20" s="29" t="s">
        <v>1511</v>
      </c>
      <c r="C20" s="29" t="s">
        <v>30</v>
      </c>
      <c r="D20" s="29">
        <v>0.75</v>
      </c>
      <c r="E20" s="4">
        <v>24</v>
      </c>
      <c r="F20" s="4">
        <v>2</v>
      </c>
      <c r="G20" s="4">
        <v>24</v>
      </c>
      <c r="H20" s="29">
        <v>1.9587000000000001</v>
      </c>
      <c r="I20" s="4">
        <v>1E-4</v>
      </c>
      <c r="J20" s="29">
        <v>-12.4168</v>
      </c>
      <c r="K20" s="4">
        <v>2.9999999999999997E-4</v>
      </c>
      <c r="L20" s="4">
        <v>2.8000000000000001E-2</v>
      </c>
      <c r="M20" s="4">
        <v>2.7E-2</v>
      </c>
      <c r="N20" s="4">
        <v>-1.4800000000000001E-2</v>
      </c>
      <c r="O20" s="4">
        <v>1.1999999999999999E-3</v>
      </c>
      <c r="P20" s="4">
        <v>126.91</v>
      </c>
      <c r="Q20" s="4">
        <v>0.31</v>
      </c>
      <c r="R20" s="29">
        <f>P20*E20/G20^3</f>
        <v>0.22032986111111111</v>
      </c>
      <c r="S20" s="22">
        <f t="shared" si="0"/>
        <v>5.3819444444444444E-4</v>
      </c>
    </row>
    <row r="21" spans="1:19">
      <c r="A21" s="19" t="s">
        <v>1512</v>
      </c>
      <c r="B21" s="20" t="s">
        <v>1513</v>
      </c>
      <c r="C21" s="20"/>
      <c r="D21" s="20">
        <v>0.25</v>
      </c>
      <c r="E21" s="4">
        <v>24</v>
      </c>
      <c r="F21" s="4">
        <v>2</v>
      </c>
      <c r="G21" s="4">
        <v>24</v>
      </c>
      <c r="H21" s="45">
        <v>5.5469999999999997</v>
      </c>
      <c r="I21" s="4">
        <v>8.9999999999999998E-4</v>
      </c>
      <c r="J21" s="45">
        <v>-35.962000000000003</v>
      </c>
      <c r="K21" s="4">
        <v>3.0000000000000001E-3</v>
      </c>
      <c r="L21" s="4">
        <v>4.3999999999999997E-2</v>
      </c>
      <c r="M21" s="4">
        <v>3.3000000000000002E-2</v>
      </c>
      <c r="N21" s="4">
        <v>-5.4999999999999997E-3</v>
      </c>
      <c r="O21" s="4">
        <v>4.0000000000000002E-4</v>
      </c>
      <c r="P21" s="4">
        <v>127.85</v>
      </c>
      <c r="Q21" s="4">
        <v>0.25</v>
      </c>
      <c r="R21" s="45">
        <f t="shared" si="4"/>
        <v>0.22196180555555553</v>
      </c>
      <c r="S21" s="22">
        <f>Q21*E21/G21^3</f>
        <v>4.3402777777777775E-4</v>
      </c>
    </row>
    <row r="22" spans="1:19">
      <c r="A22" s="23" t="s">
        <v>1512</v>
      </c>
      <c r="B22" s="4" t="s">
        <v>1513</v>
      </c>
      <c r="D22" s="4">
        <v>0.5</v>
      </c>
      <c r="E22" s="4">
        <v>24</v>
      </c>
      <c r="F22" s="4">
        <v>2</v>
      </c>
      <c r="G22" s="4">
        <v>24</v>
      </c>
      <c r="H22" s="4">
        <v>3.7326999999999999</v>
      </c>
      <c r="I22" s="4">
        <v>2.0000000000000001E-4</v>
      </c>
      <c r="J22" s="4">
        <v>-24.158000000000001</v>
      </c>
      <c r="K22" s="4">
        <v>6.9999999999999999E-4</v>
      </c>
      <c r="L22" s="4">
        <v>3.3000000000000002E-2</v>
      </c>
      <c r="M22" s="4">
        <v>2E-3</v>
      </c>
      <c r="N22" s="4">
        <v>-8.0999999999999996E-3</v>
      </c>
      <c r="O22" s="4">
        <v>2.0000000000000001E-4</v>
      </c>
      <c r="P22" s="4">
        <v>127.79</v>
      </c>
      <c r="Q22" s="4">
        <v>0.13</v>
      </c>
      <c r="R22" s="4">
        <f t="shared" si="4"/>
        <v>0.2218576388888889</v>
      </c>
      <c r="S22" s="22">
        <f t="shared" si="0"/>
        <v>2.2569444444444446E-4</v>
      </c>
    </row>
    <row r="23" spans="1:19" ht="17" thickBot="1">
      <c r="A23" s="25" t="s">
        <v>1512</v>
      </c>
      <c r="B23" s="9" t="s">
        <v>1513</v>
      </c>
      <c r="C23" s="9"/>
      <c r="D23" s="9">
        <v>0.75</v>
      </c>
      <c r="E23" s="10">
        <v>24</v>
      </c>
      <c r="F23" s="10">
        <v>2</v>
      </c>
      <c r="G23" s="10">
        <v>24</v>
      </c>
      <c r="H23" s="9">
        <v>1.9233</v>
      </c>
      <c r="I23" s="10">
        <v>8.0000000000000004E-4</v>
      </c>
      <c r="J23" s="9">
        <v>-12.4024</v>
      </c>
      <c r="K23" s="10">
        <v>2.3E-3</v>
      </c>
      <c r="L23" s="10">
        <v>4.2000000000000003E-2</v>
      </c>
      <c r="M23" s="10">
        <v>1.6E-2</v>
      </c>
      <c r="N23" s="10">
        <v>-1.5900000000000001E-2</v>
      </c>
      <c r="O23" s="10">
        <v>5.0000000000000001E-4</v>
      </c>
      <c r="P23" s="10">
        <v>127.23</v>
      </c>
      <c r="Q23" s="10">
        <v>0.52</v>
      </c>
      <c r="R23" s="9">
        <f>P23*E23/G23^3</f>
        <v>0.22088541666666667</v>
      </c>
      <c r="S23" s="26">
        <f t="shared" si="0"/>
        <v>9.0277777777777784E-4</v>
      </c>
    </row>
    <row r="24" spans="1:19" ht="17" thickTop="1">
      <c r="A24" s="44" t="s">
        <v>1514</v>
      </c>
      <c r="B24" s="45" t="s">
        <v>1515</v>
      </c>
      <c r="C24" s="168" t="s">
        <v>17</v>
      </c>
      <c r="D24" s="45">
        <v>0.25</v>
      </c>
      <c r="E24" s="4">
        <v>24</v>
      </c>
      <c r="F24" s="4">
        <v>3</v>
      </c>
      <c r="G24" s="4">
        <v>24</v>
      </c>
      <c r="H24" s="45">
        <v>5.5960999999999999</v>
      </c>
      <c r="I24" s="4">
        <v>5.9999999999999995E-4</v>
      </c>
      <c r="J24" s="45">
        <v>-36.222299999999997</v>
      </c>
      <c r="K24" s="4">
        <v>2E-3</v>
      </c>
      <c r="L24" s="4">
        <v>2.5999999999999999E-2</v>
      </c>
      <c r="M24" s="4">
        <v>1.2E-2</v>
      </c>
      <c r="N24" s="4">
        <v>-5.4999999999999997E-3</v>
      </c>
      <c r="O24" s="4">
        <v>1E-4</v>
      </c>
      <c r="P24" s="4">
        <v>127.5</v>
      </c>
      <c r="Q24" s="4">
        <v>0.2</v>
      </c>
      <c r="R24" s="45">
        <f t="shared" ref="R24" si="5">P24*E24/G24^3</f>
        <v>0.22135416666666666</v>
      </c>
      <c r="S24" s="22">
        <f>Q24*E24/G24^3</f>
        <v>3.4722222222222229E-4</v>
      </c>
    </row>
    <row r="25" spans="1:19">
      <c r="A25" s="23" t="s">
        <v>1514</v>
      </c>
      <c r="B25" s="4" t="s">
        <v>1515</v>
      </c>
      <c r="C25" s="170" t="s">
        <v>17</v>
      </c>
      <c r="D25" s="4">
        <v>0.5</v>
      </c>
      <c r="E25" s="4">
        <v>24</v>
      </c>
      <c r="F25" s="4">
        <v>3</v>
      </c>
      <c r="G25" s="4">
        <v>24</v>
      </c>
      <c r="H25" s="4">
        <v>3.8441000000000001</v>
      </c>
      <c r="I25" s="4">
        <v>1E-4</v>
      </c>
      <c r="J25" s="4">
        <v>-24.783200000000001</v>
      </c>
      <c r="K25" s="4">
        <v>8.0000000000000004E-4</v>
      </c>
      <c r="L25" s="4">
        <v>0.03</v>
      </c>
      <c r="M25" s="4">
        <v>5.0000000000000001E-3</v>
      </c>
      <c r="N25" s="4">
        <v>-8.0999999999999996E-3</v>
      </c>
      <c r="O25" s="4">
        <v>1E-4</v>
      </c>
      <c r="P25" s="4">
        <v>126.59</v>
      </c>
      <c r="Q25" s="4">
        <v>0.05</v>
      </c>
      <c r="R25" s="4">
        <f t="shared" si="4"/>
        <v>0.21977430555555555</v>
      </c>
      <c r="S25" s="22">
        <f t="shared" si="0"/>
        <v>8.6805555555555572E-5</v>
      </c>
    </row>
    <row r="26" spans="1:19">
      <c r="A26" s="44" t="s">
        <v>1516</v>
      </c>
      <c r="B26" s="45" t="s">
        <v>1517</v>
      </c>
      <c r="C26" s="45" t="s">
        <v>19</v>
      </c>
      <c r="D26" s="45">
        <v>0.25</v>
      </c>
      <c r="E26" s="4">
        <v>24</v>
      </c>
      <c r="F26" s="4">
        <v>3</v>
      </c>
      <c r="G26" s="4">
        <v>24</v>
      </c>
      <c r="H26" s="45">
        <v>5.5759999999999996</v>
      </c>
      <c r="I26" s="4">
        <v>5.0000000000000001E-4</v>
      </c>
      <c r="J26" s="45">
        <v>-36.206699999999998</v>
      </c>
      <c r="K26" s="4">
        <v>1.6000000000000001E-3</v>
      </c>
      <c r="L26" s="4">
        <v>3.7999999999999999E-2</v>
      </c>
      <c r="M26" s="4">
        <v>6.0000000000000001E-3</v>
      </c>
      <c r="N26" s="4">
        <v>-5.4999999999999997E-3</v>
      </c>
      <c r="O26" s="4">
        <v>1E-4</v>
      </c>
      <c r="P26" s="4">
        <v>127.57</v>
      </c>
      <c r="Q26" s="4">
        <v>0.09</v>
      </c>
      <c r="R26" s="45">
        <f t="shared" si="4"/>
        <v>0.22147569444444443</v>
      </c>
      <c r="S26" s="22">
        <f>Q26*E26/G26^3</f>
        <v>1.5625E-4</v>
      </c>
    </row>
    <row r="27" spans="1:19">
      <c r="A27" s="23" t="s">
        <v>1516</v>
      </c>
      <c r="B27" s="4" t="s">
        <v>1517</v>
      </c>
      <c r="C27" s="4" t="s">
        <v>19</v>
      </c>
      <c r="D27" s="4">
        <v>0.5</v>
      </c>
      <c r="E27" s="4">
        <v>24</v>
      </c>
      <c r="F27" s="4">
        <v>3</v>
      </c>
      <c r="G27" s="4">
        <v>24</v>
      </c>
      <c r="H27" s="4">
        <v>3.7972999999999999</v>
      </c>
      <c r="I27" s="4">
        <v>4.0000000000000002E-4</v>
      </c>
      <c r="J27" s="4">
        <v>-24.7164</v>
      </c>
      <c r="K27" s="4">
        <v>1.2999999999999999E-3</v>
      </c>
      <c r="L27" s="4">
        <v>3.4000000000000002E-2</v>
      </c>
      <c r="M27" s="4">
        <v>0.01</v>
      </c>
      <c r="N27" s="4">
        <v>-8.2000000000000007E-3</v>
      </c>
      <c r="O27" s="4">
        <v>2.9999999999999997E-4</v>
      </c>
      <c r="P27" s="4">
        <v>127.08</v>
      </c>
      <c r="Q27" s="4">
        <v>0.17</v>
      </c>
      <c r="R27" s="4">
        <f t="shared" si="4"/>
        <v>0.22062500000000002</v>
      </c>
      <c r="S27" s="22">
        <f t="shared" si="0"/>
        <v>2.9513888888888889E-4</v>
      </c>
    </row>
    <row r="28" spans="1:19">
      <c r="A28" s="44" t="s">
        <v>1518</v>
      </c>
      <c r="B28" s="45" t="s">
        <v>1519</v>
      </c>
      <c r="C28" s="45" t="s">
        <v>30</v>
      </c>
      <c r="D28" s="45">
        <v>0.25</v>
      </c>
      <c r="E28" s="4">
        <v>24</v>
      </c>
      <c r="F28" s="4">
        <v>3</v>
      </c>
      <c r="G28" s="4">
        <v>24</v>
      </c>
      <c r="H28" s="45">
        <v>5.5972</v>
      </c>
      <c r="I28" s="4">
        <v>8.0000000000000004E-4</v>
      </c>
      <c r="J28" s="45">
        <v>-36.1252</v>
      </c>
      <c r="K28" s="4">
        <v>3.5000000000000001E-3</v>
      </c>
      <c r="L28" s="4">
        <v>3.5000000000000003E-2</v>
      </c>
      <c r="M28" s="4">
        <v>5.0000000000000001E-3</v>
      </c>
      <c r="N28" s="4">
        <v>-5.3E-3</v>
      </c>
      <c r="O28" s="4">
        <v>1E-4</v>
      </c>
      <c r="P28" s="4">
        <v>127.77</v>
      </c>
      <c r="Q28" s="4">
        <v>0.18</v>
      </c>
      <c r="R28" s="45">
        <f t="shared" si="4"/>
        <v>0.22182291666666668</v>
      </c>
      <c r="S28" s="22">
        <f>Q28*E28/G28^3</f>
        <v>3.1250000000000001E-4</v>
      </c>
    </row>
    <row r="29" spans="1:19">
      <c r="A29" s="23" t="s">
        <v>1518</v>
      </c>
      <c r="B29" s="4" t="s">
        <v>1519</v>
      </c>
      <c r="C29" s="4" t="s">
        <v>30</v>
      </c>
      <c r="D29" s="4">
        <v>0.5</v>
      </c>
      <c r="E29" s="4">
        <v>24</v>
      </c>
      <c r="F29" s="4">
        <v>3</v>
      </c>
      <c r="G29" s="4">
        <v>24</v>
      </c>
      <c r="H29" s="4">
        <v>3.8376999999999999</v>
      </c>
      <c r="I29" s="4">
        <v>5.0000000000000001E-4</v>
      </c>
      <c r="J29" s="4">
        <v>-24.523800000000001</v>
      </c>
      <c r="K29" s="4">
        <v>1.4E-3</v>
      </c>
      <c r="L29" s="4">
        <v>5.8000000000000003E-2</v>
      </c>
      <c r="M29" s="4">
        <v>8.9999999999999993E-3</v>
      </c>
      <c r="N29" s="4">
        <v>-7.4999999999999997E-3</v>
      </c>
      <c r="O29" s="4">
        <v>1E-4</v>
      </c>
      <c r="P29" s="4">
        <v>127.44</v>
      </c>
      <c r="Q29" s="4">
        <v>0.28000000000000003</v>
      </c>
      <c r="R29" s="4">
        <f t="shared" si="4"/>
        <v>0.22125</v>
      </c>
      <c r="S29" s="22">
        <f t="shared" si="0"/>
        <v>4.8611111111111115E-4</v>
      </c>
    </row>
    <row r="30" spans="1:19">
      <c r="A30" s="44" t="s">
        <v>1520</v>
      </c>
      <c r="B30" s="45" t="s">
        <v>1521</v>
      </c>
      <c r="C30" s="45"/>
      <c r="D30" s="45">
        <v>0.25</v>
      </c>
      <c r="E30" s="4">
        <v>24</v>
      </c>
      <c r="F30" s="4">
        <v>3</v>
      </c>
      <c r="G30" s="4">
        <v>24</v>
      </c>
      <c r="H30" s="45">
        <v>5.5814000000000004</v>
      </c>
      <c r="I30" s="4">
        <v>8.9999999999999998E-4</v>
      </c>
      <c r="J30" s="45">
        <v>-36.134599999999999</v>
      </c>
      <c r="K30" s="4">
        <v>3.0999999999999999E-3</v>
      </c>
      <c r="L30" s="4">
        <v>0.03</v>
      </c>
      <c r="M30" s="4">
        <v>7.0000000000000001E-3</v>
      </c>
      <c r="N30" s="4">
        <v>-5.1999999999999998E-3</v>
      </c>
      <c r="O30" s="4">
        <v>2.0000000000000001E-4</v>
      </c>
      <c r="P30" s="4">
        <v>128.02000000000001</v>
      </c>
      <c r="Q30" s="4">
        <v>0.24</v>
      </c>
      <c r="R30" s="45">
        <f t="shared" si="4"/>
        <v>0.22225694444444447</v>
      </c>
      <c r="S30" s="22">
        <f>Q30*E30/G30^3</f>
        <v>4.1666666666666664E-4</v>
      </c>
    </row>
    <row r="31" spans="1:19">
      <c r="A31" s="23" t="s">
        <v>1520</v>
      </c>
      <c r="B31" s="4" t="s">
        <v>1521</v>
      </c>
      <c r="D31" s="4">
        <v>0.5</v>
      </c>
      <c r="E31" s="4">
        <v>24</v>
      </c>
      <c r="F31" s="4">
        <v>3</v>
      </c>
      <c r="G31" s="4">
        <v>24</v>
      </c>
      <c r="H31" s="4">
        <v>3.8020999999999998</v>
      </c>
      <c r="I31" s="4">
        <v>6.9999999999999999E-4</v>
      </c>
      <c r="J31" s="4">
        <v>-24.5181</v>
      </c>
      <c r="K31" s="4">
        <v>1.8E-3</v>
      </c>
      <c r="L31" s="4">
        <v>2.5999999999999999E-2</v>
      </c>
      <c r="M31" s="4">
        <v>0.01</v>
      </c>
      <c r="N31" s="4">
        <v>-8.0999999999999996E-3</v>
      </c>
      <c r="O31" s="4">
        <v>2.0000000000000001E-4</v>
      </c>
      <c r="P31" s="4">
        <v>127.57</v>
      </c>
      <c r="Q31" s="4">
        <v>0.17</v>
      </c>
      <c r="R31" s="4">
        <f t="shared" si="4"/>
        <v>0.22147569444444443</v>
      </c>
      <c r="S31" s="22">
        <f t="shared" si="0"/>
        <v>2.9513888888888889E-4</v>
      </c>
    </row>
    <row r="32" spans="1:19" ht="17" thickBot="1">
      <c r="A32" s="25" t="s">
        <v>1520</v>
      </c>
      <c r="B32" s="9" t="s">
        <v>1521</v>
      </c>
      <c r="C32" s="9"/>
      <c r="D32" s="9">
        <v>0.75</v>
      </c>
      <c r="E32" s="10">
        <v>24</v>
      </c>
      <c r="F32" s="10">
        <v>3</v>
      </c>
      <c r="G32" s="10">
        <v>24</v>
      </c>
      <c r="H32" s="9">
        <v>2.0329999999999999</v>
      </c>
      <c r="I32" s="10">
        <v>1E-4</v>
      </c>
      <c r="J32" s="9">
        <v>-12.9945</v>
      </c>
      <c r="K32" s="10">
        <v>4.0000000000000002E-4</v>
      </c>
      <c r="L32" s="10">
        <v>3.9E-2</v>
      </c>
      <c r="M32" s="10">
        <v>8.0000000000000002E-3</v>
      </c>
      <c r="N32" s="10">
        <v>-1.5299999999999999E-2</v>
      </c>
      <c r="O32" s="10">
        <v>1E-4</v>
      </c>
      <c r="P32" s="10">
        <v>126.07</v>
      </c>
      <c r="Q32" s="10">
        <v>0.1</v>
      </c>
      <c r="R32" s="9">
        <f>P32*E32/G32^3</f>
        <v>0.21887152777777777</v>
      </c>
      <c r="S32" s="26">
        <f t="shared" si="0"/>
        <v>1.7361111111111114E-4</v>
      </c>
    </row>
    <row r="33" spans="1:19" ht="17" thickTop="1">
      <c r="A33" s="102" t="s">
        <v>1522</v>
      </c>
      <c r="B33" s="119" t="s">
        <v>1523</v>
      </c>
      <c r="C33" s="176" t="s">
        <v>17</v>
      </c>
      <c r="D33" s="119">
        <v>0.25</v>
      </c>
      <c r="E33" s="7">
        <v>24</v>
      </c>
      <c r="F33" s="7">
        <v>4</v>
      </c>
      <c r="G33" s="7">
        <v>24</v>
      </c>
      <c r="H33" s="119">
        <v>5.6482999999999999</v>
      </c>
      <c r="I33" s="7">
        <v>2.0000000000000001E-4</v>
      </c>
      <c r="J33" s="119">
        <v>-36.631</v>
      </c>
      <c r="K33" s="7">
        <v>2.9999999999999997E-4</v>
      </c>
      <c r="L33" s="7">
        <v>2.5000000000000001E-2</v>
      </c>
      <c r="M33" s="7">
        <v>6.0000000000000001E-3</v>
      </c>
      <c r="N33" s="7">
        <v>-5.1999999999999998E-3</v>
      </c>
      <c r="O33" s="7">
        <v>1E-4</v>
      </c>
      <c r="P33" s="7">
        <v>127.54</v>
      </c>
      <c r="Q33" s="7">
        <v>0.2</v>
      </c>
      <c r="R33" s="119">
        <f t="shared" si="4"/>
        <v>0.22142361111111111</v>
      </c>
      <c r="S33" s="18">
        <f>Q33*E33/G33^3</f>
        <v>3.4722222222222229E-4</v>
      </c>
    </row>
    <row r="34" spans="1:19">
      <c r="A34" s="23" t="s">
        <v>1522</v>
      </c>
      <c r="B34" s="4" t="s">
        <v>1523</v>
      </c>
      <c r="C34" s="170" t="s">
        <v>17</v>
      </c>
      <c r="D34" s="4">
        <v>0.5</v>
      </c>
      <c r="E34" s="4">
        <v>24</v>
      </c>
      <c r="F34" s="4">
        <v>4</v>
      </c>
      <c r="G34" s="4">
        <v>24</v>
      </c>
      <c r="H34" s="4">
        <v>3.976</v>
      </c>
      <c r="I34" s="4">
        <v>8.9999999999999998E-4</v>
      </c>
      <c r="J34" s="4">
        <v>-25.7837</v>
      </c>
      <c r="K34" s="4">
        <v>2.5999999999999999E-3</v>
      </c>
      <c r="L34" s="4">
        <v>4.9000000000000002E-2</v>
      </c>
      <c r="M34" s="4">
        <v>1.4999999999999999E-2</v>
      </c>
      <c r="N34" s="4">
        <v>-8.3999999999999995E-3</v>
      </c>
      <c r="O34" s="4">
        <v>4.0000000000000002E-4</v>
      </c>
      <c r="P34" s="4">
        <v>124.37</v>
      </c>
      <c r="Q34" s="4">
        <v>0.6</v>
      </c>
      <c r="R34" s="4">
        <f t="shared" si="4"/>
        <v>0.21592013888888889</v>
      </c>
      <c r="S34" s="22">
        <f t="shared" si="0"/>
        <v>1.0416666666666667E-3</v>
      </c>
    </row>
    <row r="35" spans="1:19">
      <c r="A35" s="44" t="s">
        <v>1524</v>
      </c>
      <c r="B35" s="45" t="s">
        <v>1525</v>
      </c>
      <c r="C35" s="45" t="s">
        <v>19</v>
      </c>
      <c r="D35" s="45">
        <v>0.25</v>
      </c>
      <c r="E35" s="4">
        <v>24</v>
      </c>
      <c r="F35" s="4">
        <v>4</v>
      </c>
      <c r="G35" s="4">
        <v>24</v>
      </c>
      <c r="H35" s="45">
        <v>5.6178999999999997</v>
      </c>
      <c r="I35" s="4">
        <v>2.9999999999999997E-4</v>
      </c>
      <c r="J35" s="45">
        <v>-36.594200000000001</v>
      </c>
      <c r="K35" s="4">
        <v>1.6000000000000001E-3</v>
      </c>
      <c r="L35" s="4">
        <v>3.4000000000000002E-2</v>
      </c>
      <c r="M35" s="4">
        <v>6.0000000000000001E-3</v>
      </c>
      <c r="N35" s="4">
        <v>-5.4000000000000003E-3</v>
      </c>
      <c r="O35" s="4">
        <v>1E-4</v>
      </c>
      <c r="P35" s="4">
        <v>127.63</v>
      </c>
      <c r="Q35" s="4">
        <v>0.17</v>
      </c>
      <c r="R35" s="45">
        <f t="shared" si="4"/>
        <v>0.22157986111111111</v>
      </c>
      <c r="S35" s="22">
        <f>Q35*E35/G35^3</f>
        <v>2.9513888888888889E-4</v>
      </c>
    </row>
    <row r="36" spans="1:19">
      <c r="A36" s="23" t="s">
        <v>1524</v>
      </c>
      <c r="B36" s="4" t="s">
        <v>1525</v>
      </c>
      <c r="C36" s="4" t="s">
        <v>19</v>
      </c>
      <c r="D36" s="4">
        <v>0.5</v>
      </c>
      <c r="E36" s="4">
        <v>24</v>
      </c>
      <c r="F36" s="4">
        <v>4</v>
      </c>
      <c r="G36" s="4">
        <v>24</v>
      </c>
      <c r="H36" s="4">
        <v>3.8891</v>
      </c>
      <c r="I36" s="4">
        <v>5.9999999999999995E-4</v>
      </c>
      <c r="J36" s="4">
        <v>-25.623100000000001</v>
      </c>
      <c r="K36" s="4">
        <v>2.2000000000000001E-3</v>
      </c>
      <c r="L36" s="4">
        <v>5.2999999999999999E-2</v>
      </c>
      <c r="M36" s="4">
        <v>1.7000000000000001E-2</v>
      </c>
      <c r="N36" s="4">
        <v>-8.3999999999999995E-3</v>
      </c>
      <c r="O36" s="4">
        <v>2.0000000000000001E-4</v>
      </c>
      <c r="P36" s="4">
        <v>125.89</v>
      </c>
      <c r="Q36" s="4">
        <v>0.26</v>
      </c>
      <c r="R36" s="4">
        <f t="shared" si="4"/>
        <v>0.21855902777777778</v>
      </c>
      <c r="S36" s="22">
        <f t="shared" si="0"/>
        <v>4.5138888888888892E-4</v>
      </c>
    </row>
    <row r="37" spans="1:19">
      <c r="A37" s="44" t="s">
        <v>1526</v>
      </c>
      <c r="B37" s="45" t="s">
        <v>1527</v>
      </c>
      <c r="C37" s="45" t="s">
        <v>30</v>
      </c>
      <c r="D37" s="45">
        <v>0.25</v>
      </c>
      <c r="E37" s="4">
        <v>24</v>
      </c>
      <c r="F37" s="4">
        <v>4</v>
      </c>
      <c r="G37" s="4">
        <v>24</v>
      </c>
      <c r="H37" s="45">
        <v>5.6531000000000002</v>
      </c>
      <c r="I37" s="4">
        <v>2.9999999999999997E-4</v>
      </c>
      <c r="J37" s="45">
        <v>-36.356400000000001</v>
      </c>
      <c r="K37" s="4">
        <v>8.9999999999999998E-4</v>
      </c>
      <c r="L37" s="4">
        <v>2.5000000000000001E-2</v>
      </c>
      <c r="M37" s="4">
        <v>8.0000000000000002E-3</v>
      </c>
      <c r="N37" s="4">
        <v>-5.3E-3</v>
      </c>
      <c r="O37" s="4">
        <v>1E-4</v>
      </c>
      <c r="P37" s="4">
        <v>127.61</v>
      </c>
      <c r="Q37" s="4">
        <v>0.09</v>
      </c>
      <c r="R37" s="45">
        <f t="shared" si="4"/>
        <v>0.22154513888888888</v>
      </c>
      <c r="S37" s="22">
        <f>Q37*E37/G37^3</f>
        <v>1.5625E-4</v>
      </c>
    </row>
    <row r="38" spans="1:19">
      <c r="A38" s="23" t="s">
        <v>1526</v>
      </c>
      <c r="B38" s="4" t="s">
        <v>1527</v>
      </c>
      <c r="C38" s="4" t="s">
        <v>30</v>
      </c>
      <c r="D38" s="4">
        <v>0.5</v>
      </c>
      <c r="E38" s="4">
        <v>24</v>
      </c>
      <c r="F38" s="4">
        <v>4</v>
      </c>
      <c r="G38" s="4">
        <v>24</v>
      </c>
      <c r="H38" s="4">
        <v>3.9573</v>
      </c>
      <c r="I38" s="4">
        <v>4.0000000000000002E-4</v>
      </c>
      <c r="J38" s="4">
        <v>-25.037600000000001</v>
      </c>
      <c r="K38" s="4">
        <v>1.6000000000000001E-3</v>
      </c>
      <c r="L38" s="4">
        <v>2.1000000000000001E-2</v>
      </c>
      <c r="M38" s="4">
        <v>5.0000000000000001E-3</v>
      </c>
      <c r="N38" s="4">
        <v>-7.7000000000000002E-3</v>
      </c>
      <c r="O38" s="4">
        <v>1E-4</v>
      </c>
      <c r="P38" s="4">
        <v>126.3</v>
      </c>
      <c r="Q38" s="4">
        <v>0.12</v>
      </c>
      <c r="R38" s="4">
        <f t="shared" si="4"/>
        <v>0.21927083333333333</v>
      </c>
      <c r="S38" s="22">
        <f t="shared" si="0"/>
        <v>2.0833333333333332E-4</v>
      </c>
    </row>
    <row r="39" spans="1:19">
      <c r="A39" s="44" t="s">
        <v>1528</v>
      </c>
      <c r="B39" s="45" t="s">
        <v>1529</v>
      </c>
      <c r="C39" s="45"/>
      <c r="D39" s="45">
        <v>0.25</v>
      </c>
      <c r="E39" s="4">
        <v>24</v>
      </c>
      <c r="F39" s="4">
        <v>4</v>
      </c>
      <c r="G39" s="4">
        <v>24</v>
      </c>
      <c r="H39" s="45">
        <v>5.6284000000000001</v>
      </c>
      <c r="I39" s="4">
        <v>5.0000000000000001E-4</v>
      </c>
      <c r="J39" s="45">
        <v>-36.382800000000003</v>
      </c>
      <c r="K39" s="4">
        <v>1.2999999999999999E-3</v>
      </c>
      <c r="L39" s="4">
        <v>0.03</v>
      </c>
      <c r="M39" s="4">
        <v>0.01</v>
      </c>
      <c r="N39" s="4">
        <v>-5.3E-3</v>
      </c>
      <c r="O39" s="4">
        <v>1E-4</v>
      </c>
      <c r="P39" s="4">
        <v>127.83</v>
      </c>
      <c r="Q39" s="4">
        <v>0.19</v>
      </c>
      <c r="R39" s="45">
        <f t="shared" si="4"/>
        <v>0.22192708333333333</v>
      </c>
      <c r="S39" s="22">
        <f>Q39*E39/G39^3</f>
        <v>3.2986111111111112E-4</v>
      </c>
    </row>
    <row r="40" spans="1:19">
      <c r="A40" s="23" t="s">
        <v>1528</v>
      </c>
      <c r="B40" s="4" t="s">
        <v>1529</v>
      </c>
      <c r="D40" s="4">
        <v>0.5</v>
      </c>
      <c r="E40" s="4">
        <v>24</v>
      </c>
      <c r="F40" s="4">
        <v>4</v>
      </c>
      <c r="G40" s="4">
        <v>24</v>
      </c>
      <c r="H40" s="4">
        <v>3.899</v>
      </c>
      <c r="I40" s="4">
        <v>2.0000000000000001E-4</v>
      </c>
      <c r="J40" s="4">
        <v>-25.047899999999998</v>
      </c>
      <c r="K40" s="4">
        <v>2.0000000000000001E-4</v>
      </c>
      <c r="L40" s="4">
        <v>3.2000000000000001E-2</v>
      </c>
      <c r="M40" s="4">
        <v>1.2E-2</v>
      </c>
      <c r="N40" s="4">
        <v>-8.0000000000000002E-3</v>
      </c>
      <c r="O40" s="4">
        <v>2.0000000000000001E-4</v>
      </c>
      <c r="P40" s="4">
        <v>127.17</v>
      </c>
      <c r="Q40" s="4">
        <v>0.17</v>
      </c>
      <c r="R40" s="4">
        <f t="shared" si="4"/>
        <v>0.22078124999999998</v>
      </c>
      <c r="S40" s="22">
        <f t="shared" si="0"/>
        <v>2.9513888888888889E-4</v>
      </c>
    </row>
    <row r="41" spans="1:19" ht="17" thickBot="1">
      <c r="A41" s="28" t="s">
        <v>1528</v>
      </c>
      <c r="B41" s="29" t="s">
        <v>1529</v>
      </c>
      <c r="C41" s="29"/>
      <c r="D41" s="29">
        <v>0.75</v>
      </c>
      <c r="E41" s="4">
        <v>24</v>
      </c>
      <c r="F41" s="4">
        <v>4</v>
      </c>
      <c r="G41" s="4">
        <v>24</v>
      </c>
      <c r="H41" s="41">
        <v>2.1949999999999998</v>
      </c>
      <c r="I41" s="39">
        <v>2.9999999999999997E-4</v>
      </c>
      <c r="J41" s="41">
        <v>-13.9633</v>
      </c>
      <c r="K41" s="39">
        <v>1.1000000000000001E-3</v>
      </c>
      <c r="L41" s="39">
        <v>5.8000000000000003E-2</v>
      </c>
      <c r="M41" s="39">
        <v>1.7000000000000001E-2</v>
      </c>
      <c r="N41" s="39">
        <v>-1.5800000000000002E-2</v>
      </c>
      <c r="O41" s="39">
        <v>2.9999999999999997E-4</v>
      </c>
      <c r="P41" s="39">
        <v>122.62</v>
      </c>
      <c r="Q41" s="39">
        <v>0.16</v>
      </c>
      <c r="R41" s="29">
        <f>P41*E41/G41^3</f>
        <v>0.21288194444444444</v>
      </c>
      <c r="S41" s="22">
        <f t="shared" si="0"/>
        <v>2.7777777777777778E-4</v>
      </c>
    </row>
    <row r="42" spans="1:19" ht="17" thickTop="1">
      <c r="A42" s="102" t="s">
        <v>1530</v>
      </c>
      <c r="B42" s="119" t="s">
        <v>1531</v>
      </c>
      <c r="C42" s="176" t="s">
        <v>17</v>
      </c>
      <c r="D42" s="119">
        <v>0.25</v>
      </c>
      <c r="E42" s="7">
        <v>24</v>
      </c>
      <c r="F42" s="7">
        <v>5</v>
      </c>
      <c r="G42" s="7">
        <v>24</v>
      </c>
      <c r="H42" s="119">
        <v>5.7133000000000003</v>
      </c>
      <c r="I42" s="7">
        <v>5.0000000000000001E-4</v>
      </c>
      <c r="J42" s="119">
        <v>-37.160800000000002</v>
      </c>
      <c r="K42" s="7">
        <v>1.9E-3</v>
      </c>
      <c r="L42" s="7">
        <v>4.9000000000000002E-2</v>
      </c>
      <c r="M42" s="7">
        <v>8.9999999999999993E-3</v>
      </c>
      <c r="N42" s="7">
        <v>-5.4999999999999997E-3</v>
      </c>
      <c r="O42" s="7">
        <v>1E-4</v>
      </c>
      <c r="P42" s="7">
        <v>126.55</v>
      </c>
      <c r="Q42" s="7">
        <v>0.09</v>
      </c>
      <c r="R42" s="119">
        <f t="shared" ref="R42" si="6">P42*E42/G42^3</f>
        <v>0.21970486111111109</v>
      </c>
      <c r="S42" s="18">
        <f>Q42*E42/G42^3</f>
        <v>1.5625E-4</v>
      </c>
    </row>
    <row r="43" spans="1:19">
      <c r="A43" s="23" t="s">
        <v>1530</v>
      </c>
      <c r="B43" s="4" t="s">
        <v>1531</v>
      </c>
      <c r="C43" s="170" t="s">
        <v>17</v>
      </c>
      <c r="D43" s="4">
        <v>0.5</v>
      </c>
      <c r="E43" s="4">
        <v>24</v>
      </c>
      <c r="F43" s="4">
        <v>5</v>
      </c>
      <c r="G43" s="4">
        <v>24</v>
      </c>
      <c r="H43" s="4">
        <v>4.1558000000000002</v>
      </c>
      <c r="I43" s="4">
        <v>2.0000000000000001E-4</v>
      </c>
      <c r="J43" s="4">
        <v>-27.1767</v>
      </c>
      <c r="K43" s="4">
        <v>4.0000000000000001E-3</v>
      </c>
      <c r="L43" s="4">
        <v>6.3E-2</v>
      </c>
      <c r="M43" s="4">
        <v>2.1000000000000001E-2</v>
      </c>
      <c r="N43" s="4">
        <v>-9.5999999999999992E-3</v>
      </c>
      <c r="O43" s="4">
        <v>4.0000000000000002E-4</v>
      </c>
      <c r="P43" s="4">
        <v>119.15</v>
      </c>
      <c r="Q43" s="4">
        <v>0.71</v>
      </c>
      <c r="R43" s="4">
        <f t="shared" si="4"/>
        <v>0.20685763888888892</v>
      </c>
      <c r="S43" s="22">
        <f t="shared" si="0"/>
        <v>1.2326388888888888E-3</v>
      </c>
    </row>
    <row r="44" spans="1:19">
      <c r="A44" s="44" t="s">
        <v>1532</v>
      </c>
      <c r="B44" s="45" t="s">
        <v>1533</v>
      </c>
      <c r="C44" s="45" t="s">
        <v>19</v>
      </c>
      <c r="D44" s="45">
        <v>0.25</v>
      </c>
      <c r="E44" s="4">
        <v>24</v>
      </c>
      <c r="F44" s="4">
        <v>5</v>
      </c>
      <c r="G44" s="4">
        <v>24</v>
      </c>
      <c r="H44" s="45">
        <v>5.6699000000000002</v>
      </c>
      <c r="I44" s="4">
        <v>5.0000000000000001E-4</v>
      </c>
      <c r="J44" s="45">
        <v>-37.101399999999998</v>
      </c>
      <c r="K44" s="4">
        <v>5.9999999999999995E-4</v>
      </c>
      <c r="L44" s="4">
        <v>4.1000000000000002E-2</v>
      </c>
      <c r="M44" s="4">
        <v>8.0000000000000002E-3</v>
      </c>
      <c r="N44" s="4">
        <v>-5.4999999999999997E-3</v>
      </c>
      <c r="O44" s="4">
        <v>1E-4</v>
      </c>
      <c r="P44" s="4">
        <v>127.38</v>
      </c>
      <c r="Q44" s="4">
        <v>0.09</v>
      </c>
      <c r="R44" s="45">
        <f t="shared" si="4"/>
        <v>0.22114583333333332</v>
      </c>
      <c r="S44" s="22">
        <f>Q44*E44/G44^3</f>
        <v>1.5625E-4</v>
      </c>
    </row>
    <row r="45" spans="1:19">
      <c r="A45" s="23" t="s">
        <v>1532</v>
      </c>
      <c r="B45" s="4" t="s">
        <v>1533</v>
      </c>
      <c r="C45" s="4" t="s">
        <v>19</v>
      </c>
      <c r="D45" s="4">
        <v>0.5</v>
      </c>
      <c r="E45" s="4">
        <v>24</v>
      </c>
      <c r="F45" s="4">
        <v>5</v>
      </c>
      <c r="G45" s="4">
        <v>24</v>
      </c>
      <c r="H45" s="4">
        <v>4.0042999999999997</v>
      </c>
      <c r="I45" s="4">
        <v>8.9999999999999998E-4</v>
      </c>
      <c r="J45" s="4">
        <v>-26.850100000000001</v>
      </c>
      <c r="K45" s="4">
        <v>4.0000000000000001E-3</v>
      </c>
      <c r="L45" s="4">
        <v>8.5999999999999993E-2</v>
      </c>
      <c r="M45" s="4">
        <v>1.2E-2</v>
      </c>
      <c r="N45" s="4">
        <v>-8.8000000000000005E-3</v>
      </c>
      <c r="O45" s="4">
        <v>2.0000000000000001E-4</v>
      </c>
      <c r="P45" s="4">
        <v>123.6</v>
      </c>
      <c r="Q45" s="4">
        <v>0.32</v>
      </c>
      <c r="R45" s="4">
        <f t="shared" si="4"/>
        <v>0.21458333333333332</v>
      </c>
      <c r="S45" s="22">
        <f t="shared" si="0"/>
        <v>5.5555555555555556E-4</v>
      </c>
    </row>
    <row r="46" spans="1:19">
      <c r="A46" s="44" t="s">
        <v>1534</v>
      </c>
      <c r="B46" s="45" t="s">
        <v>1535</v>
      </c>
      <c r="C46" s="45" t="s">
        <v>30</v>
      </c>
      <c r="D46" s="45">
        <v>0.25</v>
      </c>
      <c r="E46" s="4">
        <v>24</v>
      </c>
      <c r="F46" s="4">
        <v>5</v>
      </c>
      <c r="G46" s="4">
        <v>24</v>
      </c>
      <c r="H46" s="48">
        <v>5.7224000000000004</v>
      </c>
      <c r="I46" s="39">
        <v>2.0000000000000001E-4</v>
      </c>
      <c r="J46" s="48">
        <v>-36.759700000000002</v>
      </c>
      <c r="K46" s="39">
        <v>1E-3</v>
      </c>
      <c r="L46" s="39">
        <v>2.1000000000000001E-2</v>
      </c>
      <c r="M46" s="39">
        <v>2E-3</v>
      </c>
      <c r="N46" s="39">
        <v>-5.3E-3</v>
      </c>
      <c r="O46" s="39">
        <v>0</v>
      </c>
      <c r="P46" s="39">
        <v>127.29</v>
      </c>
      <c r="Q46" s="39">
        <v>0.15</v>
      </c>
      <c r="R46" s="45">
        <f t="shared" si="4"/>
        <v>0.22098958333333332</v>
      </c>
      <c r="S46" s="22">
        <f>Q46*E46/G46^3</f>
        <v>2.6041666666666666E-4</v>
      </c>
    </row>
    <row r="47" spans="1:19">
      <c r="A47" s="23" t="s">
        <v>1534</v>
      </c>
      <c r="B47" s="4" t="s">
        <v>1535</v>
      </c>
      <c r="C47" s="4" t="s">
        <v>30</v>
      </c>
      <c r="D47" s="4">
        <v>0.5</v>
      </c>
      <c r="E47" s="4">
        <v>24</v>
      </c>
      <c r="F47" s="4">
        <v>5</v>
      </c>
      <c r="G47" s="4">
        <v>24</v>
      </c>
      <c r="H47" s="4">
        <v>4.1081000000000003</v>
      </c>
      <c r="I47" s="4">
        <v>5.0000000000000001E-4</v>
      </c>
      <c r="J47" s="4">
        <v>-25.949200000000001</v>
      </c>
      <c r="K47" s="4">
        <v>1.8E-3</v>
      </c>
      <c r="L47" s="4">
        <v>0.02</v>
      </c>
      <c r="M47" s="4">
        <v>4.0000000000000001E-3</v>
      </c>
      <c r="N47" s="4">
        <v>-7.6E-3</v>
      </c>
      <c r="O47" s="4">
        <v>1E-4</v>
      </c>
      <c r="P47" s="4">
        <v>125</v>
      </c>
      <c r="Q47" s="4">
        <v>0.24</v>
      </c>
      <c r="R47" s="4">
        <f t="shared" si="4"/>
        <v>0.2170138888888889</v>
      </c>
      <c r="S47" s="22">
        <f t="shared" si="0"/>
        <v>4.1666666666666664E-4</v>
      </c>
    </row>
    <row r="48" spans="1:19">
      <c r="A48" s="44" t="s">
        <v>1536</v>
      </c>
      <c r="B48" s="45" t="s">
        <v>1537</v>
      </c>
      <c r="C48" s="45"/>
      <c r="D48" s="45">
        <v>0.25</v>
      </c>
      <c r="E48" s="4">
        <v>24</v>
      </c>
      <c r="F48" s="4">
        <v>5</v>
      </c>
      <c r="G48" s="4">
        <v>24</v>
      </c>
      <c r="H48" s="45">
        <v>5.6971999999999996</v>
      </c>
      <c r="I48" s="4">
        <v>4.0000000000000002E-4</v>
      </c>
      <c r="J48" s="45">
        <v>-36.804699999999997</v>
      </c>
      <c r="K48" s="4">
        <v>6.9999999999999999E-4</v>
      </c>
      <c r="L48" s="4">
        <v>2.8000000000000001E-2</v>
      </c>
      <c r="M48" s="4">
        <v>1E-3</v>
      </c>
      <c r="N48" s="4">
        <v>-5.1000000000000004E-3</v>
      </c>
      <c r="O48" s="4">
        <v>0</v>
      </c>
      <c r="P48" s="4">
        <v>127.74</v>
      </c>
      <c r="Q48" s="4">
        <v>0.05</v>
      </c>
      <c r="R48" s="45">
        <f t="shared" si="4"/>
        <v>0.22177083333333331</v>
      </c>
      <c r="S48" s="22">
        <f>Q48*E48/G48^3</f>
        <v>8.6805555555555572E-5</v>
      </c>
    </row>
    <row r="49" spans="1:19">
      <c r="A49" s="23" t="s">
        <v>1536</v>
      </c>
      <c r="B49" s="4" t="s">
        <v>1537</v>
      </c>
      <c r="D49" s="4">
        <v>0.5</v>
      </c>
      <c r="E49" s="4">
        <v>24</v>
      </c>
      <c r="F49" s="4">
        <v>5</v>
      </c>
      <c r="G49" s="4">
        <v>24</v>
      </c>
      <c r="H49" s="4">
        <v>4.0362999999999998</v>
      </c>
      <c r="I49" s="4">
        <v>2.9999999999999997E-4</v>
      </c>
      <c r="J49" s="4">
        <v>-25.906600000000001</v>
      </c>
      <c r="K49" s="4">
        <v>1.1000000000000001E-3</v>
      </c>
      <c r="L49" s="4">
        <v>3.3000000000000002E-2</v>
      </c>
      <c r="M49" s="4">
        <v>7.0000000000000001E-3</v>
      </c>
      <c r="N49" s="4">
        <v>-7.7000000000000002E-3</v>
      </c>
      <c r="O49" s="4">
        <v>0</v>
      </c>
      <c r="P49" s="4">
        <v>126.72</v>
      </c>
      <c r="Q49" s="4">
        <v>0.08</v>
      </c>
      <c r="R49" s="4">
        <f t="shared" si="4"/>
        <v>0.21999999999999997</v>
      </c>
      <c r="S49" s="22">
        <f t="shared" si="0"/>
        <v>1.3888888888888889E-4</v>
      </c>
    </row>
    <row r="50" spans="1:19" ht="17" thickBot="1">
      <c r="A50" s="25" t="s">
        <v>1536</v>
      </c>
      <c r="B50" s="9" t="s">
        <v>1537</v>
      </c>
      <c r="C50" s="9"/>
      <c r="D50" s="9">
        <v>0.75</v>
      </c>
      <c r="E50" s="10">
        <v>24</v>
      </c>
      <c r="F50" s="10">
        <v>5</v>
      </c>
      <c r="G50" s="10">
        <v>24</v>
      </c>
      <c r="H50" s="107">
        <v>2.3978000000000002</v>
      </c>
      <c r="I50" s="106">
        <v>1E-4</v>
      </c>
      <c r="J50" s="107">
        <v>-15.2562</v>
      </c>
      <c r="K50" s="106">
        <v>5.9999999999999995E-4</v>
      </c>
      <c r="L50" s="106">
        <v>2.7E-2</v>
      </c>
      <c r="M50" s="106">
        <v>5.0000000000000001E-3</v>
      </c>
      <c r="N50" s="106">
        <v>-1.3899999999999999E-2</v>
      </c>
      <c r="O50" s="106">
        <v>4.0000000000000002E-4</v>
      </c>
      <c r="P50" s="106">
        <v>122.18</v>
      </c>
      <c r="Q50" s="106">
        <v>0.28999999999999998</v>
      </c>
      <c r="R50" s="9">
        <f>P50*E50/G50^3</f>
        <v>0.21211805555555557</v>
      </c>
      <c r="S50" s="26">
        <f t="shared" si="0"/>
        <v>5.034722222222221E-4</v>
      </c>
    </row>
    <row r="51" spans="1:19" ht="17" thickTop="1">
      <c r="A51" s="44" t="s">
        <v>1538</v>
      </c>
      <c r="B51" s="45" t="s">
        <v>1539</v>
      </c>
      <c r="C51" s="168" t="s">
        <v>17</v>
      </c>
      <c r="D51" s="45">
        <v>0.25</v>
      </c>
      <c r="E51" s="4">
        <v>24</v>
      </c>
      <c r="F51" s="4">
        <v>6</v>
      </c>
      <c r="G51" s="4">
        <v>24</v>
      </c>
      <c r="H51" s="45">
        <v>5.7896000000000001</v>
      </c>
      <c r="I51" s="4">
        <v>8.9999999999999998E-4</v>
      </c>
      <c r="J51" s="45">
        <v>-37.796999999999997</v>
      </c>
      <c r="K51" s="4">
        <v>2.2000000000000001E-3</v>
      </c>
      <c r="L51" s="4">
        <v>2.5999999999999999E-2</v>
      </c>
      <c r="M51" s="4">
        <v>1.4999999999999999E-2</v>
      </c>
      <c r="N51" s="4">
        <v>-5.4000000000000003E-3</v>
      </c>
      <c r="O51" s="4">
        <v>2.0000000000000001E-4</v>
      </c>
      <c r="P51" s="4">
        <v>126.41</v>
      </c>
      <c r="Q51" s="4">
        <v>0.18</v>
      </c>
      <c r="R51" s="45">
        <f t="shared" ref="R51" si="7">P51*E51/G51^3</f>
        <v>0.21946180555555556</v>
      </c>
      <c r="S51" s="22">
        <f>Q51*E51/G51^3</f>
        <v>3.1250000000000001E-4</v>
      </c>
    </row>
    <row r="52" spans="1:19">
      <c r="A52" s="23" t="s">
        <v>1538</v>
      </c>
      <c r="B52" s="4" t="s">
        <v>1539</v>
      </c>
      <c r="C52" s="170" t="s">
        <v>17</v>
      </c>
      <c r="D52" s="4">
        <v>0.5</v>
      </c>
      <c r="E52" s="4">
        <v>24</v>
      </c>
      <c r="F52" s="4">
        <v>6</v>
      </c>
      <c r="G52" s="4">
        <v>24</v>
      </c>
      <c r="H52" s="4">
        <v>4.3620999999999999</v>
      </c>
      <c r="I52" s="4">
        <v>1E-3</v>
      </c>
      <c r="J52" s="4">
        <v>-29.0763</v>
      </c>
      <c r="K52" s="4">
        <v>6.9999999999999999E-4</v>
      </c>
      <c r="L52" s="4">
        <v>0.14499999999999999</v>
      </c>
      <c r="M52" s="4">
        <v>3.6999999999999998E-2</v>
      </c>
      <c r="N52" s="4">
        <v>-1.24E-2</v>
      </c>
      <c r="O52" s="4">
        <v>2.0000000000000001E-4</v>
      </c>
      <c r="P52" s="4">
        <v>106.88</v>
      </c>
      <c r="Q52" s="4">
        <v>0.36</v>
      </c>
      <c r="R52" s="4">
        <f t="shared" si="4"/>
        <v>0.18555555555555556</v>
      </c>
      <c r="S52" s="22">
        <f t="shared" si="0"/>
        <v>6.2500000000000001E-4</v>
      </c>
    </row>
    <row r="53" spans="1:19">
      <c r="A53" s="44" t="s">
        <v>1540</v>
      </c>
      <c r="B53" s="45" t="s">
        <v>1541</v>
      </c>
      <c r="C53" s="45" t="s">
        <v>19</v>
      </c>
      <c r="D53" s="45">
        <v>0.25</v>
      </c>
      <c r="E53" s="4">
        <v>24</v>
      </c>
      <c r="F53" s="4">
        <v>6</v>
      </c>
      <c r="G53" s="4">
        <v>24</v>
      </c>
      <c r="H53" s="45">
        <v>5.7346000000000004</v>
      </c>
      <c r="I53" s="4">
        <v>5.0000000000000001E-4</v>
      </c>
      <c r="J53" s="45">
        <v>-37.705599999999997</v>
      </c>
      <c r="K53" s="4">
        <v>1.6999999999999999E-3</v>
      </c>
      <c r="L53" s="4">
        <v>3.9E-2</v>
      </c>
      <c r="M53" s="4">
        <v>4.0000000000000001E-3</v>
      </c>
      <c r="N53" s="4">
        <v>-5.3E-3</v>
      </c>
      <c r="O53" s="4">
        <v>1E-4</v>
      </c>
      <c r="P53" s="4">
        <v>127.31</v>
      </c>
      <c r="Q53" s="4">
        <v>0.22</v>
      </c>
      <c r="R53" s="45">
        <f t="shared" si="4"/>
        <v>0.22102430555555555</v>
      </c>
      <c r="S53" s="22">
        <f>Q53*E53/G53^3</f>
        <v>3.8194444444444446E-4</v>
      </c>
    </row>
    <row r="54" spans="1:19">
      <c r="A54" s="23" t="s">
        <v>1540</v>
      </c>
      <c r="B54" s="4" t="s">
        <v>1541</v>
      </c>
      <c r="C54" s="4" t="s">
        <v>19</v>
      </c>
      <c r="D54" s="4">
        <v>0.5</v>
      </c>
      <c r="E54" s="4">
        <v>24</v>
      </c>
      <c r="F54" s="4">
        <v>6</v>
      </c>
      <c r="G54" s="4">
        <v>24</v>
      </c>
      <c r="H54" s="4">
        <v>4.1399999999999997</v>
      </c>
      <c r="I54" s="4">
        <v>5.9999999999999995E-4</v>
      </c>
      <c r="J54" s="4">
        <v>-28.375499999999999</v>
      </c>
      <c r="K54" s="4">
        <v>2.8E-3</v>
      </c>
      <c r="L54" s="4">
        <v>0.13</v>
      </c>
      <c r="M54" s="4">
        <v>1.2999999999999999E-2</v>
      </c>
      <c r="N54" s="4">
        <v>-9.1000000000000004E-3</v>
      </c>
      <c r="O54" s="4">
        <v>1E-4</v>
      </c>
      <c r="P54" s="4">
        <v>120.51</v>
      </c>
      <c r="Q54" s="4">
        <v>0.32</v>
      </c>
      <c r="R54" s="4">
        <f t="shared" si="4"/>
        <v>0.20921875000000001</v>
      </c>
      <c r="S54" s="22">
        <f t="shared" si="0"/>
        <v>5.5555555555555556E-4</v>
      </c>
    </row>
    <row r="55" spans="1:19">
      <c r="A55" s="44" t="s">
        <v>1542</v>
      </c>
      <c r="B55" s="45" t="s">
        <v>1543</v>
      </c>
      <c r="C55" s="45" t="s">
        <v>30</v>
      </c>
      <c r="D55" s="45">
        <v>0.25</v>
      </c>
      <c r="E55" s="4">
        <v>24</v>
      </c>
      <c r="F55" s="4">
        <v>6</v>
      </c>
      <c r="G55" s="4">
        <v>24</v>
      </c>
      <c r="H55" s="45">
        <v>5.8061999999999996</v>
      </c>
      <c r="I55" s="4">
        <v>8.9999999999999998E-4</v>
      </c>
      <c r="J55" s="45">
        <v>-37.228200000000001</v>
      </c>
      <c r="K55" s="4">
        <v>3.0999999999999999E-3</v>
      </c>
      <c r="L55" s="4">
        <v>2.1000000000000001E-2</v>
      </c>
      <c r="M55" s="4">
        <v>7.0000000000000001E-3</v>
      </c>
      <c r="N55" s="4">
        <v>-5.1000000000000004E-3</v>
      </c>
      <c r="O55" s="4">
        <v>2.0000000000000001E-4</v>
      </c>
      <c r="P55" s="4">
        <v>127.13</v>
      </c>
      <c r="Q55" s="4">
        <v>0.22</v>
      </c>
      <c r="R55" s="45">
        <f t="shared" si="4"/>
        <v>0.22071180555555556</v>
      </c>
      <c r="S55" s="22">
        <f>Q55*E55/G55^3</f>
        <v>3.8194444444444446E-4</v>
      </c>
    </row>
    <row r="56" spans="1:19">
      <c r="A56" s="23" t="s">
        <v>1542</v>
      </c>
      <c r="B56" s="4" t="s">
        <v>1543</v>
      </c>
      <c r="C56" s="4" t="s">
        <v>30</v>
      </c>
      <c r="D56" s="4">
        <v>0.5</v>
      </c>
      <c r="E56" s="4">
        <v>24</v>
      </c>
      <c r="F56" s="4">
        <v>6</v>
      </c>
      <c r="G56" s="4">
        <v>24</v>
      </c>
      <c r="H56" s="4">
        <v>4.2877999999999998</v>
      </c>
      <c r="I56" s="4">
        <v>2.0000000000000001E-4</v>
      </c>
      <c r="J56" s="4">
        <v>-27.014099999999999</v>
      </c>
      <c r="K56" s="4">
        <v>5.0000000000000001E-4</v>
      </c>
      <c r="L56" s="4">
        <v>1.6E-2</v>
      </c>
      <c r="M56" s="4">
        <v>3.0000000000000001E-3</v>
      </c>
      <c r="N56" s="4">
        <v>-7.4000000000000003E-3</v>
      </c>
      <c r="O56" s="4">
        <v>2.0000000000000001E-4</v>
      </c>
      <c r="P56" s="4">
        <v>123.5</v>
      </c>
      <c r="Q56" s="4">
        <v>0.23</v>
      </c>
      <c r="R56" s="4">
        <f t="shared" si="4"/>
        <v>0.21440972222222221</v>
      </c>
      <c r="S56" s="22">
        <f t="shared" si="0"/>
        <v>3.9930555555555558E-4</v>
      </c>
    </row>
    <row r="57" spans="1:19">
      <c r="A57" s="44" t="s">
        <v>1544</v>
      </c>
      <c r="B57" s="45" t="s">
        <v>1545</v>
      </c>
      <c r="C57" s="45"/>
      <c r="D57" s="45">
        <v>0.25</v>
      </c>
      <c r="E57" s="4">
        <v>24</v>
      </c>
      <c r="F57" s="4">
        <v>6</v>
      </c>
      <c r="G57" s="4">
        <v>24</v>
      </c>
      <c r="H57" s="45">
        <v>5.7637</v>
      </c>
      <c r="I57" s="4">
        <v>5.9999999999999995E-4</v>
      </c>
      <c r="J57" s="45">
        <v>-37.111400000000003</v>
      </c>
      <c r="K57" s="4">
        <v>2.5999999999999999E-3</v>
      </c>
      <c r="L57" s="4">
        <v>2.5999999999999999E-2</v>
      </c>
      <c r="M57" s="4">
        <v>3.0000000000000001E-3</v>
      </c>
      <c r="N57" s="4">
        <v>-5.3E-3</v>
      </c>
      <c r="O57" s="4">
        <v>1E-4</v>
      </c>
      <c r="P57" s="4">
        <v>127.54</v>
      </c>
      <c r="Q57" s="4">
        <v>0.14000000000000001</v>
      </c>
      <c r="R57" s="45">
        <f t="shared" si="4"/>
        <v>0.22142361111111111</v>
      </c>
      <c r="S57" s="22">
        <f>Q57*E57/G57^3</f>
        <v>2.4305555555555558E-4</v>
      </c>
    </row>
    <row r="58" spans="1:19">
      <c r="A58" s="23" t="s">
        <v>1544</v>
      </c>
      <c r="B58" s="4" t="s">
        <v>1545</v>
      </c>
      <c r="D58" s="4">
        <v>0.5</v>
      </c>
      <c r="E58" s="4">
        <v>24</v>
      </c>
      <c r="F58" s="4">
        <v>6</v>
      </c>
      <c r="G58" s="4">
        <v>24</v>
      </c>
      <c r="H58" s="4">
        <v>4.1734</v>
      </c>
      <c r="I58" s="4">
        <v>5.0000000000000001E-4</v>
      </c>
      <c r="J58" s="4">
        <v>-26.5623</v>
      </c>
      <c r="K58" s="4">
        <v>1.8E-3</v>
      </c>
      <c r="L58" s="4">
        <v>2.8000000000000001E-2</v>
      </c>
      <c r="M58" s="4">
        <v>8.0000000000000002E-3</v>
      </c>
      <c r="N58" s="4">
        <v>-7.4000000000000003E-3</v>
      </c>
      <c r="O58" s="4">
        <v>1E-4</v>
      </c>
      <c r="P58" s="4">
        <v>126.46</v>
      </c>
      <c r="Q58" s="4">
        <v>7.0000000000000007E-2</v>
      </c>
      <c r="R58" s="4">
        <f t="shared" si="4"/>
        <v>0.2195486111111111</v>
      </c>
      <c r="S58" s="22">
        <f t="shared" si="0"/>
        <v>1.2152777777777779E-4</v>
      </c>
    </row>
    <row r="59" spans="1:19" ht="17" thickBot="1">
      <c r="A59" s="25" t="s">
        <v>1544</v>
      </c>
      <c r="B59" s="9" t="s">
        <v>1545</v>
      </c>
      <c r="C59" s="9"/>
      <c r="D59" s="9">
        <v>0.75</v>
      </c>
      <c r="E59" s="10">
        <v>24</v>
      </c>
      <c r="F59" s="10">
        <v>6</v>
      </c>
      <c r="G59" s="10">
        <v>24</v>
      </c>
      <c r="H59" s="9">
        <v>2.6213000000000002</v>
      </c>
      <c r="I59" s="10">
        <v>8.0000000000000004E-4</v>
      </c>
      <c r="J59" s="9">
        <v>-16.412500000000001</v>
      </c>
      <c r="K59" s="10">
        <v>2.7000000000000001E-3</v>
      </c>
      <c r="L59" s="10">
        <v>3.5999999999999997E-2</v>
      </c>
      <c r="M59" s="10">
        <v>2.1000000000000001E-2</v>
      </c>
      <c r="N59" s="10">
        <v>-1.2800000000000001E-2</v>
      </c>
      <c r="O59" s="10">
        <v>2.9999999999999997E-4</v>
      </c>
      <c r="P59" s="10">
        <v>120.16</v>
      </c>
      <c r="Q59" s="10">
        <v>0.23</v>
      </c>
      <c r="R59" s="9">
        <f>P59*E59/G59^3</f>
        <v>0.20861111111111111</v>
      </c>
      <c r="S59" s="26">
        <f t="shared" si="0"/>
        <v>3.9930555555555558E-4</v>
      </c>
    </row>
    <row r="60" spans="1:19" ht="17" thickTop="1">
      <c r="A60" s="102" t="s">
        <v>1546</v>
      </c>
      <c r="B60" s="119" t="s">
        <v>1547</v>
      </c>
      <c r="C60" s="176" t="s">
        <v>17</v>
      </c>
      <c r="D60" s="119">
        <v>0.25</v>
      </c>
      <c r="E60" s="7">
        <v>24</v>
      </c>
      <c r="F60" s="7">
        <v>7</v>
      </c>
      <c r="G60" s="7">
        <v>24</v>
      </c>
      <c r="H60" s="119">
        <v>5.8762999999999996</v>
      </c>
      <c r="I60" s="7">
        <v>5.0000000000000001E-4</v>
      </c>
      <c r="J60" s="119">
        <v>-38.533900000000003</v>
      </c>
      <c r="K60" s="7">
        <v>8.9999999999999998E-4</v>
      </c>
      <c r="L60" s="7">
        <v>2.9000000000000001E-2</v>
      </c>
      <c r="M60" s="7">
        <v>6.0000000000000001E-3</v>
      </c>
      <c r="N60" s="7">
        <v>-5.4999999999999997E-3</v>
      </c>
      <c r="O60" s="7">
        <v>1E-4</v>
      </c>
      <c r="P60" s="7">
        <v>125.71</v>
      </c>
      <c r="Q60" s="7">
        <v>0.18</v>
      </c>
      <c r="R60" s="119">
        <f t="shared" si="4"/>
        <v>0.21824652777777778</v>
      </c>
      <c r="S60" s="18">
        <f>Q60*E60/G60^3</f>
        <v>3.1250000000000001E-4</v>
      </c>
    </row>
    <row r="61" spans="1:19">
      <c r="A61" s="44" t="s">
        <v>1548</v>
      </c>
      <c r="B61" s="45" t="s">
        <v>1549</v>
      </c>
      <c r="C61" s="45" t="s">
        <v>19</v>
      </c>
      <c r="D61" s="45">
        <v>0.25</v>
      </c>
      <c r="E61" s="4">
        <v>24</v>
      </c>
      <c r="F61" s="4">
        <v>7</v>
      </c>
      <c r="G61" s="4">
        <v>24</v>
      </c>
      <c r="H61" s="45">
        <v>5.8079000000000001</v>
      </c>
      <c r="I61" s="4">
        <v>8.0000000000000004E-4</v>
      </c>
      <c r="J61" s="45">
        <v>-38.412300000000002</v>
      </c>
      <c r="K61" s="4">
        <v>1.9E-3</v>
      </c>
      <c r="L61" s="4">
        <v>4.5999999999999999E-2</v>
      </c>
      <c r="M61" s="4">
        <v>1.0999999999999999E-2</v>
      </c>
      <c r="N61" s="4">
        <v>-5.4999999999999997E-3</v>
      </c>
      <c r="O61" s="4">
        <v>1E-4</v>
      </c>
      <c r="P61" s="4">
        <v>126.85</v>
      </c>
      <c r="Q61" s="4">
        <v>0.18</v>
      </c>
      <c r="R61" s="45">
        <f t="shared" si="4"/>
        <v>0.22022569444444443</v>
      </c>
      <c r="S61" s="22">
        <f>Q61*E61/G61^3</f>
        <v>3.1250000000000001E-4</v>
      </c>
    </row>
    <row r="62" spans="1:19">
      <c r="A62" s="23" t="s">
        <v>1548</v>
      </c>
      <c r="B62" s="4" t="s">
        <v>1549</v>
      </c>
      <c r="C62" s="4" t="s">
        <v>19</v>
      </c>
      <c r="D62" s="4">
        <v>0.5</v>
      </c>
      <c r="E62" s="4">
        <v>24</v>
      </c>
      <c r="F62" s="4">
        <v>7</v>
      </c>
      <c r="G62" s="4">
        <v>24</v>
      </c>
      <c r="H62" s="39">
        <v>4.2885999999999997</v>
      </c>
      <c r="I62" s="4">
        <v>2.0000000000000001E-4</v>
      </c>
      <c r="J62" s="4">
        <v>-30.191600000000001</v>
      </c>
      <c r="K62" s="4">
        <v>2.9999999999999997E-4</v>
      </c>
      <c r="L62" s="4">
        <v>0.193</v>
      </c>
      <c r="M62" s="4">
        <v>4.0000000000000001E-3</v>
      </c>
      <c r="N62" s="4">
        <v>-9.7999999999999997E-3</v>
      </c>
      <c r="O62" s="4">
        <v>2.0000000000000001E-4</v>
      </c>
      <c r="P62" s="4">
        <v>116.03</v>
      </c>
      <c r="Q62" s="4">
        <v>0.41</v>
      </c>
      <c r="R62" s="4">
        <f t="shared" si="4"/>
        <v>0.20144097222222224</v>
      </c>
      <c r="S62" s="22">
        <f t="shared" si="0"/>
        <v>7.1180555555555559E-4</v>
      </c>
    </row>
    <row r="63" spans="1:19">
      <c r="A63" s="44" t="s">
        <v>1550</v>
      </c>
      <c r="B63" s="45" t="s">
        <v>1551</v>
      </c>
      <c r="C63" s="45" t="s">
        <v>30</v>
      </c>
      <c r="D63" s="45">
        <v>0.25</v>
      </c>
      <c r="E63" s="4">
        <v>24</v>
      </c>
      <c r="F63" s="4">
        <v>7</v>
      </c>
      <c r="G63" s="4">
        <v>24</v>
      </c>
      <c r="H63" s="48">
        <v>5.9006999999999996</v>
      </c>
      <c r="I63" s="39">
        <v>6.9999999999999999E-4</v>
      </c>
      <c r="J63" s="48">
        <v>-37.839199999999998</v>
      </c>
      <c r="K63" s="39">
        <v>2.8E-3</v>
      </c>
      <c r="L63" s="39">
        <v>2.1999999999999999E-2</v>
      </c>
      <c r="M63" s="39">
        <v>5.0000000000000001E-3</v>
      </c>
      <c r="N63" s="39">
        <v>-5.1000000000000004E-3</v>
      </c>
      <c r="O63" s="39">
        <v>2.0000000000000001E-4</v>
      </c>
      <c r="P63" s="39">
        <v>126.73</v>
      </c>
      <c r="Q63" s="39">
        <v>0.13</v>
      </c>
      <c r="R63" s="45">
        <f t="shared" si="4"/>
        <v>0.22001736111111111</v>
      </c>
      <c r="S63" s="22">
        <f>Q63*E63/G63^3</f>
        <v>2.2569444444444446E-4</v>
      </c>
    </row>
    <row r="64" spans="1:19">
      <c r="A64" s="23" t="s">
        <v>1550</v>
      </c>
      <c r="B64" s="4" t="s">
        <v>1551</v>
      </c>
      <c r="C64" s="4" t="s">
        <v>30</v>
      </c>
      <c r="D64" s="4">
        <v>0.5</v>
      </c>
      <c r="E64" s="4">
        <v>24</v>
      </c>
      <c r="F64" s="4">
        <v>7</v>
      </c>
      <c r="G64" s="4">
        <v>24</v>
      </c>
      <c r="H64" s="4">
        <v>4.4945000000000004</v>
      </c>
      <c r="I64" s="4">
        <v>5.9999999999999995E-4</v>
      </c>
      <c r="J64" s="4">
        <v>-28.404900000000001</v>
      </c>
      <c r="K64" s="4">
        <v>5.0000000000000001E-4</v>
      </c>
      <c r="L64" s="4">
        <v>2.1999999999999999E-2</v>
      </c>
      <c r="M64" s="4">
        <v>1.2E-2</v>
      </c>
      <c r="N64" s="4">
        <v>-7.3000000000000001E-3</v>
      </c>
      <c r="O64" s="4">
        <v>2.0000000000000001E-4</v>
      </c>
      <c r="P64" s="4">
        <v>121.38</v>
      </c>
      <c r="Q64" s="4">
        <v>0.11</v>
      </c>
      <c r="R64" s="4">
        <f t="shared" si="4"/>
        <v>0.21072916666666666</v>
      </c>
      <c r="S64" s="22">
        <f t="shared" si="0"/>
        <v>1.9097222222222223E-4</v>
      </c>
    </row>
    <row r="65" spans="1:19">
      <c r="A65" s="44" t="s">
        <v>1552</v>
      </c>
      <c r="B65" s="45" t="s">
        <v>1553</v>
      </c>
      <c r="C65" s="45"/>
      <c r="D65" s="45">
        <v>0.25</v>
      </c>
      <c r="E65" s="4">
        <v>24</v>
      </c>
      <c r="F65" s="4">
        <v>7</v>
      </c>
      <c r="G65" s="4">
        <v>24</v>
      </c>
      <c r="H65" s="45">
        <v>5.8295000000000003</v>
      </c>
      <c r="I65" s="4">
        <v>1E-3</v>
      </c>
      <c r="J65" s="45">
        <v>-37.814799999999998</v>
      </c>
      <c r="K65" s="4">
        <v>3.2000000000000002E-3</v>
      </c>
      <c r="L65" s="4">
        <v>4.2000000000000003E-2</v>
      </c>
      <c r="M65" s="4">
        <v>1.4E-2</v>
      </c>
      <c r="N65" s="4">
        <v>-5.4000000000000003E-3</v>
      </c>
      <c r="O65" s="4">
        <v>1E-4</v>
      </c>
      <c r="P65" s="4">
        <v>127.48</v>
      </c>
      <c r="Q65" s="4">
        <v>0.21</v>
      </c>
      <c r="R65" s="45">
        <f t="shared" si="4"/>
        <v>0.22131944444444443</v>
      </c>
      <c r="S65" s="22">
        <f>Q65*E65/G65^3</f>
        <v>3.6458333333333335E-4</v>
      </c>
    </row>
    <row r="66" spans="1:19">
      <c r="A66" s="23" t="s">
        <v>1552</v>
      </c>
      <c r="B66" s="4" t="s">
        <v>1553</v>
      </c>
      <c r="D66" s="4">
        <v>0.5</v>
      </c>
      <c r="E66" s="4">
        <v>24</v>
      </c>
      <c r="F66" s="4">
        <v>7</v>
      </c>
      <c r="G66" s="4">
        <v>24</v>
      </c>
      <c r="H66" s="39">
        <v>4.3044000000000002</v>
      </c>
      <c r="I66" s="4">
        <v>2.9999999999999997E-4</v>
      </c>
      <c r="J66" s="4">
        <v>-28.093800000000002</v>
      </c>
      <c r="K66" s="4">
        <v>8.9999999999999998E-4</v>
      </c>
      <c r="L66" s="4">
        <v>6.0999999999999999E-2</v>
      </c>
      <c r="M66" s="4">
        <v>5.0000000000000001E-3</v>
      </c>
      <c r="N66" s="4">
        <v>-7.6E-3</v>
      </c>
      <c r="O66" s="4">
        <v>2.0000000000000001E-4</v>
      </c>
      <c r="P66" s="4">
        <v>125.32</v>
      </c>
      <c r="Q66" s="4">
        <v>0.28999999999999998</v>
      </c>
      <c r="R66" s="4">
        <f t="shared" si="4"/>
        <v>0.21756944444444443</v>
      </c>
      <c r="S66" s="22">
        <f t="shared" ref="S66:S203" si="8">Q66*E66/G66^3</f>
        <v>5.034722222222221E-4</v>
      </c>
    </row>
    <row r="67" spans="1:19" ht="17" thickBot="1">
      <c r="A67" s="28" t="s">
        <v>1552</v>
      </c>
      <c r="B67" s="29" t="s">
        <v>1553</v>
      </c>
      <c r="C67" s="29"/>
      <c r="D67" s="29">
        <v>0.75</v>
      </c>
      <c r="E67" s="4">
        <v>24</v>
      </c>
      <c r="F67" s="4">
        <v>7</v>
      </c>
      <c r="G67" s="4">
        <v>24</v>
      </c>
      <c r="H67" s="41">
        <v>2.8090000000000002</v>
      </c>
      <c r="I67" s="4">
        <v>5.9999999999999995E-4</v>
      </c>
      <c r="J67" s="29">
        <v>-19.4163</v>
      </c>
      <c r="K67" s="4">
        <v>3.0000000000000001E-3</v>
      </c>
      <c r="L67" s="4">
        <v>0.17499999999999999</v>
      </c>
      <c r="M67" s="4">
        <v>1.0999999999999999E-2</v>
      </c>
      <c r="N67" s="4">
        <v>-1.7000000000000001E-2</v>
      </c>
      <c r="O67" s="4">
        <v>5.9999999999999995E-4</v>
      </c>
      <c r="P67" s="4">
        <v>108.27</v>
      </c>
      <c r="Q67" s="4">
        <v>0.93</v>
      </c>
      <c r="R67" s="29">
        <f>P67*E67/G67^3</f>
        <v>0.18796874999999999</v>
      </c>
      <c r="S67" s="22">
        <f t="shared" si="8"/>
        <v>1.6145833333333333E-3</v>
      </c>
    </row>
    <row r="68" spans="1:19" ht="17" thickTop="1">
      <c r="A68" s="102" t="s">
        <v>1554</v>
      </c>
      <c r="B68" s="119" t="s">
        <v>1555</v>
      </c>
      <c r="C68" s="176" t="s">
        <v>17</v>
      </c>
      <c r="D68" s="119">
        <v>0.25</v>
      </c>
      <c r="E68" s="7">
        <v>24</v>
      </c>
      <c r="F68" s="7">
        <v>8</v>
      </c>
      <c r="G68" s="7">
        <v>24</v>
      </c>
      <c r="H68" s="119">
        <v>5.9722999999999997</v>
      </c>
      <c r="I68" s="7">
        <v>5.0000000000000001E-4</v>
      </c>
      <c r="J68" s="119">
        <v>-39.362499999999997</v>
      </c>
      <c r="K68" s="7">
        <v>1.5E-3</v>
      </c>
      <c r="L68" s="7">
        <v>3.6999999999999998E-2</v>
      </c>
      <c r="M68" s="7">
        <v>5.0000000000000001E-3</v>
      </c>
      <c r="N68" s="7">
        <v>-5.4000000000000003E-3</v>
      </c>
      <c r="O68" s="7">
        <v>1E-4</v>
      </c>
      <c r="P68" s="7">
        <v>124.98</v>
      </c>
      <c r="Q68" s="7">
        <v>0.21</v>
      </c>
      <c r="R68" s="119">
        <f t="shared" ref="R68:R71" si="9">P68*E68/G68^3</f>
        <v>0.21697916666666667</v>
      </c>
      <c r="S68" s="18">
        <f>Q68*E68/G68^3</f>
        <v>3.6458333333333335E-4</v>
      </c>
    </row>
    <row r="69" spans="1:19">
      <c r="A69" s="44" t="s">
        <v>1556</v>
      </c>
      <c r="B69" s="45" t="s">
        <v>1557</v>
      </c>
      <c r="C69" s="45" t="s">
        <v>19</v>
      </c>
      <c r="D69" s="45">
        <v>0.25</v>
      </c>
      <c r="E69" s="4">
        <v>24</v>
      </c>
      <c r="F69" s="4">
        <v>8</v>
      </c>
      <c r="G69" s="4">
        <v>24</v>
      </c>
      <c r="H69" s="45">
        <v>5.8929999999999998</v>
      </c>
      <c r="I69" s="4">
        <v>5.9999999999999995E-4</v>
      </c>
      <c r="J69" s="45">
        <v>-39.197800000000001</v>
      </c>
      <c r="K69" s="4">
        <v>2E-3</v>
      </c>
      <c r="L69" s="4">
        <v>4.9000000000000002E-2</v>
      </c>
      <c r="M69" s="4">
        <v>7.0000000000000001E-3</v>
      </c>
      <c r="N69" s="4">
        <v>-5.4000000000000003E-3</v>
      </c>
      <c r="O69" s="4">
        <v>2.0000000000000001E-4</v>
      </c>
      <c r="P69" s="4">
        <v>126.45</v>
      </c>
      <c r="Q69" s="4">
        <v>0.34</v>
      </c>
      <c r="R69" s="45">
        <f t="shared" si="9"/>
        <v>0.21953125000000001</v>
      </c>
      <c r="S69" s="22">
        <f>Q69*E69/G69^3</f>
        <v>5.9027777777777778E-4</v>
      </c>
    </row>
    <row r="70" spans="1:19">
      <c r="A70" s="23" t="s">
        <v>1556</v>
      </c>
      <c r="B70" s="4" t="s">
        <v>1557</v>
      </c>
      <c r="C70" s="4" t="s">
        <v>19</v>
      </c>
      <c r="D70" s="4">
        <v>0.5</v>
      </c>
      <c r="E70" s="4">
        <v>24</v>
      </c>
      <c r="F70" s="4">
        <v>8</v>
      </c>
      <c r="G70" s="4">
        <v>24</v>
      </c>
      <c r="H70" s="39">
        <v>4.4420000000000002</v>
      </c>
      <c r="I70" s="4">
        <v>2.0000000000000001E-4</v>
      </c>
      <c r="J70" s="4">
        <v>-32.263399999999997</v>
      </c>
      <c r="K70" s="4">
        <v>1E-3</v>
      </c>
      <c r="L70" s="4">
        <v>0.28100000000000003</v>
      </c>
      <c r="M70" s="4">
        <v>2.7E-2</v>
      </c>
      <c r="N70" s="4">
        <v>-1.12E-2</v>
      </c>
      <c r="O70" s="4">
        <v>5.0000000000000001E-4</v>
      </c>
      <c r="P70" s="4">
        <v>110.04</v>
      </c>
      <c r="Q70" s="4">
        <v>0.85</v>
      </c>
      <c r="R70" s="4">
        <f t="shared" si="9"/>
        <v>0.19104166666666667</v>
      </c>
      <c r="S70" s="22">
        <f t="shared" ref="S70" si="10">Q70*E70/G70^3</f>
        <v>1.4756944444444444E-3</v>
      </c>
    </row>
    <row r="71" spans="1:19">
      <c r="A71" s="44" t="s">
        <v>1558</v>
      </c>
      <c r="B71" s="45" t="s">
        <v>1559</v>
      </c>
      <c r="C71" s="45" t="s">
        <v>30</v>
      </c>
      <c r="D71" s="45">
        <v>0.25</v>
      </c>
      <c r="E71" s="4">
        <v>24</v>
      </c>
      <c r="F71" s="4">
        <v>8</v>
      </c>
      <c r="G71" s="4">
        <v>24</v>
      </c>
      <c r="H71" s="45">
        <v>6.0080999999999998</v>
      </c>
      <c r="I71" s="4">
        <v>5.9999999999999995E-4</v>
      </c>
      <c r="J71" s="45">
        <v>-38.514699999999998</v>
      </c>
      <c r="K71" s="4">
        <v>1.6999999999999999E-3</v>
      </c>
      <c r="L71" s="4">
        <v>2.1000000000000001E-2</v>
      </c>
      <c r="M71" s="4">
        <v>5.0000000000000001E-3</v>
      </c>
      <c r="N71" s="4">
        <v>-4.8999999999999998E-3</v>
      </c>
      <c r="O71" s="4">
        <v>1E-4</v>
      </c>
      <c r="P71" s="4">
        <v>126.49</v>
      </c>
      <c r="Q71" s="4">
        <v>0.23</v>
      </c>
      <c r="R71" s="45">
        <f t="shared" si="9"/>
        <v>0.21960069444444444</v>
      </c>
      <c r="S71" s="22">
        <f>Q71*E71/G71^3</f>
        <v>3.9930555555555558E-4</v>
      </c>
    </row>
    <row r="72" spans="1:19">
      <c r="A72" s="23" t="s">
        <v>1558</v>
      </c>
      <c r="B72" s="4" t="s">
        <v>1559</v>
      </c>
      <c r="C72" s="4" t="s">
        <v>30</v>
      </c>
      <c r="D72" s="4">
        <v>0.5</v>
      </c>
      <c r="E72" s="4">
        <v>24</v>
      </c>
      <c r="F72" s="4">
        <v>8</v>
      </c>
      <c r="G72" s="4">
        <v>24</v>
      </c>
      <c r="H72" s="4">
        <v>4.7244000000000002</v>
      </c>
      <c r="I72" s="4">
        <v>1E-3</v>
      </c>
      <c r="J72" s="4">
        <v>-29.915800000000001</v>
      </c>
      <c r="K72" s="4">
        <v>2.8E-3</v>
      </c>
      <c r="L72" s="4">
        <v>2.1000000000000001E-2</v>
      </c>
      <c r="M72" s="4">
        <v>3.0000000000000001E-3</v>
      </c>
      <c r="N72" s="4">
        <v>-7.1999999999999998E-3</v>
      </c>
      <c r="O72" s="4">
        <v>1E-4</v>
      </c>
      <c r="P72" s="4">
        <v>119.45</v>
      </c>
      <c r="Q72" s="4">
        <v>0.03</v>
      </c>
      <c r="R72" s="4">
        <f t="shared" si="4"/>
        <v>0.20737847222222225</v>
      </c>
      <c r="S72" s="22">
        <f t="shared" si="8"/>
        <v>5.208333333333333E-5</v>
      </c>
    </row>
    <row r="73" spans="1:19">
      <c r="A73" s="44" t="s">
        <v>1560</v>
      </c>
      <c r="B73" s="45" t="s">
        <v>1561</v>
      </c>
      <c r="C73" s="45"/>
      <c r="D73" s="45">
        <v>0.25</v>
      </c>
      <c r="E73" s="4">
        <v>24</v>
      </c>
      <c r="F73" s="4">
        <v>8</v>
      </c>
      <c r="G73" s="4">
        <v>24</v>
      </c>
      <c r="H73" s="45">
        <v>5.8945999999999996</v>
      </c>
      <c r="I73" s="4">
        <v>2.9999999999999997E-4</v>
      </c>
      <c r="J73" s="45">
        <v>-38.770800000000001</v>
      </c>
      <c r="K73" s="4">
        <v>1.2999999999999999E-3</v>
      </c>
      <c r="L73" s="4">
        <v>5.0999999999999997E-2</v>
      </c>
      <c r="M73" s="4">
        <v>1.2999999999999999E-2</v>
      </c>
      <c r="N73" s="4">
        <v>-5.4000000000000003E-3</v>
      </c>
      <c r="O73" s="4">
        <v>1E-4</v>
      </c>
      <c r="P73" s="4">
        <v>127.12</v>
      </c>
      <c r="Q73" s="4">
        <v>0.16</v>
      </c>
      <c r="R73" s="45">
        <f t="shared" si="4"/>
        <v>0.22069444444444444</v>
      </c>
      <c r="S73" s="22">
        <f>Q73*E73/G73^3</f>
        <v>2.7777777777777778E-4</v>
      </c>
    </row>
    <row r="74" spans="1:19" ht="17" thickBot="1">
      <c r="A74" s="37" t="s">
        <v>1560</v>
      </c>
      <c r="B74" s="10" t="s">
        <v>1561</v>
      </c>
      <c r="C74" s="10"/>
      <c r="D74" s="10">
        <v>0.5</v>
      </c>
      <c r="E74" s="10">
        <v>24</v>
      </c>
      <c r="F74" s="10">
        <v>8</v>
      </c>
      <c r="G74" s="10">
        <v>24</v>
      </c>
      <c r="H74" s="10">
        <v>4.4241999999999999</v>
      </c>
      <c r="I74" s="10">
        <v>6.9999999999999999E-4</v>
      </c>
      <c r="J74" s="10">
        <v>-30.2986</v>
      </c>
      <c r="K74" s="10">
        <v>2.5999999999999999E-3</v>
      </c>
      <c r="L74" s="10">
        <v>0.13600000000000001</v>
      </c>
      <c r="M74" s="10">
        <v>2.3E-2</v>
      </c>
      <c r="N74" s="10">
        <v>-8.8999999999999999E-3</v>
      </c>
      <c r="O74" s="10">
        <v>2.9999999999999997E-4</v>
      </c>
      <c r="P74" s="10">
        <v>120.98</v>
      </c>
      <c r="Q74" s="10">
        <v>0.36</v>
      </c>
      <c r="R74" s="10">
        <f t="shared" si="4"/>
        <v>0.21003472222222222</v>
      </c>
      <c r="S74" s="26">
        <f t="shared" si="8"/>
        <v>6.2500000000000001E-4</v>
      </c>
    </row>
    <row r="75" spans="1:19" ht="17" thickTop="1">
      <c r="A75" s="44" t="s">
        <v>1562</v>
      </c>
      <c r="B75" s="45" t="s">
        <v>1563</v>
      </c>
      <c r="C75" s="168" t="s">
        <v>17</v>
      </c>
      <c r="D75" s="45">
        <v>0.25</v>
      </c>
      <c r="E75" s="4">
        <v>24</v>
      </c>
      <c r="F75" s="4">
        <v>9</v>
      </c>
      <c r="G75" s="4">
        <v>24</v>
      </c>
      <c r="H75" s="45">
        <v>6.077</v>
      </c>
      <c r="I75" s="4">
        <v>8.0000000000000004E-4</v>
      </c>
      <c r="J75" s="45">
        <v>-40.275700000000001</v>
      </c>
      <c r="K75" s="4">
        <v>1.8E-3</v>
      </c>
      <c r="L75" s="4">
        <v>4.9000000000000002E-2</v>
      </c>
      <c r="M75" s="4">
        <v>8.0000000000000002E-3</v>
      </c>
      <c r="N75" s="4">
        <v>-5.7999999999999996E-3</v>
      </c>
      <c r="O75" s="4">
        <v>2.0000000000000001E-4</v>
      </c>
      <c r="P75" s="4">
        <v>123.58</v>
      </c>
      <c r="Q75" s="4">
        <v>0.38</v>
      </c>
      <c r="R75" s="45">
        <f t="shared" si="4"/>
        <v>0.21454861111111112</v>
      </c>
      <c r="S75" s="22">
        <f>Q75*E75/G75^3</f>
        <v>6.5972222222222224E-4</v>
      </c>
    </row>
    <row r="76" spans="1:19">
      <c r="A76" s="44" t="s">
        <v>1564</v>
      </c>
      <c r="B76" s="45" t="s">
        <v>1565</v>
      </c>
      <c r="C76" s="45" t="s">
        <v>19</v>
      </c>
      <c r="D76" s="45">
        <v>0.25</v>
      </c>
      <c r="E76" s="4">
        <v>24</v>
      </c>
      <c r="F76" s="4">
        <v>9</v>
      </c>
      <c r="G76" s="4">
        <v>24</v>
      </c>
      <c r="H76" s="45">
        <v>5.9884000000000004</v>
      </c>
      <c r="I76" s="4">
        <v>2.0000000000000001E-4</v>
      </c>
      <c r="J76" s="45">
        <v>-40.065899999999999</v>
      </c>
      <c r="K76" s="4">
        <v>3.2000000000000002E-3</v>
      </c>
      <c r="L76" s="4">
        <v>6.8000000000000005E-2</v>
      </c>
      <c r="M76" s="4">
        <v>1.2999999999999999E-2</v>
      </c>
      <c r="N76" s="4">
        <v>-5.5999999999999999E-3</v>
      </c>
      <c r="O76" s="4">
        <v>1E-4</v>
      </c>
      <c r="P76" s="4">
        <v>126.05</v>
      </c>
      <c r="Q76" s="4">
        <v>0.16</v>
      </c>
      <c r="R76" s="45">
        <f t="shared" ref="R76:R213" si="11">P76*E76/G76^3</f>
        <v>0.21883680555555554</v>
      </c>
      <c r="S76" s="22">
        <f>Q76*E76/G76^3</f>
        <v>2.7777777777777778E-4</v>
      </c>
    </row>
    <row r="77" spans="1:19">
      <c r="A77" s="23" t="s">
        <v>1564</v>
      </c>
      <c r="B77" s="4" t="s">
        <v>1565</v>
      </c>
      <c r="C77" s="4" t="s">
        <v>19</v>
      </c>
      <c r="D77" s="4">
        <v>0.5</v>
      </c>
      <c r="E77" s="4">
        <v>24</v>
      </c>
      <c r="F77" s="4">
        <v>9</v>
      </c>
      <c r="G77" s="4">
        <v>24</v>
      </c>
      <c r="H77" s="39">
        <v>4.5960999999999999</v>
      </c>
      <c r="I77" s="4">
        <v>2.9999999999999997E-4</v>
      </c>
      <c r="J77" s="4">
        <v>-34.562199999999997</v>
      </c>
      <c r="K77" s="4">
        <v>2.3999999999999998E-3</v>
      </c>
      <c r="L77" s="4">
        <v>0.29099999999999998</v>
      </c>
      <c r="M77" s="4">
        <v>4.4999999999999998E-2</v>
      </c>
      <c r="N77" s="4">
        <v>-1.29E-2</v>
      </c>
      <c r="O77" s="4">
        <v>2.9999999999999997E-4</v>
      </c>
      <c r="P77" s="4">
        <v>101.98</v>
      </c>
      <c r="Q77" s="4">
        <v>0.62</v>
      </c>
      <c r="R77" s="4">
        <f t="shared" si="11"/>
        <v>0.17704861111111111</v>
      </c>
      <c r="S77" s="22">
        <f t="shared" si="8"/>
        <v>1.0763888888888889E-3</v>
      </c>
    </row>
    <row r="78" spans="1:19">
      <c r="A78" s="44" t="s">
        <v>1566</v>
      </c>
      <c r="B78" s="45" t="s">
        <v>1567</v>
      </c>
      <c r="C78" s="45" t="s">
        <v>30</v>
      </c>
      <c r="D78" s="45">
        <v>0.25</v>
      </c>
      <c r="E78" s="4">
        <v>24</v>
      </c>
      <c r="F78" s="4">
        <v>9</v>
      </c>
      <c r="G78" s="4">
        <v>24</v>
      </c>
      <c r="H78" s="45">
        <v>6.1254</v>
      </c>
      <c r="I78" s="4">
        <v>4.0000000000000002E-4</v>
      </c>
      <c r="J78" s="45">
        <v>-39.305999999999997</v>
      </c>
      <c r="K78" s="4">
        <v>1.1000000000000001E-3</v>
      </c>
      <c r="L78" s="4">
        <v>2.8000000000000001E-2</v>
      </c>
      <c r="M78" s="4">
        <v>2.1000000000000001E-2</v>
      </c>
      <c r="N78" s="4">
        <v>-5.0000000000000001E-3</v>
      </c>
      <c r="O78" s="4">
        <v>1E-4</v>
      </c>
      <c r="P78" s="4">
        <v>125.76</v>
      </c>
      <c r="Q78" s="4">
        <v>0.15</v>
      </c>
      <c r="R78" s="45">
        <f t="shared" si="11"/>
        <v>0.21833333333333335</v>
      </c>
      <c r="S78" s="22">
        <f>Q78*E78/G78^3</f>
        <v>2.6041666666666666E-4</v>
      </c>
    </row>
    <row r="79" spans="1:19">
      <c r="A79" s="23" t="s">
        <v>1566</v>
      </c>
      <c r="B79" s="4" t="s">
        <v>1567</v>
      </c>
      <c r="C79" s="4" t="s">
        <v>30</v>
      </c>
      <c r="D79" s="4">
        <v>0.5</v>
      </c>
      <c r="E79" s="4">
        <v>24</v>
      </c>
      <c r="F79" s="4">
        <v>9</v>
      </c>
      <c r="G79" s="4">
        <v>24</v>
      </c>
      <c r="H79" s="4">
        <v>4.9726999999999997</v>
      </c>
      <c r="I79" s="4">
        <v>6.9999999999999999E-4</v>
      </c>
      <c r="J79" s="4">
        <v>-31.674299999999999</v>
      </c>
      <c r="K79" s="4">
        <v>1.9E-3</v>
      </c>
      <c r="L79" s="4">
        <v>2.3E-2</v>
      </c>
      <c r="M79" s="4">
        <v>6.0000000000000001E-3</v>
      </c>
      <c r="N79" s="4">
        <v>-7.1999999999999998E-3</v>
      </c>
      <c r="O79" s="4">
        <v>2.0000000000000001E-4</v>
      </c>
      <c r="P79" s="4">
        <v>117.01</v>
      </c>
      <c r="Q79" s="4">
        <v>0.18</v>
      </c>
      <c r="R79" s="4">
        <f t="shared" si="11"/>
        <v>0.20314236111111114</v>
      </c>
      <c r="S79" s="22">
        <f t="shared" si="8"/>
        <v>3.1250000000000001E-4</v>
      </c>
    </row>
    <row r="80" spans="1:19">
      <c r="A80" s="44" t="s">
        <v>1568</v>
      </c>
      <c r="B80" s="45" t="s">
        <v>1569</v>
      </c>
      <c r="C80" s="45"/>
      <c r="D80" s="45">
        <v>0.25</v>
      </c>
      <c r="E80" s="4">
        <v>24</v>
      </c>
      <c r="F80" s="4">
        <v>9</v>
      </c>
      <c r="G80" s="4">
        <v>24</v>
      </c>
      <c r="H80" s="45">
        <v>6.0354000000000001</v>
      </c>
      <c r="I80" s="4">
        <v>2.0000000000000001E-4</v>
      </c>
      <c r="J80" s="45">
        <v>-39.232399999999998</v>
      </c>
      <c r="K80" s="4">
        <v>1.5E-3</v>
      </c>
      <c r="L80" s="4">
        <v>4.2999999999999997E-2</v>
      </c>
      <c r="M80" s="4">
        <v>3.0000000000000001E-3</v>
      </c>
      <c r="N80" s="4">
        <v>-5.1999999999999998E-3</v>
      </c>
      <c r="O80" s="4">
        <v>2.0000000000000001E-4</v>
      </c>
      <c r="P80" s="4">
        <v>127.53</v>
      </c>
      <c r="Q80" s="4">
        <v>0.25</v>
      </c>
      <c r="R80" s="45">
        <f t="shared" si="11"/>
        <v>0.22140625000000003</v>
      </c>
      <c r="S80" s="22">
        <f>Q80*E80/G80^3</f>
        <v>4.3402777777777775E-4</v>
      </c>
    </row>
    <row r="81" spans="1:19">
      <c r="A81" s="23" t="s">
        <v>1568</v>
      </c>
      <c r="B81" s="4" t="s">
        <v>1569</v>
      </c>
      <c r="D81" s="4">
        <v>0.5</v>
      </c>
      <c r="E81" s="4">
        <v>24</v>
      </c>
      <c r="F81" s="4">
        <v>9</v>
      </c>
      <c r="G81" s="4">
        <v>24</v>
      </c>
      <c r="H81" s="4">
        <v>4.7125000000000004</v>
      </c>
      <c r="I81" s="4">
        <v>1E-3</v>
      </c>
      <c r="J81" s="4">
        <v>-30.851500000000001</v>
      </c>
      <c r="K81" s="4">
        <v>3.2000000000000002E-3</v>
      </c>
      <c r="L81" s="4">
        <v>3.4000000000000002E-2</v>
      </c>
      <c r="M81" s="4">
        <v>2.5999999999999999E-2</v>
      </c>
      <c r="N81" s="4">
        <v>-6.7000000000000002E-3</v>
      </c>
      <c r="O81" s="4">
        <v>2.9999999999999997E-4</v>
      </c>
      <c r="P81" s="4">
        <v>126.2</v>
      </c>
      <c r="Q81" s="4">
        <v>0.16</v>
      </c>
      <c r="R81" s="4">
        <f t="shared" si="11"/>
        <v>0.21909722222222225</v>
      </c>
      <c r="S81" s="22">
        <f t="shared" si="8"/>
        <v>2.7777777777777778E-4</v>
      </c>
    </row>
    <row r="82" spans="1:19" ht="17" thickBot="1">
      <c r="A82" s="25" t="s">
        <v>1568</v>
      </c>
      <c r="B82" s="9" t="s">
        <v>1569</v>
      </c>
      <c r="C82" s="9"/>
      <c r="D82" s="9">
        <v>0.75</v>
      </c>
      <c r="E82" s="10">
        <v>24</v>
      </c>
      <c r="F82" s="10">
        <v>9</v>
      </c>
      <c r="G82" s="10">
        <v>24</v>
      </c>
      <c r="H82" s="107">
        <v>3.3999000000000001</v>
      </c>
      <c r="I82" s="106">
        <v>5.0000000000000001E-4</v>
      </c>
      <c r="J82" s="107">
        <v>-22.8691</v>
      </c>
      <c r="K82" s="106">
        <v>1.9E-3</v>
      </c>
      <c r="L82" s="106">
        <v>7.2999999999999995E-2</v>
      </c>
      <c r="M82" s="106">
        <v>1.4999999999999999E-2</v>
      </c>
      <c r="N82" s="106">
        <v>-1.0699999999999999E-2</v>
      </c>
      <c r="O82" s="106">
        <v>1E-4</v>
      </c>
      <c r="P82" s="106">
        <v>120.09</v>
      </c>
      <c r="Q82" s="106">
        <v>0.19</v>
      </c>
      <c r="R82" s="9">
        <f>P82*E82/G82^3</f>
        <v>0.20848958333333331</v>
      </c>
      <c r="S82" s="26">
        <f t="shared" si="8"/>
        <v>3.2986111111111112E-4</v>
      </c>
    </row>
    <row r="83" spans="1:19" ht="17" thickTop="1">
      <c r="A83" s="102" t="s">
        <v>1570</v>
      </c>
      <c r="B83" s="119" t="s">
        <v>1571</v>
      </c>
      <c r="C83" s="176" t="s">
        <v>17</v>
      </c>
      <c r="D83" s="119">
        <v>0.25</v>
      </c>
      <c r="E83" s="7">
        <v>24</v>
      </c>
      <c r="F83" s="7">
        <v>10</v>
      </c>
      <c r="G83" s="7">
        <v>24</v>
      </c>
      <c r="H83" s="119">
        <v>6.1904000000000003</v>
      </c>
      <c r="I83" s="7">
        <v>8.9999999999999998E-4</v>
      </c>
      <c r="J83" s="119">
        <v>-41.261699999999998</v>
      </c>
      <c r="K83" s="7">
        <v>3.0000000000000001E-3</v>
      </c>
      <c r="L83" s="7">
        <v>5.8999999999999997E-2</v>
      </c>
      <c r="M83" s="7">
        <v>1.2E-2</v>
      </c>
      <c r="N83" s="7">
        <v>-5.8999999999999999E-3</v>
      </c>
      <c r="O83" s="7">
        <v>2.0000000000000001E-4</v>
      </c>
      <c r="P83" s="7">
        <v>122.51</v>
      </c>
      <c r="Q83" s="7">
        <v>0.14000000000000001</v>
      </c>
      <c r="R83" s="119">
        <f t="shared" si="11"/>
        <v>0.21269097222222225</v>
      </c>
      <c r="S83" s="18">
        <f>Q83*E83/G83^3</f>
        <v>2.4305555555555558E-4</v>
      </c>
    </row>
    <row r="84" spans="1:19">
      <c r="A84" s="44" t="s">
        <v>1572</v>
      </c>
      <c r="B84" s="45" t="s">
        <v>1573</v>
      </c>
      <c r="C84" s="45" t="s">
        <v>19</v>
      </c>
      <c r="D84" s="45">
        <v>0.25</v>
      </c>
      <c r="E84" s="4">
        <v>24</v>
      </c>
      <c r="F84" s="4">
        <v>10</v>
      </c>
      <c r="G84" s="4">
        <v>24</v>
      </c>
      <c r="H84" s="45">
        <v>6.0963000000000003</v>
      </c>
      <c r="I84" s="4">
        <v>2.9999999999999997E-4</v>
      </c>
      <c r="J84" s="45">
        <v>-40.996699999999997</v>
      </c>
      <c r="K84" s="4">
        <v>4.0000000000000002E-4</v>
      </c>
      <c r="L84" s="4">
        <v>9.5000000000000001E-2</v>
      </c>
      <c r="M84" s="4">
        <v>1.7999999999999999E-2</v>
      </c>
      <c r="N84" s="4">
        <v>-5.4000000000000003E-3</v>
      </c>
      <c r="O84" s="4">
        <v>1E-4</v>
      </c>
      <c r="P84" s="4">
        <v>125.6</v>
      </c>
      <c r="Q84" s="4">
        <v>0.17</v>
      </c>
      <c r="R84" s="45">
        <f t="shared" si="11"/>
        <v>0.21805555555555553</v>
      </c>
      <c r="S84" s="22">
        <f>Q84*E84/G84^3</f>
        <v>2.9513888888888889E-4</v>
      </c>
    </row>
    <row r="85" spans="1:19">
      <c r="A85" s="23" t="s">
        <v>1572</v>
      </c>
      <c r="B85" s="4" t="s">
        <v>1573</v>
      </c>
      <c r="C85" s="4" t="s">
        <v>19</v>
      </c>
      <c r="D85" s="4">
        <v>0.5</v>
      </c>
      <c r="E85" s="4">
        <v>24</v>
      </c>
      <c r="F85" s="4">
        <v>10</v>
      </c>
      <c r="G85" s="4">
        <v>24</v>
      </c>
      <c r="H85" s="39">
        <v>4.7525000000000004</v>
      </c>
      <c r="I85" s="4">
        <v>4.0000000000000002E-4</v>
      </c>
      <c r="J85" s="4">
        <v>-36.9893</v>
      </c>
      <c r="K85" s="4">
        <v>1.4E-3</v>
      </c>
      <c r="L85" s="4">
        <v>0.218</v>
      </c>
      <c r="M85" s="4">
        <v>4.4999999999999998E-2</v>
      </c>
      <c r="N85" s="4">
        <v>-1.3100000000000001E-2</v>
      </c>
      <c r="O85" s="4">
        <v>1E-4</v>
      </c>
      <c r="P85" s="4">
        <v>98.24</v>
      </c>
      <c r="Q85" s="4">
        <v>1.2</v>
      </c>
      <c r="R85" s="4">
        <f t="shared" si="11"/>
        <v>0.17055555555555554</v>
      </c>
      <c r="S85" s="22">
        <f t="shared" si="8"/>
        <v>2.0833333333333333E-3</v>
      </c>
    </row>
    <row r="86" spans="1:19">
      <c r="A86" s="44" t="s">
        <v>1574</v>
      </c>
      <c r="B86" s="45" t="s">
        <v>1575</v>
      </c>
      <c r="C86" s="45" t="s">
        <v>30</v>
      </c>
      <c r="D86" s="45">
        <v>0.25</v>
      </c>
      <c r="E86" s="4">
        <v>24</v>
      </c>
      <c r="F86" s="4">
        <v>10</v>
      </c>
      <c r="G86" s="4">
        <v>24</v>
      </c>
      <c r="H86" s="45">
        <v>6.2563000000000004</v>
      </c>
      <c r="I86" s="4">
        <v>2.0000000000000001E-4</v>
      </c>
      <c r="J86" s="45">
        <v>-40.152299999999997</v>
      </c>
      <c r="K86" s="4">
        <v>1.1000000000000001E-3</v>
      </c>
      <c r="L86" s="4">
        <v>2.3E-2</v>
      </c>
      <c r="M86" s="4">
        <v>1E-3</v>
      </c>
      <c r="N86" s="4">
        <v>-5.0000000000000001E-3</v>
      </c>
      <c r="O86" s="4">
        <v>2.0000000000000001E-4</v>
      </c>
      <c r="P86" s="4">
        <v>125.24</v>
      </c>
      <c r="Q86" s="4">
        <v>0.3</v>
      </c>
      <c r="R86" s="45">
        <f t="shared" si="11"/>
        <v>0.21743055555555554</v>
      </c>
      <c r="S86" s="22">
        <f>Q86*E86/G86^3</f>
        <v>5.2083333333333333E-4</v>
      </c>
    </row>
    <row r="87" spans="1:19">
      <c r="A87" s="23" t="s">
        <v>1574</v>
      </c>
      <c r="B87" s="4" t="s">
        <v>1575</v>
      </c>
      <c r="C87" s="4" t="s">
        <v>30</v>
      </c>
      <c r="D87" s="4">
        <v>0.5</v>
      </c>
      <c r="E87" s="4">
        <v>24</v>
      </c>
      <c r="F87" s="4">
        <v>10</v>
      </c>
      <c r="G87" s="4">
        <v>24</v>
      </c>
      <c r="H87" s="4">
        <v>5.2403000000000004</v>
      </c>
      <c r="I87" s="4">
        <v>5.0000000000000001E-4</v>
      </c>
      <c r="J87" s="4">
        <v>-33.508800000000001</v>
      </c>
      <c r="K87" s="4">
        <v>2.3E-3</v>
      </c>
      <c r="L87" s="4">
        <v>2.5999999999999999E-2</v>
      </c>
      <c r="M87" s="4">
        <v>4.0000000000000001E-3</v>
      </c>
      <c r="N87" s="4">
        <v>-7.1000000000000004E-3</v>
      </c>
      <c r="O87" s="4">
        <v>0</v>
      </c>
      <c r="P87" s="4">
        <v>115.15</v>
      </c>
      <c r="Q87" s="4">
        <v>0.14000000000000001</v>
      </c>
      <c r="R87" s="4">
        <f t="shared" si="11"/>
        <v>0.19991319444444447</v>
      </c>
      <c r="S87" s="22">
        <f t="shared" si="8"/>
        <v>2.4305555555555558E-4</v>
      </c>
    </row>
    <row r="88" spans="1:19">
      <c r="A88" s="44" t="s">
        <v>1576</v>
      </c>
      <c r="B88" s="45" t="s">
        <v>1577</v>
      </c>
      <c r="C88" s="45"/>
      <c r="D88" s="45">
        <v>0.25</v>
      </c>
      <c r="E88" s="4">
        <v>24</v>
      </c>
      <c r="F88" s="4">
        <v>10</v>
      </c>
      <c r="G88" s="4">
        <v>24</v>
      </c>
      <c r="H88" s="45">
        <v>6.1643999999999997</v>
      </c>
      <c r="I88" s="4">
        <v>8.9999999999999998E-4</v>
      </c>
      <c r="J88" s="45">
        <v>-40.136499999999998</v>
      </c>
      <c r="K88" s="4">
        <v>3.5999999999999999E-3</v>
      </c>
      <c r="L88" s="4">
        <v>3.5999999999999997E-2</v>
      </c>
      <c r="M88" s="4">
        <v>7.0000000000000001E-3</v>
      </c>
      <c r="N88" s="4">
        <v>-5.0000000000000001E-3</v>
      </c>
      <c r="O88" s="4">
        <v>1E-4</v>
      </c>
      <c r="P88" s="4">
        <v>126.71</v>
      </c>
      <c r="Q88" s="4">
        <v>0.27</v>
      </c>
      <c r="R88" s="45">
        <f t="shared" si="11"/>
        <v>0.21998263888888889</v>
      </c>
      <c r="S88" s="22">
        <f>Q88*E88/G88^3</f>
        <v>4.6875000000000004E-4</v>
      </c>
    </row>
    <row r="89" spans="1:19">
      <c r="A89" s="23" t="s">
        <v>1576</v>
      </c>
      <c r="B89" s="4" t="s">
        <v>1577</v>
      </c>
      <c r="D89" s="4">
        <v>0.5</v>
      </c>
      <c r="E89" s="4">
        <v>24</v>
      </c>
      <c r="F89" s="4">
        <v>10</v>
      </c>
      <c r="G89" s="4">
        <v>24</v>
      </c>
      <c r="H89" s="4">
        <v>4.9667000000000003</v>
      </c>
      <c r="I89" s="4">
        <v>1E-4</v>
      </c>
      <c r="J89" s="4">
        <v>-33.064399999999999</v>
      </c>
      <c r="K89" s="4">
        <v>6.9999999999999999E-4</v>
      </c>
      <c r="L89" s="4">
        <v>0.13100000000000001</v>
      </c>
      <c r="M89" s="4">
        <v>0.01</v>
      </c>
      <c r="N89" s="4">
        <v>-8.0000000000000002E-3</v>
      </c>
      <c r="O89" s="4">
        <v>2.9999999999999997E-4</v>
      </c>
      <c r="P89" s="4">
        <v>118.75</v>
      </c>
      <c r="Q89" s="4">
        <v>0.3</v>
      </c>
      <c r="R89" s="4">
        <f t="shared" si="11"/>
        <v>0.20616319444444445</v>
      </c>
      <c r="S89" s="22">
        <f t="shared" si="8"/>
        <v>5.2083333333333333E-4</v>
      </c>
    </row>
    <row r="90" spans="1:19">
      <c r="A90" s="44" t="s">
        <v>1578</v>
      </c>
      <c r="B90" s="45" t="s">
        <v>1579</v>
      </c>
      <c r="C90" s="45"/>
      <c r="D90" s="45">
        <v>0.25</v>
      </c>
      <c r="E90" s="4">
        <v>24</v>
      </c>
      <c r="F90" s="4">
        <v>10</v>
      </c>
      <c r="G90" s="4">
        <v>24</v>
      </c>
      <c r="H90" s="45">
        <v>6.1581999999999999</v>
      </c>
      <c r="I90" s="4">
        <v>2.9999999999999997E-4</v>
      </c>
      <c r="J90" s="45">
        <v>-39.823999999999998</v>
      </c>
      <c r="K90" s="4">
        <v>3.3E-3</v>
      </c>
      <c r="L90" s="4">
        <v>4.8000000000000001E-2</v>
      </c>
      <c r="M90" s="4">
        <v>1.0999999999999999E-2</v>
      </c>
      <c r="N90" s="4">
        <v>-5.3E-3</v>
      </c>
      <c r="O90" s="4">
        <v>2.9999999999999997E-4</v>
      </c>
      <c r="P90" s="4">
        <v>126.89</v>
      </c>
      <c r="Q90" s="4">
        <v>0.27</v>
      </c>
      <c r="R90" s="45">
        <f t="shared" si="11"/>
        <v>0.22029513888888891</v>
      </c>
      <c r="S90" s="22">
        <f>Q90*E90/G90^3</f>
        <v>4.6875000000000004E-4</v>
      </c>
    </row>
    <row r="91" spans="1:19">
      <c r="A91" s="23" t="s">
        <v>1578</v>
      </c>
      <c r="B91" s="4" t="s">
        <v>1579</v>
      </c>
      <c r="D91" s="4">
        <v>0.5</v>
      </c>
      <c r="E91" s="4">
        <v>24</v>
      </c>
      <c r="F91" s="4">
        <v>10</v>
      </c>
      <c r="G91" s="4">
        <v>24</v>
      </c>
      <c r="H91" s="4">
        <v>4.9577</v>
      </c>
      <c r="I91" s="4">
        <v>2.0000000000000001E-4</v>
      </c>
      <c r="J91" s="4">
        <v>-32.106499999999997</v>
      </c>
      <c r="K91" s="4">
        <v>2.0000000000000001E-4</v>
      </c>
      <c r="L91" s="4">
        <v>7.5999999999999998E-2</v>
      </c>
      <c r="M91" s="4">
        <v>2.1999999999999999E-2</v>
      </c>
      <c r="N91" s="4">
        <v>-6.7000000000000002E-3</v>
      </c>
      <c r="O91" s="4">
        <v>2.0000000000000001E-4</v>
      </c>
      <c r="P91" s="4">
        <v>125.17</v>
      </c>
      <c r="Q91" s="4">
        <v>0.12</v>
      </c>
      <c r="R91" s="4">
        <f t="shared" si="11"/>
        <v>0.21730902777777777</v>
      </c>
      <c r="S91" s="22">
        <f t="shared" si="8"/>
        <v>2.0833333333333332E-4</v>
      </c>
    </row>
    <row r="92" spans="1:19">
      <c r="A92" s="28" t="s">
        <v>1578</v>
      </c>
      <c r="B92" s="29" t="s">
        <v>1579</v>
      </c>
      <c r="C92" s="29"/>
      <c r="D92" s="29">
        <v>0.75</v>
      </c>
      <c r="E92" s="4">
        <v>24</v>
      </c>
      <c r="F92" s="4">
        <v>10</v>
      </c>
      <c r="G92" s="4">
        <v>24</v>
      </c>
      <c r="H92" s="178">
        <v>3.7772000000000001</v>
      </c>
      <c r="I92" s="4">
        <v>2.9999999999999997E-4</v>
      </c>
      <c r="J92" s="29">
        <v>-24.922599999999999</v>
      </c>
      <c r="K92" s="4">
        <v>4.0000000000000002E-4</v>
      </c>
      <c r="L92" s="4">
        <v>8.5999999999999993E-2</v>
      </c>
      <c r="M92" s="4">
        <v>8.9999999999999993E-3</v>
      </c>
      <c r="N92" s="4">
        <v>-1.04E-2</v>
      </c>
      <c r="O92" s="4">
        <v>5.0000000000000001E-4</v>
      </c>
      <c r="P92" s="4">
        <v>116.95</v>
      </c>
      <c r="Q92" s="4">
        <v>0.4</v>
      </c>
      <c r="R92" s="29">
        <f t="shared" si="11"/>
        <v>0.20303819444444446</v>
      </c>
      <c r="S92" s="22">
        <f t="shared" si="8"/>
        <v>6.9444444444444458E-4</v>
      </c>
    </row>
    <row r="93" spans="1:19">
      <c r="A93" s="44" t="s">
        <v>1580</v>
      </c>
      <c r="B93" s="45" t="s">
        <v>1581</v>
      </c>
      <c r="C93" s="45"/>
      <c r="D93" s="45">
        <v>0.25</v>
      </c>
      <c r="E93" s="4">
        <v>24</v>
      </c>
      <c r="F93" s="4">
        <v>10</v>
      </c>
      <c r="G93" s="4">
        <v>24</v>
      </c>
      <c r="H93" s="45">
        <v>6.1947999999999999</v>
      </c>
      <c r="I93" s="4">
        <v>8.9999999999999998E-4</v>
      </c>
      <c r="J93" s="45">
        <v>-40.109900000000003</v>
      </c>
      <c r="K93" s="4">
        <v>3.0000000000000001E-3</v>
      </c>
      <c r="L93" s="4">
        <v>8.2000000000000003E-2</v>
      </c>
      <c r="M93" s="4">
        <v>2.4E-2</v>
      </c>
      <c r="N93" s="4">
        <v>-4.7999999999999996E-3</v>
      </c>
      <c r="O93" s="4">
        <v>1E-4</v>
      </c>
      <c r="P93" s="4">
        <v>126.4</v>
      </c>
      <c r="Q93" s="4">
        <v>0.1</v>
      </c>
      <c r="R93" s="45">
        <f t="shared" si="11"/>
        <v>0.21944444444444447</v>
      </c>
      <c r="S93" s="22">
        <f>Q93*E93/G93^3</f>
        <v>1.7361111111111114E-4</v>
      </c>
    </row>
    <row r="94" spans="1:19" ht="17" thickBot="1">
      <c r="A94" s="23" t="s">
        <v>1580</v>
      </c>
      <c r="B94" s="4" t="s">
        <v>1581</v>
      </c>
      <c r="D94" s="4">
        <v>0.5</v>
      </c>
      <c r="E94" s="4">
        <v>24</v>
      </c>
      <c r="F94" s="4">
        <v>10</v>
      </c>
      <c r="G94" s="4">
        <v>24</v>
      </c>
      <c r="H94" s="4">
        <v>5.0430999999999999</v>
      </c>
      <c r="I94" s="4">
        <v>2.9999999999999997E-4</v>
      </c>
      <c r="J94" s="4">
        <v>-33.157499999999999</v>
      </c>
      <c r="K94" s="4">
        <v>1.1999999999999999E-3</v>
      </c>
      <c r="L94" s="4">
        <v>8.2000000000000003E-2</v>
      </c>
      <c r="M94" s="4">
        <v>5.0000000000000001E-3</v>
      </c>
      <c r="N94" s="4">
        <v>-8.5000000000000006E-3</v>
      </c>
      <c r="O94" s="4">
        <v>2.0000000000000001E-4</v>
      </c>
      <c r="P94" s="4">
        <v>115.99</v>
      </c>
      <c r="Q94" s="4">
        <v>0.18</v>
      </c>
      <c r="R94" s="4">
        <f t="shared" si="11"/>
        <v>0.20137152777777775</v>
      </c>
      <c r="S94" s="22">
        <f t="shared" si="8"/>
        <v>3.1250000000000001E-4</v>
      </c>
    </row>
    <row r="95" spans="1:19" ht="17" thickTop="1">
      <c r="A95" s="102" t="s">
        <v>1582</v>
      </c>
      <c r="B95" s="119" t="s">
        <v>1583</v>
      </c>
      <c r="C95" s="176" t="s">
        <v>17</v>
      </c>
      <c r="D95" s="119">
        <v>0.25</v>
      </c>
      <c r="E95" s="7">
        <v>24</v>
      </c>
      <c r="F95" s="7">
        <v>11</v>
      </c>
      <c r="G95" s="7">
        <v>24</v>
      </c>
      <c r="H95" s="119">
        <v>6.3125999999999998</v>
      </c>
      <c r="I95" s="7">
        <v>8.0000000000000004E-4</v>
      </c>
      <c r="J95" s="119">
        <v>-42.310299999999998</v>
      </c>
      <c r="K95" s="7">
        <v>2.2000000000000001E-3</v>
      </c>
      <c r="L95" s="7">
        <v>7.9000000000000001E-2</v>
      </c>
      <c r="M95" s="7">
        <v>6.0000000000000001E-3</v>
      </c>
      <c r="N95" s="7">
        <v>-6.0000000000000001E-3</v>
      </c>
      <c r="O95" s="7">
        <v>1E-4</v>
      </c>
      <c r="P95" s="7">
        <v>121.49</v>
      </c>
      <c r="Q95" s="7">
        <v>0.26</v>
      </c>
      <c r="R95" s="119">
        <f t="shared" si="11"/>
        <v>0.21092013888888886</v>
      </c>
      <c r="S95" s="18">
        <f>Q95*E95/G95^3</f>
        <v>4.5138888888888892E-4</v>
      </c>
    </row>
    <row r="96" spans="1:19">
      <c r="A96" s="44" t="s">
        <v>1584</v>
      </c>
      <c r="B96" s="45" t="s">
        <v>1585</v>
      </c>
      <c r="C96" s="45" t="s">
        <v>19</v>
      </c>
      <c r="D96" s="45">
        <v>0.25</v>
      </c>
      <c r="E96" s="4">
        <v>24</v>
      </c>
      <c r="F96" s="4">
        <v>11</v>
      </c>
      <c r="G96" s="4">
        <v>24</v>
      </c>
      <c r="H96" s="45">
        <v>6.2145999999999999</v>
      </c>
      <c r="I96" s="4">
        <v>4.0000000000000002E-4</v>
      </c>
      <c r="J96" s="45">
        <v>-41.999299999999998</v>
      </c>
      <c r="K96" s="4">
        <v>5.0000000000000001E-4</v>
      </c>
      <c r="L96" s="4">
        <v>0.09</v>
      </c>
      <c r="M96" s="4">
        <v>1.0999999999999999E-2</v>
      </c>
      <c r="N96" s="4">
        <v>-5.7000000000000002E-3</v>
      </c>
      <c r="O96" s="4">
        <v>1E-4</v>
      </c>
      <c r="P96" s="4">
        <v>124.6</v>
      </c>
      <c r="Q96" s="4">
        <v>0.2</v>
      </c>
      <c r="R96" s="45">
        <f t="shared" si="11"/>
        <v>0.21631944444444443</v>
      </c>
      <c r="S96" s="22">
        <f>Q96*E96/G96^3</f>
        <v>3.4722222222222229E-4</v>
      </c>
    </row>
    <row r="97" spans="1:19">
      <c r="A97" s="44" t="s">
        <v>1586</v>
      </c>
      <c r="B97" s="45" t="s">
        <v>1587</v>
      </c>
      <c r="C97" s="45" t="s">
        <v>30</v>
      </c>
      <c r="D97" s="45">
        <v>0.25</v>
      </c>
      <c r="E97" s="4">
        <v>24</v>
      </c>
      <c r="F97" s="4">
        <v>11</v>
      </c>
      <c r="G97" s="4">
        <v>24</v>
      </c>
      <c r="H97" s="45">
        <v>6.3948999999999998</v>
      </c>
      <c r="I97" s="4">
        <v>6.9999999999999999E-4</v>
      </c>
      <c r="J97" s="45">
        <v>-41.0989</v>
      </c>
      <c r="K97" s="4">
        <v>3.7000000000000002E-3</v>
      </c>
      <c r="L97" s="4">
        <v>2.1000000000000001E-2</v>
      </c>
      <c r="M97" s="4">
        <v>1.0999999999999999E-2</v>
      </c>
      <c r="N97" s="4">
        <v>-4.8999999999999998E-3</v>
      </c>
      <c r="O97" s="4">
        <v>2.0000000000000001E-4</v>
      </c>
      <c r="P97" s="4">
        <v>124.81</v>
      </c>
      <c r="Q97" s="4">
        <v>0.28000000000000003</v>
      </c>
      <c r="R97" s="45">
        <f t="shared" si="11"/>
        <v>0.21668402777777779</v>
      </c>
      <c r="S97" s="22">
        <f>Q97*E97/G97^3</f>
        <v>4.8611111111111115E-4</v>
      </c>
    </row>
    <row r="98" spans="1:19">
      <c r="A98" s="23" t="s">
        <v>1586</v>
      </c>
      <c r="B98" s="4" t="s">
        <v>1587</v>
      </c>
      <c r="C98" s="4" t="s">
        <v>30</v>
      </c>
      <c r="D98" s="4">
        <v>0.5</v>
      </c>
      <c r="E98" s="4">
        <v>24</v>
      </c>
      <c r="F98" s="4">
        <v>11</v>
      </c>
      <c r="G98" s="4">
        <v>24</v>
      </c>
      <c r="H98" s="4">
        <v>5.5208000000000004</v>
      </c>
      <c r="I98" s="4">
        <v>1E-3</v>
      </c>
      <c r="J98" s="4">
        <v>-35.5259</v>
      </c>
      <c r="K98" s="4">
        <v>2.7000000000000001E-3</v>
      </c>
      <c r="L98" s="4">
        <v>3.2000000000000001E-2</v>
      </c>
      <c r="M98" s="4">
        <v>4.3999999999999997E-2</v>
      </c>
      <c r="N98" s="4">
        <v>-7.3000000000000001E-3</v>
      </c>
      <c r="O98" s="4">
        <v>2.9999999999999997E-4</v>
      </c>
      <c r="P98" s="4">
        <v>113.14</v>
      </c>
      <c r="Q98" s="4">
        <v>0.74</v>
      </c>
      <c r="R98" s="4">
        <f t="shared" si="11"/>
        <v>0.19642361111111112</v>
      </c>
      <c r="S98" s="22">
        <f t="shared" si="8"/>
        <v>1.284722222222222E-3</v>
      </c>
    </row>
    <row r="99" spans="1:19">
      <c r="A99" s="44" t="s">
        <v>1588</v>
      </c>
      <c r="B99" s="45" t="s">
        <v>1589</v>
      </c>
      <c r="C99" s="45"/>
      <c r="D99" s="45">
        <v>0.25</v>
      </c>
      <c r="E99" s="4">
        <v>24</v>
      </c>
      <c r="F99" s="4">
        <v>11</v>
      </c>
      <c r="G99" s="4">
        <v>24</v>
      </c>
      <c r="H99" s="45">
        <v>6.327</v>
      </c>
      <c r="I99" s="4">
        <v>5.9999999999999995E-4</v>
      </c>
      <c r="J99" s="45">
        <v>-40.923299999999998</v>
      </c>
      <c r="K99" s="4">
        <v>1.6000000000000001E-3</v>
      </c>
      <c r="L99" s="4">
        <v>5.5E-2</v>
      </c>
      <c r="M99" s="4">
        <v>2E-3</v>
      </c>
      <c r="N99" s="4">
        <v>-4.7999999999999996E-3</v>
      </c>
      <c r="O99" s="4">
        <v>0</v>
      </c>
      <c r="P99" s="4">
        <v>125.85</v>
      </c>
      <c r="Q99" s="4">
        <v>0.17</v>
      </c>
      <c r="R99" s="45">
        <f t="shared" si="11"/>
        <v>0.21848958333333332</v>
      </c>
      <c r="S99" s="22">
        <f>Q99*E99/G99^3</f>
        <v>2.9513888888888889E-4</v>
      </c>
    </row>
    <row r="100" spans="1:19">
      <c r="A100" s="23" t="s">
        <v>1588</v>
      </c>
      <c r="B100" s="4" t="s">
        <v>1589</v>
      </c>
      <c r="D100" s="4">
        <v>0.5</v>
      </c>
      <c r="E100" s="4">
        <v>24</v>
      </c>
      <c r="F100" s="4">
        <v>11</v>
      </c>
      <c r="G100" s="4">
        <v>24</v>
      </c>
      <c r="H100" s="4">
        <v>5.2926000000000002</v>
      </c>
      <c r="I100" s="4">
        <v>4.0000000000000002E-4</v>
      </c>
      <c r="J100" s="4">
        <v>-34.731999999999999</v>
      </c>
      <c r="K100" s="4">
        <v>1.6999999999999999E-3</v>
      </c>
      <c r="L100" s="4">
        <v>5.3999999999999999E-2</v>
      </c>
      <c r="M100" s="4">
        <v>1.2E-2</v>
      </c>
      <c r="N100" s="4">
        <v>-7.7000000000000002E-3</v>
      </c>
      <c r="O100" s="4">
        <v>1E-4</v>
      </c>
      <c r="P100" s="4">
        <v>116.8</v>
      </c>
      <c r="Q100" s="4">
        <v>0.35</v>
      </c>
      <c r="R100" s="4">
        <f t="shared" si="11"/>
        <v>0.20277777777777775</v>
      </c>
      <c r="S100" s="22">
        <f t="shared" si="8"/>
        <v>6.0763888888888879E-4</v>
      </c>
    </row>
    <row r="101" spans="1:19">
      <c r="A101" s="44" t="s">
        <v>1590</v>
      </c>
      <c r="B101" s="45" t="s">
        <v>1591</v>
      </c>
      <c r="C101" s="45"/>
      <c r="D101" s="45">
        <v>0.25</v>
      </c>
      <c r="E101" s="4">
        <v>24</v>
      </c>
      <c r="F101" s="4">
        <v>11</v>
      </c>
      <c r="G101" s="4">
        <v>24</v>
      </c>
      <c r="H101" s="48">
        <v>6.3253000000000004</v>
      </c>
      <c r="I101" s="4">
        <v>2.9999999999999997E-4</v>
      </c>
      <c r="J101" s="45">
        <v>-40.8521</v>
      </c>
      <c r="K101" s="4">
        <v>5.9999999999999995E-4</v>
      </c>
      <c r="L101" s="4">
        <v>2.9000000000000001E-2</v>
      </c>
      <c r="M101" s="4">
        <v>3.0000000000000001E-3</v>
      </c>
      <c r="N101" s="4">
        <v>-4.7999999999999996E-3</v>
      </c>
      <c r="O101" s="4">
        <v>1E-4</v>
      </c>
      <c r="P101" s="4">
        <v>126.92</v>
      </c>
      <c r="Q101" s="4">
        <v>0.1</v>
      </c>
      <c r="R101" s="45">
        <f t="shared" si="11"/>
        <v>0.22034722222222222</v>
      </c>
      <c r="S101" s="22">
        <f>Q101*E101/G101^3</f>
        <v>1.7361111111111114E-4</v>
      </c>
    </row>
    <row r="102" spans="1:19">
      <c r="A102" s="23" t="s">
        <v>1590</v>
      </c>
      <c r="B102" s="4" t="s">
        <v>1591</v>
      </c>
      <c r="D102" s="4">
        <v>0.5</v>
      </c>
      <c r="E102" s="4">
        <v>24</v>
      </c>
      <c r="F102" s="4">
        <v>11</v>
      </c>
      <c r="G102" s="4">
        <v>24</v>
      </c>
      <c r="H102" s="4">
        <v>5.2896999999999998</v>
      </c>
      <c r="I102" s="4">
        <v>5.9999999999999995E-4</v>
      </c>
      <c r="J102" s="4">
        <v>-34.296100000000003</v>
      </c>
      <c r="K102" s="4">
        <v>2E-3</v>
      </c>
      <c r="L102" s="4">
        <v>4.5999999999999999E-2</v>
      </c>
      <c r="M102" s="4">
        <v>1.0999999999999999E-2</v>
      </c>
      <c r="N102" s="4">
        <v>-6.7000000000000002E-3</v>
      </c>
      <c r="O102" s="4">
        <v>0</v>
      </c>
      <c r="P102" s="4">
        <v>122.04</v>
      </c>
      <c r="Q102" s="4">
        <v>0.1</v>
      </c>
      <c r="R102" s="4">
        <f t="shared" si="11"/>
        <v>0.21187500000000001</v>
      </c>
      <c r="S102" s="22">
        <f t="shared" si="8"/>
        <v>1.7361111111111114E-4</v>
      </c>
    </row>
    <row r="103" spans="1:19">
      <c r="A103" s="28" t="s">
        <v>1590</v>
      </c>
      <c r="B103" s="29" t="s">
        <v>1591</v>
      </c>
      <c r="C103" s="29"/>
      <c r="D103" s="29">
        <v>0.75</v>
      </c>
      <c r="E103" s="4">
        <v>24</v>
      </c>
      <c r="F103" s="4">
        <v>11</v>
      </c>
      <c r="G103" s="4">
        <v>24</v>
      </c>
      <c r="H103" s="41">
        <v>4.2615999999999996</v>
      </c>
      <c r="I103" s="39">
        <v>2.9999999999999997E-4</v>
      </c>
      <c r="J103" s="41">
        <v>-28.557099999999998</v>
      </c>
      <c r="K103" s="39">
        <v>2.0000000000000001E-4</v>
      </c>
      <c r="L103" s="39">
        <v>0.11</v>
      </c>
      <c r="M103" s="39">
        <v>8.0000000000000002E-3</v>
      </c>
      <c r="N103" s="39">
        <v>-1.2200000000000001E-2</v>
      </c>
      <c r="O103" s="39">
        <v>1E-4</v>
      </c>
      <c r="P103" s="39">
        <v>105.57</v>
      </c>
      <c r="Q103" s="39">
        <v>0.2</v>
      </c>
      <c r="R103" s="29">
        <f t="shared" si="11"/>
        <v>0.18328124999999998</v>
      </c>
      <c r="S103" s="22">
        <f t="shared" si="8"/>
        <v>3.4722222222222229E-4</v>
      </c>
    </row>
    <row r="104" spans="1:19">
      <c r="A104" s="44" t="s">
        <v>1592</v>
      </c>
      <c r="B104" s="45" t="s">
        <v>1593</v>
      </c>
      <c r="C104" s="45"/>
      <c r="D104" s="45">
        <v>0.25</v>
      </c>
      <c r="E104" s="4">
        <v>24</v>
      </c>
      <c r="F104" s="4">
        <v>11</v>
      </c>
      <c r="G104" s="4">
        <v>24</v>
      </c>
      <c r="H104" s="48">
        <v>6.2965999999999998</v>
      </c>
      <c r="I104" s="4">
        <v>8.0000000000000004E-4</v>
      </c>
      <c r="J104" s="45">
        <v>-41.016599999999997</v>
      </c>
      <c r="K104" s="4">
        <v>1.8E-3</v>
      </c>
      <c r="L104" s="4">
        <v>3.1E-2</v>
      </c>
      <c r="M104" s="4">
        <v>8.9999999999999993E-3</v>
      </c>
      <c r="N104" s="4">
        <v>-5.0000000000000001E-3</v>
      </c>
      <c r="O104" s="4">
        <v>1E-4</v>
      </c>
      <c r="P104" s="4">
        <v>126.75</v>
      </c>
      <c r="Q104" s="4">
        <v>0.17</v>
      </c>
      <c r="R104" s="45">
        <f t="shared" si="11"/>
        <v>0.22005208333333334</v>
      </c>
      <c r="S104" s="22">
        <f>Q104*E104/G104^3</f>
        <v>2.9513888888888889E-4</v>
      </c>
    </row>
    <row r="105" spans="1:19">
      <c r="A105" s="23" t="s">
        <v>1592</v>
      </c>
      <c r="B105" s="4" t="s">
        <v>1593</v>
      </c>
      <c r="D105" s="4">
        <v>0.5</v>
      </c>
      <c r="E105" s="4">
        <v>24</v>
      </c>
      <c r="F105" s="4">
        <v>11</v>
      </c>
      <c r="G105" s="4">
        <v>24</v>
      </c>
      <c r="H105" s="4">
        <v>5.2363</v>
      </c>
      <c r="I105" s="4">
        <v>1E-4</v>
      </c>
      <c r="J105" s="4">
        <v>-34.711799999999997</v>
      </c>
      <c r="K105" s="4">
        <v>2E-3</v>
      </c>
      <c r="L105" s="4">
        <v>5.7000000000000002E-2</v>
      </c>
      <c r="M105" s="4">
        <v>5.0000000000000001E-3</v>
      </c>
      <c r="N105" s="4">
        <v>-6.6E-3</v>
      </c>
      <c r="O105" s="4">
        <v>1E-4</v>
      </c>
      <c r="P105" s="4">
        <v>122.26</v>
      </c>
      <c r="Q105" s="4">
        <v>0.2</v>
      </c>
      <c r="R105" s="4">
        <f t="shared" si="11"/>
        <v>0.21225694444444446</v>
      </c>
      <c r="S105" s="22">
        <f t="shared" si="8"/>
        <v>3.4722222222222229E-4</v>
      </c>
    </row>
    <row r="106" spans="1:19">
      <c r="A106" s="44" t="s">
        <v>1594</v>
      </c>
      <c r="B106" s="45" t="s">
        <v>1595</v>
      </c>
      <c r="C106" s="45"/>
      <c r="D106" s="45">
        <v>0.25</v>
      </c>
      <c r="E106" s="4">
        <v>24</v>
      </c>
      <c r="F106" s="4">
        <v>11</v>
      </c>
      <c r="G106" s="4">
        <v>24</v>
      </c>
      <c r="H106" s="48">
        <v>6.2805</v>
      </c>
      <c r="I106" s="4">
        <v>2.0000000000000001E-4</v>
      </c>
      <c r="J106" s="45">
        <v>-40.939100000000003</v>
      </c>
      <c r="K106" s="4">
        <v>1E-4</v>
      </c>
      <c r="L106" s="4">
        <v>0.04</v>
      </c>
      <c r="M106" s="4">
        <v>0.01</v>
      </c>
      <c r="N106" s="4">
        <v>-4.7999999999999996E-3</v>
      </c>
      <c r="O106" s="4">
        <v>2.9999999999999997E-4</v>
      </c>
      <c r="P106" s="4">
        <v>127.36</v>
      </c>
      <c r="Q106" s="4">
        <v>0.33</v>
      </c>
      <c r="R106" s="45">
        <f t="shared" si="11"/>
        <v>0.22111111111111109</v>
      </c>
      <c r="S106" s="22">
        <f>Q106*E106/G106^3</f>
        <v>5.7291666666666667E-4</v>
      </c>
    </row>
    <row r="107" spans="1:19">
      <c r="A107" s="23" t="s">
        <v>1594</v>
      </c>
      <c r="B107" s="4" t="s">
        <v>1595</v>
      </c>
      <c r="D107" s="4">
        <v>0.5</v>
      </c>
      <c r="E107" s="4">
        <v>24</v>
      </c>
      <c r="F107" s="4">
        <v>11</v>
      </c>
      <c r="G107" s="4">
        <v>24</v>
      </c>
      <c r="H107" s="4">
        <v>5.1996000000000002</v>
      </c>
      <c r="I107" s="4">
        <v>8.0000000000000004E-4</v>
      </c>
      <c r="J107" s="4">
        <v>-34.409300000000002</v>
      </c>
      <c r="K107" s="4">
        <v>2.2000000000000001E-3</v>
      </c>
      <c r="L107" s="4">
        <v>6.0999999999999999E-2</v>
      </c>
      <c r="M107" s="4">
        <v>0.01</v>
      </c>
      <c r="N107" s="4">
        <v>-6.6E-3</v>
      </c>
      <c r="O107" s="4">
        <v>1E-4</v>
      </c>
      <c r="P107" s="4">
        <v>123.98</v>
      </c>
      <c r="Q107" s="4">
        <v>0.13</v>
      </c>
      <c r="R107" s="4">
        <f t="shared" si="11"/>
        <v>0.21524305555555556</v>
      </c>
      <c r="S107" s="22">
        <f t="shared" si="8"/>
        <v>2.2569444444444446E-4</v>
      </c>
    </row>
    <row r="108" spans="1:19" ht="17" thickBot="1">
      <c r="A108" s="25" t="s">
        <v>1594</v>
      </c>
      <c r="B108" s="9" t="s">
        <v>1595</v>
      </c>
      <c r="C108" s="9"/>
      <c r="D108" s="9">
        <v>0.75</v>
      </c>
      <c r="E108" s="10">
        <v>24</v>
      </c>
      <c r="F108" s="10">
        <v>11</v>
      </c>
      <c r="G108" s="10">
        <v>24</v>
      </c>
      <c r="H108" s="107">
        <v>4.1192000000000002</v>
      </c>
      <c r="I108" s="10">
        <v>8.9999999999999998E-4</v>
      </c>
      <c r="J108" s="9">
        <v>-28.565899999999999</v>
      </c>
      <c r="K108" s="10">
        <v>2.0999999999999999E-3</v>
      </c>
      <c r="L108" s="10">
        <v>0.13400000000000001</v>
      </c>
      <c r="M108" s="10">
        <v>1.4E-2</v>
      </c>
      <c r="N108" s="10">
        <v>-1.11E-2</v>
      </c>
      <c r="O108" s="10">
        <v>4.0000000000000002E-4</v>
      </c>
      <c r="P108" s="10">
        <v>112.44</v>
      </c>
      <c r="Q108" s="10">
        <v>0.66</v>
      </c>
      <c r="R108" s="9">
        <f t="shared" si="11"/>
        <v>0.19520833333333332</v>
      </c>
      <c r="S108" s="26">
        <f t="shared" si="8"/>
        <v>1.1458333333333333E-3</v>
      </c>
    </row>
    <row r="109" spans="1:19" ht="17" thickTop="1">
      <c r="A109" s="102" t="s">
        <v>1596</v>
      </c>
      <c r="B109" s="119" t="s">
        <v>1597</v>
      </c>
      <c r="C109" s="176" t="s">
        <v>17</v>
      </c>
      <c r="D109" s="119">
        <v>0.25</v>
      </c>
      <c r="E109" s="7">
        <v>24</v>
      </c>
      <c r="F109" s="7">
        <v>12</v>
      </c>
      <c r="G109" s="7">
        <v>24</v>
      </c>
      <c r="H109" s="119">
        <v>6.4438000000000004</v>
      </c>
      <c r="I109" s="7">
        <v>2.9999999999999997E-4</v>
      </c>
      <c r="J109" s="119">
        <v>-43.416499999999999</v>
      </c>
      <c r="K109" s="7">
        <v>1.5E-3</v>
      </c>
      <c r="L109" s="7">
        <v>0.10199999999999999</v>
      </c>
      <c r="M109" s="7">
        <v>0.02</v>
      </c>
      <c r="N109" s="7">
        <v>-6.1000000000000004E-3</v>
      </c>
      <c r="O109" s="7">
        <v>1E-4</v>
      </c>
      <c r="P109" s="7">
        <v>120.14</v>
      </c>
      <c r="Q109" s="7">
        <v>0.19</v>
      </c>
      <c r="R109" s="119">
        <f t="shared" si="11"/>
        <v>0.20857638888888891</v>
      </c>
      <c r="S109" s="18">
        <f t="shared" si="8"/>
        <v>3.2986111111111112E-4</v>
      </c>
    </row>
    <row r="110" spans="1:19">
      <c r="A110" s="44" t="s">
        <v>1598</v>
      </c>
      <c r="B110" s="45" t="s">
        <v>1599</v>
      </c>
      <c r="C110" s="45" t="s">
        <v>19</v>
      </c>
      <c r="D110" s="45">
        <v>0.25</v>
      </c>
      <c r="E110" s="4">
        <v>24</v>
      </c>
      <c r="F110" s="4">
        <v>12</v>
      </c>
      <c r="G110" s="4">
        <v>24</v>
      </c>
      <c r="H110" s="45">
        <v>6.3434999999999997</v>
      </c>
      <c r="I110" s="4">
        <v>8.9999999999999998E-4</v>
      </c>
      <c r="J110" s="45">
        <v>-43.058799999999998</v>
      </c>
      <c r="K110" s="4">
        <v>2.3999999999999998E-3</v>
      </c>
      <c r="L110" s="4">
        <v>8.2000000000000003E-2</v>
      </c>
      <c r="M110" s="4">
        <v>1.2999999999999999E-2</v>
      </c>
      <c r="N110" s="4">
        <v>-5.5999999999999999E-3</v>
      </c>
      <c r="O110" s="4">
        <v>1E-4</v>
      </c>
      <c r="P110" s="4">
        <v>124.13</v>
      </c>
      <c r="Q110" s="4">
        <v>0.27</v>
      </c>
      <c r="R110" s="45">
        <f t="shared" si="11"/>
        <v>0.21550347222222221</v>
      </c>
      <c r="S110" s="22">
        <f t="shared" si="8"/>
        <v>4.6875000000000004E-4</v>
      </c>
    </row>
    <row r="111" spans="1:19">
      <c r="A111" s="44" t="s">
        <v>1600</v>
      </c>
      <c r="B111" s="45" t="s">
        <v>1601</v>
      </c>
      <c r="C111" s="45" t="s">
        <v>30</v>
      </c>
      <c r="D111" s="45">
        <v>0.25</v>
      </c>
      <c r="E111" s="4">
        <v>24</v>
      </c>
      <c r="F111" s="4">
        <v>12</v>
      </c>
      <c r="G111" s="4">
        <v>24</v>
      </c>
      <c r="H111" s="45">
        <v>6.5458999999999996</v>
      </c>
      <c r="I111" s="4">
        <v>5.0000000000000001E-4</v>
      </c>
      <c r="J111" s="45">
        <v>-42.0974</v>
      </c>
      <c r="K111" s="4">
        <v>2E-3</v>
      </c>
      <c r="L111" s="4">
        <v>4.2000000000000003E-2</v>
      </c>
      <c r="M111" s="4">
        <v>8.9999999999999993E-3</v>
      </c>
      <c r="N111" s="4">
        <v>-4.5999999999999999E-3</v>
      </c>
      <c r="O111" s="4">
        <v>1E-4</v>
      </c>
      <c r="P111" s="4">
        <v>124.68</v>
      </c>
      <c r="Q111" s="4">
        <v>0.24</v>
      </c>
      <c r="R111" s="45">
        <f t="shared" si="11"/>
        <v>0.21645833333333334</v>
      </c>
      <c r="S111" s="22">
        <f t="shared" si="8"/>
        <v>4.1666666666666664E-4</v>
      </c>
    </row>
    <row r="112" spans="1:19">
      <c r="A112" s="23" t="s">
        <v>1600</v>
      </c>
      <c r="B112" s="4" t="s">
        <v>1601</v>
      </c>
      <c r="C112" s="4" t="s">
        <v>30</v>
      </c>
      <c r="D112" s="4">
        <v>0.5</v>
      </c>
      <c r="E112" s="4">
        <v>24</v>
      </c>
      <c r="F112" s="4">
        <v>12</v>
      </c>
      <c r="G112" s="4">
        <v>24</v>
      </c>
      <c r="H112" s="4">
        <v>5.8228</v>
      </c>
      <c r="I112" s="4">
        <v>5.9999999999999995E-4</v>
      </c>
      <c r="J112" s="4">
        <v>-37.580100000000002</v>
      </c>
      <c r="K112" s="4">
        <v>2.0999999999999999E-3</v>
      </c>
      <c r="L112" s="4">
        <v>0.11700000000000001</v>
      </c>
      <c r="M112" s="4">
        <v>2.5999999999999999E-2</v>
      </c>
      <c r="N112" s="4">
        <v>-6.4999999999999997E-3</v>
      </c>
      <c r="O112" s="4">
        <v>1E-4</v>
      </c>
      <c r="P112" s="4">
        <v>112.44</v>
      </c>
      <c r="Q112" s="4">
        <v>0.17</v>
      </c>
      <c r="R112" s="4">
        <f t="shared" si="11"/>
        <v>0.19520833333333332</v>
      </c>
      <c r="S112" s="22">
        <f t="shared" si="8"/>
        <v>2.9513888888888889E-4</v>
      </c>
    </row>
    <row r="113" spans="1:19">
      <c r="A113" s="44" t="s">
        <v>1602</v>
      </c>
      <c r="B113" s="45" t="s">
        <v>1603</v>
      </c>
      <c r="C113" s="45"/>
      <c r="D113" s="45">
        <v>0.25</v>
      </c>
      <c r="E113" s="4">
        <v>24</v>
      </c>
      <c r="F113" s="4">
        <v>12</v>
      </c>
      <c r="G113" s="4">
        <v>24</v>
      </c>
      <c r="H113" s="45">
        <v>6.4737</v>
      </c>
      <c r="I113" s="4">
        <v>2.9999999999999997E-4</v>
      </c>
      <c r="J113" s="45">
        <v>-41.672199999999997</v>
      </c>
      <c r="K113" s="4">
        <v>8.0000000000000004E-4</v>
      </c>
      <c r="L113" s="4">
        <v>2.9000000000000001E-2</v>
      </c>
      <c r="M113" s="4">
        <v>8.0000000000000002E-3</v>
      </c>
      <c r="N113" s="4">
        <v>-4.5999999999999999E-3</v>
      </c>
      <c r="O113" s="4">
        <v>1E-4</v>
      </c>
      <c r="P113" s="4">
        <v>127.13</v>
      </c>
      <c r="Q113" s="4">
        <v>0.13</v>
      </c>
      <c r="R113" s="45">
        <f t="shared" si="11"/>
        <v>0.22071180555555556</v>
      </c>
      <c r="S113" s="22">
        <f t="shared" si="8"/>
        <v>2.2569444444444446E-4</v>
      </c>
    </row>
    <row r="114" spans="1:19">
      <c r="A114" s="23" t="s">
        <v>1602</v>
      </c>
      <c r="B114" s="4" t="s">
        <v>1603</v>
      </c>
      <c r="D114" s="4">
        <v>0.5</v>
      </c>
      <c r="E114" s="4">
        <v>24</v>
      </c>
      <c r="F114" s="4">
        <v>12</v>
      </c>
      <c r="G114" s="4">
        <v>24</v>
      </c>
      <c r="H114" s="4">
        <v>5.5869</v>
      </c>
      <c r="I114" s="4">
        <v>2.9999999999999997E-4</v>
      </c>
      <c r="J114" s="4">
        <v>-35.867600000000003</v>
      </c>
      <c r="K114" s="4">
        <v>1.2999999999999999E-3</v>
      </c>
      <c r="L114" s="4">
        <v>3.4000000000000002E-2</v>
      </c>
      <c r="M114" s="4">
        <v>3.0000000000000001E-3</v>
      </c>
      <c r="N114" s="4">
        <v>-5.7000000000000002E-3</v>
      </c>
      <c r="O114" s="4">
        <v>2.0000000000000001E-4</v>
      </c>
      <c r="P114" s="4">
        <v>124.16</v>
      </c>
      <c r="Q114" s="4">
        <v>0.1</v>
      </c>
      <c r="R114" s="4">
        <f t="shared" si="11"/>
        <v>0.21555555555555556</v>
      </c>
      <c r="S114" s="22">
        <f t="shared" si="8"/>
        <v>1.7361111111111114E-4</v>
      </c>
    </row>
    <row r="115" spans="1:19">
      <c r="A115" s="28" t="s">
        <v>1602</v>
      </c>
      <c r="B115" s="29" t="s">
        <v>1603</v>
      </c>
      <c r="C115" s="29"/>
      <c r="D115" s="29">
        <v>0.75</v>
      </c>
      <c r="E115" s="4">
        <v>24</v>
      </c>
      <c r="F115" s="4">
        <v>12</v>
      </c>
      <c r="G115" s="4">
        <v>24</v>
      </c>
      <c r="H115" s="29">
        <v>4.7180999999999997</v>
      </c>
      <c r="I115" s="4">
        <v>5.0000000000000001E-4</v>
      </c>
      <c r="J115" s="29">
        <v>-30.568000000000001</v>
      </c>
      <c r="K115" s="4">
        <v>2.9999999999999997E-4</v>
      </c>
      <c r="L115" s="4">
        <v>6.2E-2</v>
      </c>
      <c r="M115" s="4">
        <v>8.9999999999999993E-3</v>
      </c>
      <c r="N115" s="4">
        <v>-8.0999999999999996E-3</v>
      </c>
      <c r="O115" s="4">
        <v>1E-4</v>
      </c>
      <c r="P115" s="4">
        <v>116</v>
      </c>
      <c r="Q115" s="4">
        <v>0.28000000000000003</v>
      </c>
      <c r="R115" s="29">
        <f t="shared" si="11"/>
        <v>0.2013888888888889</v>
      </c>
      <c r="S115" s="22">
        <f t="shared" si="8"/>
        <v>4.8611111111111115E-4</v>
      </c>
    </row>
    <row r="116" spans="1:19">
      <c r="A116" s="33" t="s">
        <v>1602</v>
      </c>
      <c r="B116" s="34" t="s">
        <v>1603</v>
      </c>
      <c r="C116" s="34"/>
      <c r="D116" s="34">
        <v>1</v>
      </c>
      <c r="E116" s="4">
        <v>24</v>
      </c>
      <c r="F116" s="4">
        <v>12</v>
      </c>
      <c r="G116" s="4">
        <v>24</v>
      </c>
      <c r="H116" s="34">
        <v>3.8975</v>
      </c>
      <c r="I116" s="4">
        <v>1E-4</v>
      </c>
      <c r="J116" s="34">
        <v>-26.314499999999999</v>
      </c>
      <c r="K116" s="4">
        <v>1.4E-3</v>
      </c>
      <c r="L116" s="4">
        <v>9.4E-2</v>
      </c>
      <c r="M116" s="4">
        <v>4.3999999999999997E-2</v>
      </c>
      <c r="N116" s="4">
        <v>-1.3299999999999999E-2</v>
      </c>
      <c r="O116" s="4">
        <v>4.0000000000000002E-4</v>
      </c>
      <c r="P116" s="4">
        <v>97.39</v>
      </c>
      <c r="Q116" s="4">
        <v>0.57999999999999996</v>
      </c>
      <c r="R116" s="34">
        <f t="shared" si="11"/>
        <v>0.16907986111111112</v>
      </c>
      <c r="S116" s="22">
        <f t="shared" si="8"/>
        <v>1.0069444444444442E-3</v>
      </c>
    </row>
    <row r="117" spans="1:19">
      <c r="A117" s="44" t="s">
        <v>1604</v>
      </c>
      <c r="B117" s="45" t="s">
        <v>1605</v>
      </c>
      <c r="C117" s="45"/>
      <c r="D117" s="45">
        <v>0.25</v>
      </c>
      <c r="E117" s="4">
        <v>24</v>
      </c>
      <c r="F117" s="4">
        <v>12</v>
      </c>
      <c r="G117" s="4">
        <v>24</v>
      </c>
      <c r="H117" s="45">
        <v>6.4259000000000004</v>
      </c>
      <c r="I117" s="4">
        <v>5.0000000000000001E-4</v>
      </c>
      <c r="J117" s="45">
        <v>-41.765799999999999</v>
      </c>
      <c r="K117" s="4">
        <v>1.2999999999999999E-3</v>
      </c>
      <c r="L117" s="4">
        <v>4.5999999999999999E-2</v>
      </c>
      <c r="M117" s="4">
        <v>1.6E-2</v>
      </c>
      <c r="N117" s="4">
        <v>-4.7999999999999996E-3</v>
      </c>
      <c r="O117" s="4">
        <v>2.0000000000000001E-4</v>
      </c>
      <c r="P117" s="4">
        <v>127.12</v>
      </c>
      <c r="Q117" s="4">
        <v>0.1</v>
      </c>
      <c r="R117" s="45">
        <f t="shared" si="11"/>
        <v>0.22069444444444444</v>
      </c>
      <c r="S117" s="22">
        <f t="shared" si="8"/>
        <v>1.7361111111111114E-4</v>
      </c>
    </row>
    <row r="118" spans="1:19">
      <c r="A118" s="23" t="s">
        <v>1604</v>
      </c>
      <c r="B118" s="4" t="s">
        <v>1605</v>
      </c>
      <c r="D118" s="4">
        <v>0.5</v>
      </c>
      <c r="E118" s="4">
        <v>24</v>
      </c>
      <c r="F118" s="4">
        <v>12</v>
      </c>
      <c r="G118" s="4">
        <v>24</v>
      </c>
      <c r="H118" s="4">
        <v>5.4885000000000002</v>
      </c>
      <c r="I118" s="4">
        <v>4.0000000000000002E-4</v>
      </c>
      <c r="J118" s="4">
        <v>-36.032899999999998</v>
      </c>
      <c r="K118" s="4">
        <v>4.0000000000000002E-4</v>
      </c>
      <c r="L118" s="4">
        <v>7.3999999999999996E-2</v>
      </c>
      <c r="M118" s="4">
        <v>1.4E-2</v>
      </c>
      <c r="N118" s="4">
        <v>-6.3E-3</v>
      </c>
      <c r="O118" s="4">
        <v>2.0000000000000001E-4</v>
      </c>
      <c r="P118" s="4">
        <v>124.21</v>
      </c>
      <c r="Q118" s="4">
        <v>0.32</v>
      </c>
      <c r="R118" s="4">
        <f t="shared" si="11"/>
        <v>0.2156423611111111</v>
      </c>
      <c r="S118" s="22">
        <f t="shared" si="8"/>
        <v>5.5555555555555556E-4</v>
      </c>
    </row>
    <row r="119" spans="1:19">
      <c r="A119" s="28" t="s">
        <v>1604</v>
      </c>
      <c r="B119" s="29" t="s">
        <v>1605</v>
      </c>
      <c r="C119" s="29"/>
      <c r="D119" s="29">
        <v>0.75</v>
      </c>
      <c r="E119" s="4">
        <v>24</v>
      </c>
      <c r="F119" s="4">
        <v>12</v>
      </c>
      <c r="G119" s="4">
        <v>24</v>
      </c>
      <c r="H119" s="29">
        <v>4.5533999999999999</v>
      </c>
      <c r="I119" s="4">
        <v>2.0000000000000001E-4</v>
      </c>
      <c r="J119" s="29">
        <v>-30.817699999999999</v>
      </c>
      <c r="K119" s="4">
        <v>1.6000000000000001E-3</v>
      </c>
      <c r="L119" s="4">
        <v>0.122</v>
      </c>
      <c r="M119" s="4">
        <v>2.3E-2</v>
      </c>
      <c r="N119" s="4">
        <v>-8.9999999999999993E-3</v>
      </c>
      <c r="O119" s="4">
        <v>1E-4</v>
      </c>
      <c r="P119" s="4">
        <v>115.57</v>
      </c>
      <c r="Q119" s="4">
        <v>0.24</v>
      </c>
      <c r="R119" s="29">
        <f t="shared" si="11"/>
        <v>0.20064236111111111</v>
      </c>
      <c r="S119" s="22">
        <f t="shared" si="8"/>
        <v>4.1666666666666664E-4</v>
      </c>
    </row>
    <row r="120" spans="1:19">
      <c r="A120" s="44" t="s">
        <v>1606</v>
      </c>
      <c r="B120" s="45" t="s">
        <v>1607</v>
      </c>
      <c r="C120" s="45"/>
      <c r="D120" s="45">
        <v>0.25</v>
      </c>
      <c r="E120" s="4">
        <v>24</v>
      </c>
      <c r="F120" s="4">
        <v>12</v>
      </c>
      <c r="G120" s="4">
        <v>24</v>
      </c>
      <c r="H120" s="45">
        <v>6.4246999999999996</v>
      </c>
      <c r="I120" s="4">
        <v>4.0000000000000002E-4</v>
      </c>
      <c r="J120" s="45">
        <v>-41.549300000000002</v>
      </c>
      <c r="K120" s="4">
        <v>8.0000000000000004E-4</v>
      </c>
      <c r="L120" s="4">
        <v>3.5999999999999997E-2</v>
      </c>
      <c r="M120" s="4">
        <v>5.0000000000000001E-3</v>
      </c>
      <c r="N120" s="4">
        <v>-4.7999999999999996E-3</v>
      </c>
      <c r="O120" s="4">
        <v>1E-4</v>
      </c>
      <c r="P120" s="4">
        <v>127.18</v>
      </c>
      <c r="Q120" s="4">
        <v>0.1</v>
      </c>
      <c r="R120" s="45">
        <f t="shared" si="11"/>
        <v>0.22079861111111113</v>
      </c>
      <c r="S120" s="22">
        <f t="shared" si="8"/>
        <v>1.7361111111111114E-4</v>
      </c>
    </row>
    <row r="121" spans="1:19">
      <c r="A121" s="23" t="s">
        <v>1606</v>
      </c>
      <c r="B121" s="4" t="s">
        <v>1607</v>
      </c>
      <c r="D121" s="4">
        <v>0.5</v>
      </c>
      <c r="E121" s="4">
        <v>24</v>
      </c>
      <c r="F121" s="4">
        <v>12</v>
      </c>
      <c r="G121" s="4">
        <v>24</v>
      </c>
      <c r="H121" s="4">
        <v>5.4884000000000004</v>
      </c>
      <c r="I121" s="4">
        <v>5.0000000000000001E-4</v>
      </c>
      <c r="J121" s="4">
        <v>-35.631500000000003</v>
      </c>
      <c r="K121" s="4">
        <v>2.9999999999999997E-4</v>
      </c>
      <c r="L121" s="4">
        <v>6.8000000000000005E-2</v>
      </c>
      <c r="M121" s="4">
        <v>1.7000000000000001E-2</v>
      </c>
      <c r="N121" s="4">
        <v>-6.4000000000000003E-3</v>
      </c>
      <c r="O121" s="4">
        <v>2.9999999999999997E-4</v>
      </c>
      <c r="P121" s="4">
        <v>124.1</v>
      </c>
      <c r="Q121" s="4">
        <v>0.3</v>
      </c>
      <c r="R121" s="4">
        <f t="shared" si="11"/>
        <v>0.21545138888888887</v>
      </c>
      <c r="S121" s="22">
        <f t="shared" si="8"/>
        <v>5.2083333333333333E-4</v>
      </c>
    </row>
    <row r="122" spans="1:19">
      <c r="A122" s="28" t="s">
        <v>1606</v>
      </c>
      <c r="B122" s="29" t="s">
        <v>1607</v>
      </c>
      <c r="C122" s="29"/>
      <c r="D122" s="29">
        <v>0.75</v>
      </c>
      <c r="E122" s="4">
        <v>24</v>
      </c>
      <c r="F122" s="4">
        <v>12</v>
      </c>
      <c r="G122" s="4">
        <v>24</v>
      </c>
      <c r="H122" s="41">
        <v>4.5628000000000002</v>
      </c>
      <c r="I122" s="4">
        <v>5.0000000000000001E-4</v>
      </c>
      <c r="J122" s="29">
        <v>-30.2864</v>
      </c>
      <c r="K122" s="4">
        <v>1.1000000000000001E-3</v>
      </c>
      <c r="L122" s="4">
        <v>0.11</v>
      </c>
      <c r="M122" s="4">
        <v>2.4E-2</v>
      </c>
      <c r="N122" s="4">
        <v>-9.1000000000000004E-3</v>
      </c>
      <c r="O122" s="4">
        <v>1E-4</v>
      </c>
      <c r="P122" s="4">
        <v>116.19</v>
      </c>
      <c r="Q122" s="4">
        <v>0.35</v>
      </c>
      <c r="R122" s="29">
        <f t="shared" si="11"/>
        <v>0.20171875</v>
      </c>
      <c r="S122" s="22">
        <f t="shared" si="8"/>
        <v>6.0763888888888879E-4</v>
      </c>
    </row>
    <row r="123" spans="1:19">
      <c r="A123" s="44" t="s">
        <v>1608</v>
      </c>
      <c r="B123" s="45" t="s">
        <v>1609</v>
      </c>
      <c r="C123" s="45"/>
      <c r="D123" s="45">
        <v>0.25</v>
      </c>
      <c r="E123" s="4">
        <v>24</v>
      </c>
      <c r="F123" s="4">
        <v>12</v>
      </c>
      <c r="G123" s="4">
        <v>24</v>
      </c>
      <c r="H123" s="45">
        <v>6.4184999999999999</v>
      </c>
      <c r="I123" s="4">
        <v>5.9999999999999995E-4</v>
      </c>
      <c r="J123" s="45">
        <v>-42.075400000000002</v>
      </c>
      <c r="K123" s="4">
        <v>1.1000000000000001E-3</v>
      </c>
      <c r="L123" s="4">
        <v>4.4999999999999998E-2</v>
      </c>
      <c r="M123" s="4">
        <v>0.03</v>
      </c>
      <c r="N123" s="4">
        <v>-4.7999999999999996E-3</v>
      </c>
      <c r="O123" s="4">
        <v>5.0000000000000001E-4</v>
      </c>
      <c r="P123" s="4">
        <v>126.8</v>
      </c>
      <c r="Q123" s="4">
        <v>0.44</v>
      </c>
      <c r="R123" s="45">
        <f t="shared" si="11"/>
        <v>0.22013888888888888</v>
      </c>
      <c r="S123" s="22">
        <f t="shared" si="8"/>
        <v>7.6388888888888893E-4</v>
      </c>
    </row>
    <row r="124" spans="1:19">
      <c r="A124" s="23" t="s">
        <v>1608</v>
      </c>
      <c r="B124" s="4" t="s">
        <v>1609</v>
      </c>
      <c r="D124" s="4">
        <v>0.5</v>
      </c>
      <c r="E124" s="4">
        <v>24</v>
      </c>
      <c r="F124" s="4">
        <v>12</v>
      </c>
      <c r="G124" s="4">
        <v>24</v>
      </c>
      <c r="H124" s="39">
        <v>5.4687999999999999</v>
      </c>
      <c r="I124" s="4">
        <v>4.0000000000000002E-4</v>
      </c>
      <c r="J124" s="4">
        <v>-36.918999999999997</v>
      </c>
      <c r="K124" s="4">
        <v>5.9999999999999995E-4</v>
      </c>
      <c r="L124" s="4">
        <v>9.6000000000000002E-2</v>
      </c>
      <c r="M124" s="4">
        <v>1.2E-2</v>
      </c>
      <c r="N124" s="4">
        <v>-7.1999999999999998E-3</v>
      </c>
      <c r="O124" s="4">
        <v>1E-4</v>
      </c>
      <c r="P124" s="4">
        <v>119.99</v>
      </c>
      <c r="Q124" s="4">
        <v>0.21</v>
      </c>
      <c r="R124" s="4">
        <f t="shared" si="11"/>
        <v>0.2083159722222222</v>
      </c>
      <c r="S124" s="22">
        <f t="shared" si="8"/>
        <v>3.6458333333333335E-4</v>
      </c>
    </row>
    <row r="125" spans="1:19">
      <c r="A125" s="28" t="s">
        <v>1608</v>
      </c>
      <c r="B125" s="29" t="s">
        <v>1609</v>
      </c>
      <c r="C125" s="29"/>
      <c r="D125" s="29">
        <v>0.75</v>
      </c>
      <c r="E125" s="4">
        <v>24</v>
      </c>
      <c r="F125" s="4">
        <v>12</v>
      </c>
      <c r="G125" s="4">
        <v>24</v>
      </c>
      <c r="H125" s="41">
        <v>4.4858000000000002</v>
      </c>
      <c r="I125" s="4">
        <v>2.9999999999999997E-4</v>
      </c>
      <c r="J125" s="29">
        <v>-33.1218</v>
      </c>
      <c r="K125" s="4">
        <v>1.4E-3</v>
      </c>
      <c r="L125" s="4">
        <v>0.128</v>
      </c>
      <c r="M125" s="4">
        <v>0.02</v>
      </c>
      <c r="N125" s="4">
        <v>-1.43E-2</v>
      </c>
      <c r="O125" s="4">
        <v>2.0000000000000001E-4</v>
      </c>
      <c r="P125" s="4">
        <v>94.69</v>
      </c>
      <c r="Q125" s="4">
        <v>0.46</v>
      </c>
      <c r="R125" s="29">
        <f t="shared" si="11"/>
        <v>0.16439236111111111</v>
      </c>
      <c r="S125" s="22">
        <f t="shared" si="8"/>
        <v>7.9861111111111116E-4</v>
      </c>
    </row>
    <row r="126" spans="1:19">
      <c r="A126" s="44" t="s">
        <v>1610</v>
      </c>
      <c r="B126" s="45" t="s">
        <v>1611</v>
      </c>
      <c r="C126" s="45"/>
      <c r="D126" s="45">
        <v>0.25</v>
      </c>
      <c r="E126" s="4">
        <v>24</v>
      </c>
      <c r="F126" s="4">
        <v>12</v>
      </c>
      <c r="G126" s="4">
        <v>24</v>
      </c>
      <c r="H126" s="45">
        <v>6.4542999999999999</v>
      </c>
      <c r="I126" s="4">
        <v>8.9999999999999998E-4</v>
      </c>
      <c r="J126" s="45">
        <v>-42.046700000000001</v>
      </c>
      <c r="K126" s="4">
        <v>2.7000000000000001E-3</v>
      </c>
      <c r="L126" s="4">
        <v>9.7000000000000003E-2</v>
      </c>
      <c r="M126" s="4">
        <v>3.1E-2</v>
      </c>
      <c r="N126" s="4">
        <v>-4.5999999999999999E-3</v>
      </c>
      <c r="O126" s="4">
        <v>1E-4</v>
      </c>
      <c r="P126" s="4">
        <v>126.48</v>
      </c>
      <c r="Q126" s="4">
        <v>0.17</v>
      </c>
      <c r="R126" s="45">
        <f t="shared" si="11"/>
        <v>0.21958333333333332</v>
      </c>
      <c r="S126" s="22">
        <f t="shared" si="8"/>
        <v>2.9513888888888889E-4</v>
      </c>
    </row>
    <row r="127" spans="1:19" ht="17" thickBot="1">
      <c r="A127" s="37" t="s">
        <v>1610</v>
      </c>
      <c r="B127" s="10" t="s">
        <v>1611</v>
      </c>
      <c r="C127" s="10"/>
      <c r="D127" s="10">
        <v>0.5</v>
      </c>
      <c r="E127" s="10">
        <v>24</v>
      </c>
      <c r="F127" s="10">
        <v>12</v>
      </c>
      <c r="G127" s="10">
        <v>24</v>
      </c>
      <c r="H127" s="10">
        <v>5.5408999999999997</v>
      </c>
      <c r="I127" s="10">
        <v>2.0000000000000001E-4</v>
      </c>
      <c r="J127" s="10">
        <v>-36.884700000000002</v>
      </c>
      <c r="K127" s="10">
        <v>6.9999999999999999E-4</v>
      </c>
      <c r="L127" s="10">
        <v>8.7999999999999995E-2</v>
      </c>
      <c r="M127" s="10">
        <v>1.4E-2</v>
      </c>
      <c r="N127" s="10">
        <v>-7.4000000000000003E-3</v>
      </c>
      <c r="O127" s="10">
        <v>2.9999999999999997E-4</v>
      </c>
      <c r="P127" s="10">
        <v>117.67</v>
      </c>
      <c r="Q127" s="10">
        <v>0.27</v>
      </c>
      <c r="R127" s="10">
        <f t="shared" si="11"/>
        <v>0.20428819444444443</v>
      </c>
      <c r="S127" s="26">
        <f t="shared" si="8"/>
        <v>4.6875000000000004E-4</v>
      </c>
    </row>
    <row r="128" spans="1:19" ht="17" thickTop="1">
      <c r="A128" s="44" t="s">
        <v>1612</v>
      </c>
      <c r="B128" s="45" t="s">
        <v>1613</v>
      </c>
      <c r="C128" s="168" t="s">
        <v>17</v>
      </c>
      <c r="D128" s="45">
        <v>0.25</v>
      </c>
      <c r="E128" s="4">
        <v>24</v>
      </c>
      <c r="F128" s="4">
        <v>13</v>
      </c>
      <c r="G128" s="4">
        <v>24</v>
      </c>
      <c r="H128" s="45">
        <v>6.5861000000000001</v>
      </c>
      <c r="I128" s="4">
        <v>1E-4</v>
      </c>
      <c r="J128" s="45">
        <v>-44.561500000000002</v>
      </c>
      <c r="K128" s="4">
        <v>5.0000000000000001E-4</v>
      </c>
      <c r="L128" s="4">
        <v>0.127</v>
      </c>
      <c r="M128" s="4">
        <v>7.0000000000000001E-3</v>
      </c>
      <c r="N128" s="4">
        <v>-6.0000000000000001E-3</v>
      </c>
      <c r="O128" s="4">
        <v>1E-4</v>
      </c>
      <c r="P128" s="4">
        <v>119.51</v>
      </c>
      <c r="Q128" s="4">
        <v>0.18</v>
      </c>
      <c r="R128" s="45">
        <f t="shared" si="11"/>
        <v>0.2074826388888889</v>
      </c>
      <c r="S128" s="22">
        <f t="shared" si="8"/>
        <v>3.1250000000000001E-4</v>
      </c>
    </row>
    <row r="129" spans="1:19">
      <c r="A129" s="44" t="s">
        <v>1614</v>
      </c>
      <c r="B129" s="45" t="s">
        <v>1615</v>
      </c>
      <c r="C129" s="45" t="s">
        <v>19</v>
      </c>
      <c r="D129" s="45">
        <v>0.25</v>
      </c>
      <c r="E129" s="4">
        <v>24</v>
      </c>
      <c r="F129" s="4">
        <v>13</v>
      </c>
      <c r="G129" s="4">
        <v>24</v>
      </c>
      <c r="H129" s="45">
        <v>6.4863999999999997</v>
      </c>
      <c r="I129" s="4">
        <v>2.9999999999999997E-4</v>
      </c>
      <c r="J129" s="45">
        <v>-44.168500000000002</v>
      </c>
      <c r="K129" s="4">
        <v>1.9E-3</v>
      </c>
      <c r="L129" s="4">
        <v>9.6000000000000002E-2</v>
      </c>
      <c r="M129" s="4">
        <v>1.6E-2</v>
      </c>
      <c r="N129" s="4">
        <v>-5.4999999999999997E-3</v>
      </c>
      <c r="O129" s="4">
        <v>2.0000000000000001E-4</v>
      </c>
      <c r="P129" s="4">
        <v>124.06</v>
      </c>
      <c r="Q129" s="4">
        <v>0.42</v>
      </c>
      <c r="R129" s="45">
        <f t="shared" si="11"/>
        <v>0.21538194444444445</v>
      </c>
      <c r="S129" s="22">
        <f t="shared" si="8"/>
        <v>7.291666666666667E-4</v>
      </c>
    </row>
    <row r="130" spans="1:19">
      <c r="A130" s="44" t="s">
        <v>1616</v>
      </c>
      <c r="B130" s="45" t="s">
        <v>1617</v>
      </c>
      <c r="C130" s="45" t="s">
        <v>30</v>
      </c>
      <c r="D130" s="45">
        <v>0.25</v>
      </c>
      <c r="E130" s="4">
        <v>24</v>
      </c>
      <c r="F130" s="4">
        <v>13</v>
      </c>
      <c r="G130" s="4">
        <v>24</v>
      </c>
      <c r="H130" s="45">
        <v>6.7066999999999997</v>
      </c>
      <c r="I130" s="4">
        <v>6.9999999999999999E-4</v>
      </c>
      <c r="J130" s="45">
        <v>-43.172800000000002</v>
      </c>
      <c r="K130" s="4">
        <v>8.0000000000000004E-4</v>
      </c>
      <c r="L130" s="4">
        <v>1.9E-2</v>
      </c>
      <c r="M130" s="4">
        <v>2E-3</v>
      </c>
      <c r="N130" s="4">
        <v>-4.7000000000000002E-3</v>
      </c>
      <c r="O130" s="4">
        <v>1E-4</v>
      </c>
      <c r="P130" s="4">
        <v>124.35</v>
      </c>
      <c r="Q130" s="4">
        <v>0.27</v>
      </c>
      <c r="R130" s="45">
        <f t="shared" si="11"/>
        <v>0.21588541666666664</v>
      </c>
      <c r="S130" s="22">
        <f t="shared" si="8"/>
        <v>4.6875000000000004E-4</v>
      </c>
    </row>
    <row r="131" spans="1:19">
      <c r="A131" s="23" t="s">
        <v>1616</v>
      </c>
      <c r="B131" s="4" t="s">
        <v>1617</v>
      </c>
      <c r="C131" s="4" t="s">
        <v>30</v>
      </c>
      <c r="D131" s="4">
        <v>0.5</v>
      </c>
      <c r="E131" s="4">
        <v>24</v>
      </c>
      <c r="F131" s="4">
        <v>13</v>
      </c>
      <c r="G131" s="4">
        <v>24</v>
      </c>
      <c r="H131" s="4">
        <v>6.1310000000000002</v>
      </c>
      <c r="I131" s="4">
        <v>1E-3</v>
      </c>
      <c r="J131" s="4">
        <v>-39.791600000000003</v>
      </c>
      <c r="K131" s="4">
        <v>5.7000000000000002E-3</v>
      </c>
      <c r="L131" s="4">
        <v>6.5000000000000002E-2</v>
      </c>
      <c r="M131" s="4">
        <v>3.2000000000000001E-2</v>
      </c>
      <c r="N131" s="4">
        <v>-6.7999999999999996E-3</v>
      </c>
      <c r="O131" s="4">
        <v>2.0000000000000001E-4</v>
      </c>
      <c r="P131" s="4">
        <v>111.69</v>
      </c>
      <c r="Q131" s="4">
        <v>0.35</v>
      </c>
      <c r="R131" s="4">
        <f t="shared" si="11"/>
        <v>0.19390625</v>
      </c>
      <c r="S131" s="22">
        <f t="shared" si="8"/>
        <v>6.0763888888888879E-4</v>
      </c>
    </row>
    <row r="132" spans="1:19">
      <c r="A132" s="44" t="s">
        <v>1618</v>
      </c>
      <c r="B132" s="45" t="s">
        <v>1619</v>
      </c>
      <c r="C132" s="45"/>
      <c r="D132" s="45">
        <v>0.25</v>
      </c>
      <c r="E132" s="4">
        <v>24</v>
      </c>
      <c r="F132" s="4">
        <v>13</v>
      </c>
      <c r="G132" s="4">
        <v>24</v>
      </c>
      <c r="H132" s="45">
        <v>6.6521999999999997</v>
      </c>
      <c r="I132" s="4">
        <v>8.9999999999999998E-4</v>
      </c>
      <c r="J132" s="45">
        <v>-42.949300000000001</v>
      </c>
      <c r="K132" s="4">
        <v>2.0999999999999999E-3</v>
      </c>
      <c r="L132" s="4">
        <v>0.03</v>
      </c>
      <c r="M132" s="4">
        <v>7.0000000000000001E-3</v>
      </c>
      <c r="N132" s="4">
        <v>-4.7999999999999996E-3</v>
      </c>
      <c r="O132" s="4">
        <v>1E-4</v>
      </c>
      <c r="P132" s="4">
        <v>125.97</v>
      </c>
      <c r="Q132" s="4">
        <v>0.27</v>
      </c>
      <c r="R132" s="45">
        <f t="shared" si="11"/>
        <v>0.21869791666666666</v>
      </c>
      <c r="S132" s="22">
        <f t="shared" si="8"/>
        <v>4.6875000000000004E-4</v>
      </c>
    </row>
    <row r="133" spans="1:19">
      <c r="A133" s="23" t="s">
        <v>1618</v>
      </c>
      <c r="B133" s="4" t="s">
        <v>1619</v>
      </c>
      <c r="D133" s="4">
        <v>0.5</v>
      </c>
      <c r="E133" s="4">
        <v>24</v>
      </c>
      <c r="F133" s="4">
        <v>13</v>
      </c>
      <c r="G133" s="4">
        <v>24</v>
      </c>
      <c r="H133" s="4">
        <v>5.9425999999999997</v>
      </c>
      <c r="I133" s="4">
        <v>8.0000000000000004E-4</v>
      </c>
      <c r="J133" s="4">
        <v>-38.635599999999997</v>
      </c>
      <c r="K133" s="4">
        <v>2.8E-3</v>
      </c>
      <c r="L133" s="4">
        <v>8.4000000000000005E-2</v>
      </c>
      <c r="M133" s="4">
        <v>1.9E-2</v>
      </c>
      <c r="N133" s="4">
        <v>-6.0000000000000001E-3</v>
      </c>
      <c r="O133" s="4">
        <v>1E-4</v>
      </c>
      <c r="P133" s="4">
        <v>120.19</v>
      </c>
      <c r="Q133" s="4">
        <v>0.15</v>
      </c>
      <c r="R133" s="4">
        <f t="shared" si="11"/>
        <v>0.20866319444444445</v>
      </c>
      <c r="S133" s="22">
        <f t="shared" si="8"/>
        <v>2.6041666666666666E-4</v>
      </c>
    </row>
    <row r="134" spans="1:19">
      <c r="A134" s="28" t="s">
        <v>1618</v>
      </c>
      <c r="B134" s="29" t="s">
        <v>1619</v>
      </c>
      <c r="C134" s="29"/>
      <c r="D134" s="29">
        <v>0.75</v>
      </c>
      <c r="E134" s="4">
        <v>24</v>
      </c>
      <c r="F134" s="4">
        <v>13</v>
      </c>
      <c r="G134" s="4">
        <v>24</v>
      </c>
      <c r="H134" s="29">
        <v>5.2487000000000004</v>
      </c>
      <c r="I134" s="4">
        <v>1E-3</v>
      </c>
      <c r="J134" s="29">
        <v>-35.250900000000001</v>
      </c>
      <c r="K134" s="4">
        <v>3.8E-3</v>
      </c>
      <c r="L134" s="4">
        <v>9.9000000000000005E-2</v>
      </c>
      <c r="M134" s="4">
        <v>8.0000000000000002E-3</v>
      </c>
      <c r="N134" s="4">
        <v>-0.01</v>
      </c>
      <c r="O134" s="4">
        <v>1E-4</v>
      </c>
      <c r="P134" s="4">
        <v>102.38</v>
      </c>
      <c r="Q134" s="4">
        <v>0.26</v>
      </c>
      <c r="R134" s="29">
        <f t="shared" si="11"/>
        <v>0.17774305555555556</v>
      </c>
      <c r="S134" s="22">
        <f t="shared" si="8"/>
        <v>4.5138888888888892E-4</v>
      </c>
    </row>
    <row r="135" spans="1:19">
      <c r="A135" s="44" t="s">
        <v>1620</v>
      </c>
      <c r="B135" s="45" t="s">
        <v>1621</v>
      </c>
      <c r="C135" s="45"/>
      <c r="D135" s="45">
        <v>0.25</v>
      </c>
      <c r="E135" s="4">
        <v>24</v>
      </c>
      <c r="F135" s="4">
        <v>13</v>
      </c>
      <c r="G135" s="4">
        <v>24</v>
      </c>
      <c r="H135" s="45">
        <v>6.6205999999999996</v>
      </c>
      <c r="I135" s="4">
        <v>5.9999999999999995E-4</v>
      </c>
      <c r="J135" s="45">
        <v>-42.857900000000001</v>
      </c>
      <c r="K135" s="4">
        <v>2.5000000000000001E-3</v>
      </c>
      <c r="L135" s="4">
        <v>3.1E-2</v>
      </c>
      <c r="M135" s="4">
        <v>7.0000000000000001E-3</v>
      </c>
      <c r="N135" s="4">
        <v>-4.4999999999999997E-3</v>
      </c>
      <c r="O135" s="4">
        <v>2.0000000000000001E-4</v>
      </c>
      <c r="P135" s="4">
        <v>127.36</v>
      </c>
      <c r="Q135" s="4">
        <v>0.18</v>
      </c>
      <c r="R135" s="45">
        <f t="shared" si="11"/>
        <v>0.22111111111111109</v>
      </c>
      <c r="S135" s="22">
        <f t="shared" si="8"/>
        <v>3.1250000000000001E-4</v>
      </c>
    </row>
    <row r="136" spans="1:19">
      <c r="A136" s="23" t="s">
        <v>1620</v>
      </c>
      <c r="B136" s="4" t="s">
        <v>1621</v>
      </c>
      <c r="D136" s="4">
        <v>0.5</v>
      </c>
      <c r="E136" s="4">
        <v>24</v>
      </c>
      <c r="F136" s="4">
        <v>13</v>
      </c>
      <c r="G136" s="4">
        <v>24</v>
      </c>
      <c r="H136" s="4">
        <v>5.8803000000000001</v>
      </c>
      <c r="I136" s="4">
        <v>5.9999999999999995E-4</v>
      </c>
      <c r="J136" s="4">
        <v>-38.159500000000001</v>
      </c>
      <c r="K136" s="4">
        <v>2E-3</v>
      </c>
      <c r="L136" s="4">
        <v>3.1E-2</v>
      </c>
      <c r="M136" s="4">
        <v>0.02</v>
      </c>
      <c r="N136" s="4">
        <v>-5.4000000000000003E-3</v>
      </c>
      <c r="O136" s="4">
        <v>2.9999999999999997E-4</v>
      </c>
      <c r="P136" s="4">
        <v>125.12</v>
      </c>
      <c r="Q136" s="4">
        <v>0.26</v>
      </c>
      <c r="R136" s="4">
        <f t="shared" si="11"/>
        <v>0.21722222222222223</v>
      </c>
      <c r="S136" s="22">
        <f t="shared" si="8"/>
        <v>4.5138888888888892E-4</v>
      </c>
    </row>
    <row r="137" spans="1:19">
      <c r="A137" s="28" t="s">
        <v>1620</v>
      </c>
      <c r="B137" s="29" t="s">
        <v>1621</v>
      </c>
      <c r="C137" s="29"/>
      <c r="D137" s="29">
        <v>0.75</v>
      </c>
      <c r="E137" s="4">
        <v>24</v>
      </c>
      <c r="F137" s="4">
        <v>13</v>
      </c>
      <c r="G137" s="4">
        <v>24</v>
      </c>
      <c r="H137" s="29">
        <v>5.1482999999999999</v>
      </c>
      <c r="I137" s="4">
        <v>4.0000000000000002E-4</v>
      </c>
      <c r="J137" s="29">
        <v>-33.785600000000002</v>
      </c>
      <c r="K137" s="4">
        <v>6.9999999999999999E-4</v>
      </c>
      <c r="L137" s="4">
        <v>4.1000000000000002E-2</v>
      </c>
      <c r="M137" s="4">
        <v>6.0000000000000001E-3</v>
      </c>
      <c r="N137" s="4">
        <v>-6.8999999999999999E-3</v>
      </c>
      <c r="O137" s="4">
        <v>2.0000000000000001E-4</v>
      </c>
      <c r="P137" s="4">
        <v>120.13</v>
      </c>
      <c r="Q137" s="4">
        <v>0.23</v>
      </c>
      <c r="R137" s="29">
        <f t="shared" si="11"/>
        <v>0.20855902777777777</v>
      </c>
      <c r="S137" s="22">
        <f t="shared" si="8"/>
        <v>3.9930555555555558E-4</v>
      </c>
    </row>
    <row r="138" spans="1:19">
      <c r="A138" s="33" t="s">
        <v>1620</v>
      </c>
      <c r="B138" s="34" t="s">
        <v>1621</v>
      </c>
      <c r="C138" s="34"/>
      <c r="D138" s="34">
        <v>1</v>
      </c>
      <c r="E138" s="4">
        <v>24</v>
      </c>
      <c r="F138" s="4">
        <v>13</v>
      </c>
      <c r="G138" s="4">
        <v>24</v>
      </c>
      <c r="H138" s="34">
        <v>4.4364999999999997</v>
      </c>
      <c r="I138" s="4">
        <v>5.9999999999999995E-4</v>
      </c>
      <c r="J138" s="34">
        <v>-29.949000000000002</v>
      </c>
      <c r="K138" s="4">
        <v>1E-3</v>
      </c>
      <c r="L138" s="4">
        <v>6.0999999999999999E-2</v>
      </c>
      <c r="M138" s="4">
        <v>1.7999999999999999E-2</v>
      </c>
      <c r="N138" s="4">
        <v>-9.7000000000000003E-3</v>
      </c>
      <c r="O138" s="4">
        <v>2.0000000000000001E-4</v>
      </c>
      <c r="P138" s="4">
        <v>109.67</v>
      </c>
      <c r="Q138" s="4">
        <v>0.38</v>
      </c>
      <c r="R138" s="34">
        <f t="shared" si="11"/>
        <v>0.19039930555555554</v>
      </c>
      <c r="S138" s="22">
        <f t="shared" si="8"/>
        <v>6.5972222222222224E-4</v>
      </c>
    </row>
    <row r="139" spans="1:19">
      <c r="A139" s="44" t="s">
        <v>1622</v>
      </c>
      <c r="B139" s="45" t="s">
        <v>1623</v>
      </c>
      <c r="C139" s="45"/>
      <c r="D139" s="45">
        <v>0.25</v>
      </c>
      <c r="E139" s="4">
        <v>24</v>
      </c>
      <c r="F139" s="4">
        <v>13</v>
      </c>
      <c r="G139" s="4">
        <v>24</v>
      </c>
      <c r="H139" s="48">
        <v>6.6180000000000003</v>
      </c>
      <c r="I139" s="4">
        <v>2.9999999999999997E-4</v>
      </c>
      <c r="J139" s="45">
        <v>-42.902000000000001</v>
      </c>
      <c r="K139" s="4">
        <v>1.2999999999999999E-3</v>
      </c>
      <c r="L139" s="4">
        <v>2.5000000000000001E-2</v>
      </c>
      <c r="M139" s="4">
        <v>3.0000000000000001E-3</v>
      </c>
      <c r="N139" s="4">
        <v>-4.7999999999999996E-3</v>
      </c>
      <c r="O139" s="4">
        <v>0</v>
      </c>
      <c r="P139" s="4">
        <v>126</v>
      </c>
      <c r="Q139" s="4">
        <v>0.06</v>
      </c>
      <c r="R139" s="45">
        <f t="shared" si="11"/>
        <v>0.21875</v>
      </c>
      <c r="S139" s="22">
        <f t="shared" si="8"/>
        <v>1.0416666666666666E-4</v>
      </c>
    </row>
    <row r="140" spans="1:19">
      <c r="A140" s="89" t="s">
        <v>1622</v>
      </c>
      <c r="B140" s="4" t="s">
        <v>1623</v>
      </c>
      <c r="C140" s="39"/>
      <c r="D140" s="39">
        <v>0.5</v>
      </c>
      <c r="E140" s="39">
        <v>24</v>
      </c>
      <c r="F140" s="39">
        <v>13</v>
      </c>
      <c r="G140" s="39">
        <v>24</v>
      </c>
      <c r="H140" s="39">
        <v>5.8819999999999997</v>
      </c>
      <c r="I140" s="39">
        <v>8.0000000000000004E-4</v>
      </c>
      <c r="J140" s="39">
        <v>-38.582299999999996</v>
      </c>
      <c r="K140" s="39">
        <v>2.2000000000000001E-3</v>
      </c>
      <c r="L140" s="39">
        <v>4.1000000000000002E-2</v>
      </c>
      <c r="M140" s="39">
        <v>7.0000000000000001E-3</v>
      </c>
      <c r="N140" s="39">
        <v>-6.1999999999999998E-3</v>
      </c>
      <c r="O140" s="39">
        <v>0</v>
      </c>
      <c r="P140" s="39">
        <v>119.64</v>
      </c>
      <c r="Q140" s="39">
        <v>0.08</v>
      </c>
      <c r="R140" s="4">
        <f t="shared" si="11"/>
        <v>0.20770833333333336</v>
      </c>
      <c r="S140" s="22">
        <f t="shared" si="8"/>
        <v>1.3888888888888889E-4</v>
      </c>
    </row>
    <row r="141" spans="1:19">
      <c r="A141" s="92" t="s">
        <v>1622</v>
      </c>
      <c r="B141" s="29" t="s">
        <v>1623</v>
      </c>
      <c r="C141" s="41"/>
      <c r="D141" s="41">
        <v>0.75</v>
      </c>
      <c r="E141" s="39">
        <v>24</v>
      </c>
      <c r="F141" s="39">
        <v>13</v>
      </c>
      <c r="G141" s="39">
        <v>24</v>
      </c>
      <c r="H141" s="29">
        <v>5.1803999999999997</v>
      </c>
      <c r="I141" s="4">
        <v>8.9999999999999998E-4</v>
      </c>
      <c r="J141" s="29">
        <v>-35.249299999999998</v>
      </c>
      <c r="K141" s="4">
        <v>4.7000000000000002E-3</v>
      </c>
      <c r="L141" s="4">
        <v>0.114</v>
      </c>
      <c r="M141" s="4">
        <v>1.0999999999999999E-2</v>
      </c>
      <c r="N141" s="4">
        <v>-9.4000000000000004E-3</v>
      </c>
      <c r="O141" s="4">
        <v>1E-4</v>
      </c>
      <c r="P141" s="4">
        <v>103.87</v>
      </c>
      <c r="Q141" s="4">
        <v>0.23</v>
      </c>
      <c r="R141" s="29">
        <f t="shared" si="11"/>
        <v>0.18032986111111113</v>
      </c>
      <c r="S141" s="22">
        <f t="shared" si="8"/>
        <v>3.9930555555555558E-4</v>
      </c>
    </row>
    <row r="142" spans="1:19">
      <c r="A142" s="44" t="s">
        <v>1624</v>
      </c>
      <c r="B142" s="45" t="s">
        <v>1625</v>
      </c>
      <c r="C142" s="45"/>
      <c r="D142" s="45">
        <v>0.25</v>
      </c>
      <c r="E142" s="4">
        <v>24</v>
      </c>
      <c r="F142" s="4">
        <v>13</v>
      </c>
      <c r="G142" s="4">
        <v>24</v>
      </c>
      <c r="H142" s="48">
        <v>6.5942999999999996</v>
      </c>
      <c r="I142" s="4">
        <v>5.0000000000000001E-4</v>
      </c>
      <c r="J142" s="45">
        <v>-42.790900000000001</v>
      </c>
      <c r="K142" s="4">
        <v>2.2000000000000001E-3</v>
      </c>
      <c r="L142" s="4">
        <v>3.2000000000000001E-2</v>
      </c>
      <c r="M142" s="4">
        <v>6.0000000000000001E-3</v>
      </c>
      <c r="N142" s="4">
        <v>-4.7000000000000002E-3</v>
      </c>
      <c r="O142" s="4">
        <v>0</v>
      </c>
      <c r="P142" s="4">
        <v>127.04</v>
      </c>
      <c r="Q142" s="4">
        <v>0.05</v>
      </c>
      <c r="R142" s="45">
        <f t="shared" si="11"/>
        <v>0.22055555555555556</v>
      </c>
      <c r="S142" s="22">
        <f t="shared" si="8"/>
        <v>8.6805555555555572E-5</v>
      </c>
    </row>
    <row r="143" spans="1:19">
      <c r="A143" s="23" t="s">
        <v>1624</v>
      </c>
      <c r="B143" s="4" t="s">
        <v>1625</v>
      </c>
      <c r="D143" s="4">
        <v>0.5</v>
      </c>
      <c r="E143" s="4">
        <v>24</v>
      </c>
      <c r="F143" s="4">
        <v>13</v>
      </c>
      <c r="G143" s="4">
        <v>24</v>
      </c>
      <c r="H143" s="4">
        <v>5.8266</v>
      </c>
      <c r="I143" s="4">
        <v>1E-3</v>
      </c>
      <c r="J143" s="4">
        <v>-38.155299999999997</v>
      </c>
      <c r="K143" s="4">
        <v>4.0000000000000001E-3</v>
      </c>
      <c r="L143" s="4">
        <v>5.8999999999999997E-2</v>
      </c>
      <c r="M143" s="4">
        <v>6.0000000000000001E-3</v>
      </c>
      <c r="N143" s="4">
        <v>-6.0000000000000001E-3</v>
      </c>
      <c r="O143" s="4">
        <v>2.0000000000000001E-4</v>
      </c>
      <c r="P143" s="4">
        <v>123.24</v>
      </c>
      <c r="Q143" s="4">
        <v>0.24</v>
      </c>
      <c r="R143" s="4">
        <f t="shared" si="11"/>
        <v>0.21395833333333331</v>
      </c>
      <c r="S143" s="22">
        <f t="shared" si="8"/>
        <v>4.1666666666666664E-4</v>
      </c>
    </row>
    <row r="144" spans="1:19" ht="17" thickBot="1">
      <c r="A144" s="25" t="s">
        <v>1624</v>
      </c>
      <c r="B144" s="9" t="s">
        <v>1625</v>
      </c>
      <c r="C144" s="9"/>
      <c r="D144" s="9">
        <v>0.75</v>
      </c>
      <c r="E144" s="10">
        <v>24</v>
      </c>
      <c r="F144" s="10">
        <v>13</v>
      </c>
      <c r="G144" s="10">
        <v>24</v>
      </c>
      <c r="H144" s="9">
        <v>5.0724999999999998</v>
      </c>
      <c r="I144" s="10">
        <v>1E-3</v>
      </c>
      <c r="J144" s="9">
        <v>-34.088500000000003</v>
      </c>
      <c r="K144" s="10">
        <v>3.0999999999999999E-3</v>
      </c>
      <c r="L144" s="10">
        <v>9.4E-2</v>
      </c>
      <c r="M144" s="10">
        <v>1.4E-2</v>
      </c>
      <c r="N144" s="10">
        <v>-8.6E-3</v>
      </c>
      <c r="O144" s="10">
        <v>1E-4</v>
      </c>
      <c r="P144" s="10">
        <v>113.8</v>
      </c>
      <c r="Q144" s="10">
        <v>0.05</v>
      </c>
      <c r="R144" s="9">
        <f t="shared" si="11"/>
        <v>0.19756944444444444</v>
      </c>
      <c r="S144" s="26">
        <f t="shared" si="8"/>
        <v>8.6805555555555572E-5</v>
      </c>
    </row>
    <row r="145" spans="1:19" ht="17" thickTop="1">
      <c r="A145" s="102" t="s">
        <v>1626</v>
      </c>
      <c r="B145" s="119" t="s">
        <v>1627</v>
      </c>
      <c r="C145" s="176" t="s">
        <v>17</v>
      </c>
      <c r="D145" s="119">
        <v>0.25</v>
      </c>
      <c r="E145" s="7">
        <v>24</v>
      </c>
      <c r="F145" s="7">
        <v>14</v>
      </c>
      <c r="G145" s="7">
        <v>24</v>
      </c>
      <c r="H145" s="119">
        <v>6.7343999999999999</v>
      </c>
      <c r="I145" s="7">
        <v>8.0000000000000004E-4</v>
      </c>
      <c r="J145" s="119">
        <v>-45.761899999999997</v>
      </c>
      <c r="K145" s="7">
        <v>1E-3</v>
      </c>
      <c r="L145" s="7">
        <v>0.104</v>
      </c>
      <c r="M145" s="7">
        <v>1.4E-2</v>
      </c>
      <c r="N145" s="7">
        <v>-6.3E-3</v>
      </c>
      <c r="O145" s="7">
        <v>2.0000000000000001E-4</v>
      </c>
      <c r="P145" s="7">
        <v>118.66</v>
      </c>
      <c r="Q145" s="7">
        <v>0.36</v>
      </c>
      <c r="R145" s="119">
        <f t="shared" si="11"/>
        <v>0.20600694444444445</v>
      </c>
      <c r="S145" s="18">
        <f t="shared" si="8"/>
        <v>6.2500000000000001E-4</v>
      </c>
    </row>
    <row r="146" spans="1:19">
      <c r="A146" s="44" t="s">
        <v>1628</v>
      </c>
      <c r="B146" s="45" t="s">
        <v>1629</v>
      </c>
      <c r="C146" s="45" t="s">
        <v>19</v>
      </c>
      <c r="D146" s="45">
        <v>0.25</v>
      </c>
      <c r="E146" s="4">
        <v>24</v>
      </c>
      <c r="F146" s="4">
        <v>14</v>
      </c>
      <c r="G146" s="4">
        <v>24</v>
      </c>
      <c r="H146" s="45">
        <v>6.6424000000000003</v>
      </c>
      <c r="I146" s="4">
        <v>1E-3</v>
      </c>
      <c r="J146" s="45">
        <v>-45.321199999999997</v>
      </c>
      <c r="K146" s="4">
        <v>3.3999999999999998E-3</v>
      </c>
      <c r="L146" s="4">
        <v>0.107</v>
      </c>
      <c r="M146" s="4">
        <v>1.4E-2</v>
      </c>
      <c r="N146" s="4">
        <v>-5.7000000000000002E-3</v>
      </c>
      <c r="O146" s="4">
        <v>1E-4</v>
      </c>
      <c r="P146" s="4">
        <v>123.53</v>
      </c>
      <c r="Q146" s="4">
        <v>0.08</v>
      </c>
      <c r="R146" s="45">
        <f t="shared" si="11"/>
        <v>0.21446180555555558</v>
      </c>
      <c r="S146" s="22">
        <f t="shared" si="8"/>
        <v>1.3888888888888889E-4</v>
      </c>
    </row>
    <row r="147" spans="1:19">
      <c r="A147" s="44" t="s">
        <v>1630</v>
      </c>
      <c r="B147" s="45" t="s">
        <v>1631</v>
      </c>
      <c r="C147" s="45" t="s">
        <v>30</v>
      </c>
      <c r="D147" s="45">
        <v>0.25</v>
      </c>
      <c r="E147" s="4">
        <v>24</v>
      </c>
      <c r="F147" s="4">
        <v>14</v>
      </c>
      <c r="G147" s="4">
        <v>24</v>
      </c>
      <c r="H147" s="45">
        <v>6.8783000000000003</v>
      </c>
      <c r="I147" s="4">
        <v>2.0000000000000001E-4</v>
      </c>
      <c r="J147" s="45">
        <v>-44.307299999999998</v>
      </c>
      <c r="K147" s="4">
        <v>1.8E-3</v>
      </c>
      <c r="L147" s="4">
        <v>2.5000000000000001E-2</v>
      </c>
      <c r="M147" s="4">
        <v>8.0000000000000002E-3</v>
      </c>
      <c r="N147" s="4">
        <v>-4.5999999999999999E-3</v>
      </c>
      <c r="O147" s="4">
        <v>1E-4</v>
      </c>
      <c r="P147" s="4">
        <v>124.11</v>
      </c>
      <c r="Q147" s="4">
        <v>0.13</v>
      </c>
      <c r="R147" s="45">
        <f t="shared" si="11"/>
        <v>0.21546874999999999</v>
      </c>
      <c r="S147" s="22">
        <f t="shared" si="8"/>
        <v>2.2569444444444446E-4</v>
      </c>
    </row>
    <row r="148" spans="1:19">
      <c r="A148" s="23" t="s">
        <v>1630</v>
      </c>
      <c r="B148" s="4" t="s">
        <v>1631</v>
      </c>
      <c r="C148" s="4" t="s">
        <v>30</v>
      </c>
      <c r="D148" s="4">
        <v>0.5</v>
      </c>
      <c r="E148" s="4">
        <v>24</v>
      </c>
      <c r="F148" s="4">
        <v>14</v>
      </c>
      <c r="G148" s="4">
        <v>24</v>
      </c>
      <c r="H148" s="4">
        <v>6.4633000000000003</v>
      </c>
      <c r="I148" s="4">
        <v>2.9999999999999997E-4</v>
      </c>
      <c r="J148" s="4">
        <v>-42.033900000000003</v>
      </c>
      <c r="K148" s="4">
        <v>8.9999999999999998E-4</v>
      </c>
      <c r="L148" s="4">
        <v>0.03</v>
      </c>
      <c r="M148" s="4">
        <v>5.0000000000000001E-3</v>
      </c>
      <c r="N148" s="4">
        <v>-6.1999999999999998E-3</v>
      </c>
      <c r="O148" s="4">
        <v>2.0000000000000001E-4</v>
      </c>
      <c r="P148" s="4">
        <v>111.87</v>
      </c>
      <c r="Q148" s="4">
        <v>0.15</v>
      </c>
      <c r="R148" s="4">
        <f t="shared" si="11"/>
        <v>0.19421875</v>
      </c>
      <c r="S148" s="22">
        <f t="shared" si="8"/>
        <v>2.6041666666666666E-4</v>
      </c>
    </row>
    <row r="149" spans="1:19">
      <c r="A149" s="44" t="s">
        <v>1632</v>
      </c>
      <c r="B149" s="45" t="s">
        <v>1633</v>
      </c>
      <c r="C149" s="45"/>
      <c r="D149" s="45">
        <v>0.25</v>
      </c>
      <c r="E149" s="4">
        <v>24</v>
      </c>
      <c r="F149" s="4">
        <v>14</v>
      </c>
      <c r="G149" s="4">
        <v>24</v>
      </c>
      <c r="H149" s="45">
        <v>6.7907999999999999</v>
      </c>
      <c r="I149" s="4">
        <v>2.9999999999999997E-4</v>
      </c>
      <c r="J149" s="45">
        <v>-43.753599999999999</v>
      </c>
      <c r="K149" s="4">
        <v>1.6000000000000001E-3</v>
      </c>
      <c r="L149" s="4">
        <v>2.8000000000000001E-2</v>
      </c>
      <c r="M149" s="4">
        <v>7.0000000000000001E-3</v>
      </c>
      <c r="N149" s="4">
        <v>-4.5999999999999999E-3</v>
      </c>
      <c r="O149" s="4">
        <v>0</v>
      </c>
      <c r="P149" s="4">
        <v>126.63</v>
      </c>
      <c r="Q149" s="4">
        <v>7.0000000000000007E-2</v>
      </c>
      <c r="R149" s="45">
        <f t="shared" si="11"/>
        <v>0.21984375</v>
      </c>
      <c r="S149" s="22">
        <f t="shared" si="8"/>
        <v>1.2152777777777779E-4</v>
      </c>
    </row>
    <row r="150" spans="1:19">
      <c r="A150" s="23" t="s">
        <v>1632</v>
      </c>
      <c r="B150" s="4" t="s">
        <v>1633</v>
      </c>
      <c r="D150" s="4">
        <v>0.5</v>
      </c>
      <c r="E150" s="4">
        <v>24</v>
      </c>
      <c r="F150" s="4">
        <v>14</v>
      </c>
      <c r="G150" s="4">
        <v>24</v>
      </c>
      <c r="H150" s="4">
        <v>6.2202000000000002</v>
      </c>
      <c r="I150" s="4">
        <v>2.0000000000000001E-4</v>
      </c>
      <c r="J150" s="4">
        <v>-40.120199999999997</v>
      </c>
      <c r="K150" s="4">
        <v>1.2999999999999999E-3</v>
      </c>
      <c r="L150" s="4">
        <v>6.2E-2</v>
      </c>
      <c r="M150" s="4">
        <v>8.9999999999999993E-3</v>
      </c>
      <c r="N150" s="4">
        <v>-5.5999999999999999E-3</v>
      </c>
      <c r="O150" s="4">
        <v>1E-4</v>
      </c>
      <c r="P150" s="4">
        <v>122.8</v>
      </c>
      <c r="Q150" s="4">
        <v>0.17</v>
      </c>
      <c r="R150" s="4">
        <f t="shared" si="11"/>
        <v>0.21319444444444444</v>
      </c>
      <c r="S150" s="22">
        <f t="shared" si="8"/>
        <v>2.9513888888888889E-4</v>
      </c>
    </row>
    <row r="151" spans="1:19">
      <c r="A151" s="28" t="s">
        <v>1632</v>
      </c>
      <c r="B151" s="29" t="s">
        <v>1633</v>
      </c>
      <c r="C151" s="29"/>
      <c r="D151" s="29">
        <v>0.75</v>
      </c>
      <c r="E151" s="4">
        <v>24</v>
      </c>
      <c r="F151" s="4">
        <v>14</v>
      </c>
      <c r="G151" s="4">
        <v>24</v>
      </c>
      <c r="H151" s="41">
        <v>5.6643999999999997</v>
      </c>
      <c r="I151" s="4">
        <v>6.9999999999999999E-4</v>
      </c>
      <c r="J151" s="29">
        <v>-37.047699999999999</v>
      </c>
      <c r="K151" s="4">
        <v>2.2000000000000001E-3</v>
      </c>
      <c r="L151" s="4">
        <v>7.9000000000000001E-2</v>
      </c>
      <c r="M151" s="4">
        <v>2.1000000000000001E-2</v>
      </c>
      <c r="N151" s="4">
        <v>-7.1999999999999998E-3</v>
      </c>
      <c r="O151" s="4">
        <v>2.0000000000000001E-4</v>
      </c>
      <c r="P151" s="4">
        <v>114.1</v>
      </c>
      <c r="Q151" s="4">
        <v>0.24</v>
      </c>
      <c r="R151" s="29">
        <f t="shared" si="11"/>
        <v>0.19809027777777774</v>
      </c>
      <c r="S151" s="22">
        <f t="shared" si="8"/>
        <v>4.1666666666666664E-4</v>
      </c>
    </row>
    <row r="152" spans="1:19">
      <c r="A152" s="33" t="s">
        <v>1632</v>
      </c>
      <c r="B152" s="34" t="s">
        <v>1633</v>
      </c>
      <c r="C152" s="34"/>
      <c r="D152" s="34">
        <v>1</v>
      </c>
      <c r="E152" s="4">
        <v>24</v>
      </c>
      <c r="F152" s="4">
        <v>14</v>
      </c>
      <c r="G152" s="4">
        <v>24</v>
      </c>
      <c r="H152" s="38">
        <v>5.1345000000000001</v>
      </c>
      <c r="I152" s="4">
        <v>2.0000000000000001E-4</v>
      </c>
      <c r="J152" s="34">
        <v>-34.927999999999997</v>
      </c>
      <c r="K152" s="4">
        <v>6.9999999999999999E-4</v>
      </c>
      <c r="L152" s="4">
        <v>0.11799999999999999</v>
      </c>
      <c r="M152" s="4">
        <v>3.1E-2</v>
      </c>
      <c r="N152" s="4">
        <v>-1.06E-2</v>
      </c>
      <c r="O152" s="4">
        <v>5.0000000000000001E-4</v>
      </c>
      <c r="P152" s="4">
        <v>97.77</v>
      </c>
      <c r="Q152" s="4">
        <v>0.59</v>
      </c>
      <c r="R152" s="34">
        <f t="shared" si="11"/>
        <v>0.16973958333333333</v>
      </c>
      <c r="S152" s="22">
        <f t="shared" si="8"/>
        <v>1.0243055555555556E-3</v>
      </c>
    </row>
    <row r="153" spans="1:19">
      <c r="A153" s="44" t="s">
        <v>1634</v>
      </c>
      <c r="B153" s="45" t="s">
        <v>1635</v>
      </c>
      <c r="C153" s="45"/>
      <c r="D153" s="45">
        <v>0.25</v>
      </c>
      <c r="E153" s="4">
        <v>24</v>
      </c>
      <c r="F153" s="4">
        <v>14</v>
      </c>
      <c r="G153" s="4">
        <v>24</v>
      </c>
      <c r="H153" s="45">
        <v>6.7617000000000003</v>
      </c>
      <c r="I153" s="4">
        <v>5.0000000000000001E-4</v>
      </c>
      <c r="J153" s="45">
        <v>-44.142400000000002</v>
      </c>
      <c r="K153" s="4">
        <v>1.9E-3</v>
      </c>
      <c r="L153" s="4">
        <v>3.9E-2</v>
      </c>
      <c r="M153" s="4">
        <v>7.0000000000000001E-3</v>
      </c>
      <c r="N153" s="4">
        <v>-4.7999999999999996E-3</v>
      </c>
      <c r="O153" s="4">
        <v>2.0000000000000001E-4</v>
      </c>
      <c r="P153" s="4">
        <v>126.4</v>
      </c>
      <c r="Q153" s="4">
        <v>0.25</v>
      </c>
      <c r="R153" s="45">
        <f t="shared" si="11"/>
        <v>0.21944444444444447</v>
      </c>
      <c r="S153" s="22">
        <f t="shared" si="8"/>
        <v>4.3402777777777775E-4</v>
      </c>
    </row>
    <row r="154" spans="1:19">
      <c r="A154" s="23" t="s">
        <v>1634</v>
      </c>
      <c r="B154" s="4" t="s">
        <v>1635</v>
      </c>
      <c r="D154" s="4">
        <v>0.5</v>
      </c>
      <c r="E154" s="4">
        <v>24</v>
      </c>
      <c r="F154" s="4">
        <v>14</v>
      </c>
      <c r="G154" s="4">
        <v>24</v>
      </c>
      <c r="H154" s="4">
        <v>6.1577000000000002</v>
      </c>
      <c r="I154" s="4">
        <v>1E-4</v>
      </c>
      <c r="J154" s="4">
        <v>-40.987099999999998</v>
      </c>
      <c r="K154" s="4">
        <v>1E-3</v>
      </c>
      <c r="L154" s="4">
        <v>6.8000000000000005E-2</v>
      </c>
      <c r="M154" s="4">
        <v>1.2999999999999999E-2</v>
      </c>
      <c r="N154" s="4">
        <v>-5.8999999999999999E-3</v>
      </c>
      <c r="O154" s="4">
        <v>1E-4</v>
      </c>
      <c r="P154" s="4">
        <v>121.62</v>
      </c>
      <c r="Q154" s="4">
        <v>0.19</v>
      </c>
      <c r="R154" s="4">
        <f t="shared" si="11"/>
        <v>0.21114583333333334</v>
      </c>
      <c r="S154" s="22">
        <f t="shared" si="8"/>
        <v>3.2986111111111112E-4</v>
      </c>
    </row>
    <row r="155" spans="1:19">
      <c r="A155" s="28" t="s">
        <v>1634</v>
      </c>
      <c r="B155" s="29" t="s">
        <v>1635</v>
      </c>
      <c r="C155" s="29"/>
      <c r="D155" s="29">
        <v>0.75</v>
      </c>
      <c r="E155" s="4">
        <v>24</v>
      </c>
      <c r="F155" s="4">
        <v>14</v>
      </c>
      <c r="G155" s="4">
        <v>24</v>
      </c>
      <c r="H155" s="41">
        <v>5.5355999999999996</v>
      </c>
      <c r="I155" s="4">
        <v>5.9999999999999995E-4</v>
      </c>
      <c r="J155" s="29">
        <v>-38.6858</v>
      </c>
      <c r="K155" s="4">
        <v>6.9999999999999999E-4</v>
      </c>
      <c r="L155" s="4">
        <v>0.19500000000000001</v>
      </c>
      <c r="M155" s="4">
        <v>3.7999999999999999E-2</v>
      </c>
      <c r="N155" s="4">
        <v>-9.7000000000000003E-3</v>
      </c>
      <c r="O155" s="4">
        <v>1E-4</v>
      </c>
      <c r="P155" s="4">
        <v>107.35</v>
      </c>
      <c r="Q155" s="4">
        <v>0.09</v>
      </c>
      <c r="R155" s="29">
        <f t="shared" si="11"/>
        <v>0.18637152777777774</v>
      </c>
      <c r="S155" s="22">
        <f t="shared" si="8"/>
        <v>1.5625E-4</v>
      </c>
    </row>
    <row r="156" spans="1:19">
      <c r="A156" s="44" t="s">
        <v>1636</v>
      </c>
      <c r="B156" s="45" t="s">
        <v>1637</v>
      </c>
      <c r="C156" s="45"/>
      <c r="D156" s="45">
        <v>0.25</v>
      </c>
      <c r="E156" s="4">
        <v>24</v>
      </c>
      <c r="F156" s="4">
        <v>14</v>
      </c>
      <c r="G156" s="4">
        <v>24</v>
      </c>
      <c r="H156" s="45">
        <v>6.7191999999999998</v>
      </c>
      <c r="I156" s="4">
        <v>2.0000000000000001E-4</v>
      </c>
      <c r="J156" s="45">
        <v>-44.236899999999999</v>
      </c>
      <c r="K156" s="4">
        <v>5.0000000000000001E-4</v>
      </c>
      <c r="L156" s="4">
        <v>5.1999999999999998E-2</v>
      </c>
      <c r="M156" s="4">
        <v>8.0000000000000002E-3</v>
      </c>
      <c r="N156" s="4">
        <v>-4.7000000000000002E-3</v>
      </c>
      <c r="O156" s="4">
        <v>0</v>
      </c>
      <c r="P156" s="4">
        <v>126.83</v>
      </c>
      <c r="Q156" s="4">
        <v>0.13</v>
      </c>
      <c r="R156" s="45">
        <f t="shared" si="11"/>
        <v>0.22019097222222223</v>
      </c>
      <c r="S156" s="22">
        <f t="shared" si="8"/>
        <v>2.2569444444444446E-4</v>
      </c>
    </row>
    <row r="157" spans="1:19">
      <c r="A157" s="23" t="s">
        <v>1636</v>
      </c>
      <c r="B157" s="4" t="s">
        <v>1637</v>
      </c>
      <c r="D157" s="4">
        <v>0.5</v>
      </c>
      <c r="E157" s="4">
        <v>24</v>
      </c>
      <c r="F157" s="4">
        <v>14</v>
      </c>
      <c r="G157" s="4">
        <v>24</v>
      </c>
      <c r="H157" s="4">
        <v>6.0606</v>
      </c>
      <c r="I157" s="4">
        <v>2.0000000000000001E-4</v>
      </c>
      <c r="J157" s="4">
        <v>-41.209899999999998</v>
      </c>
      <c r="K157" s="4">
        <v>4.0000000000000002E-4</v>
      </c>
      <c r="L157" s="4">
        <v>0.11</v>
      </c>
      <c r="M157" s="4">
        <v>1.2E-2</v>
      </c>
      <c r="N157" s="4">
        <v>-6.7000000000000002E-3</v>
      </c>
      <c r="O157" s="4">
        <v>2.9999999999999997E-4</v>
      </c>
      <c r="P157" s="4">
        <v>120.39</v>
      </c>
      <c r="Q157" s="4">
        <v>0.27</v>
      </c>
      <c r="R157" s="4">
        <f t="shared" si="11"/>
        <v>0.20901041666666667</v>
      </c>
      <c r="S157" s="22">
        <f t="shared" si="8"/>
        <v>4.6875000000000004E-4</v>
      </c>
    </row>
    <row r="158" spans="1:19" ht="17" thickBot="1">
      <c r="A158" s="28" t="s">
        <v>1636</v>
      </c>
      <c r="B158" s="29" t="s">
        <v>1637</v>
      </c>
      <c r="C158" s="29"/>
      <c r="D158" s="29">
        <v>0.75</v>
      </c>
      <c r="E158" s="4">
        <v>24</v>
      </c>
      <c r="F158" s="4">
        <v>14</v>
      </c>
      <c r="G158" s="4">
        <v>24</v>
      </c>
      <c r="H158" s="41">
        <v>5.3693999999999997</v>
      </c>
      <c r="I158" s="4">
        <v>2.9999999999999997E-4</v>
      </c>
      <c r="J158" s="29">
        <v>-39.130499999999998</v>
      </c>
      <c r="K158" s="4">
        <v>1.2999999999999999E-3</v>
      </c>
      <c r="L158" s="4">
        <v>0.27100000000000002</v>
      </c>
      <c r="M158" s="4">
        <v>1.0999999999999999E-2</v>
      </c>
      <c r="N158" s="4">
        <v>-1.09E-2</v>
      </c>
      <c r="O158" s="4">
        <v>0</v>
      </c>
      <c r="P158" s="4">
        <v>101.89</v>
      </c>
      <c r="Q158" s="4">
        <v>0.14000000000000001</v>
      </c>
      <c r="R158" s="29">
        <f t="shared" si="11"/>
        <v>0.17689236111111112</v>
      </c>
      <c r="S158" s="22">
        <f t="shared" si="8"/>
        <v>2.4305555555555558E-4</v>
      </c>
    </row>
    <row r="159" spans="1:19" ht="17" thickTop="1">
      <c r="A159" s="102" t="s">
        <v>1638</v>
      </c>
      <c r="B159" s="119" t="s">
        <v>1639</v>
      </c>
      <c r="C159" s="176" t="s">
        <v>17</v>
      </c>
      <c r="D159" s="119">
        <v>0.25</v>
      </c>
      <c r="E159" s="7">
        <v>24</v>
      </c>
      <c r="F159" s="7">
        <v>15</v>
      </c>
      <c r="G159" s="7">
        <v>24</v>
      </c>
      <c r="H159" s="119">
        <v>6.9012000000000002</v>
      </c>
      <c r="I159" s="7">
        <v>8.0000000000000004E-4</v>
      </c>
      <c r="J159" s="119">
        <v>-46.970500000000001</v>
      </c>
      <c r="K159" s="7">
        <v>1.1999999999999999E-3</v>
      </c>
      <c r="L159" s="7">
        <v>0.113</v>
      </c>
      <c r="M159" s="7">
        <v>8.0000000000000002E-3</v>
      </c>
      <c r="N159" s="7">
        <v>-6.1000000000000004E-3</v>
      </c>
      <c r="O159" s="7">
        <v>1E-4</v>
      </c>
      <c r="P159" s="7">
        <v>118.63</v>
      </c>
      <c r="Q159" s="7">
        <v>0.31</v>
      </c>
      <c r="R159" s="119">
        <f t="shared" si="11"/>
        <v>0.20595486111111111</v>
      </c>
      <c r="S159" s="18">
        <f t="shared" si="8"/>
        <v>5.3819444444444444E-4</v>
      </c>
    </row>
    <row r="160" spans="1:19">
      <c r="A160" s="44" t="s">
        <v>1640</v>
      </c>
      <c r="B160" s="45" t="s">
        <v>1641</v>
      </c>
      <c r="C160" s="45" t="s">
        <v>19</v>
      </c>
      <c r="D160" s="45">
        <v>0.25</v>
      </c>
      <c r="E160" s="4">
        <v>24</v>
      </c>
      <c r="F160" s="4">
        <v>15</v>
      </c>
      <c r="G160" s="4">
        <v>24</v>
      </c>
      <c r="H160" s="45">
        <v>6.8156999999999996</v>
      </c>
      <c r="I160" s="4">
        <v>8.0000000000000004E-4</v>
      </c>
      <c r="J160" s="45">
        <v>-46.517800000000001</v>
      </c>
      <c r="K160" s="4">
        <v>2E-3</v>
      </c>
      <c r="L160" s="4">
        <v>9.9000000000000005E-2</v>
      </c>
      <c r="M160" s="4">
        <v>6.0000000000000001E-3</v>
      </c>
      <c r="N160" s="4">
        <v>-5.3E-3</v>
      </c>
      <c r="O160" s="4">
        <v>2.0000000000000001E-4</v>
      </c>
      <c r="P160" s="4">
        <v>123.55</v>
      </c>
      <c r="Q160" s="4">
        <v>0.25</v>
      </c>
      <c r="R160" s="45">
        <f t="shared" si="11"/>
        <v>0.21449652777777775</v>
      </c>
      <c r="S160" s="22">
        <f t="shared" si="8"/>
        <v>4.3402777777777775E-4</v>
      </c>
    </row>
    <row r="161" spans="1:19">
      <c r="A161" s="44" t="s">
        <v>1642</v>
      </c>
      <c r="B161" s="45" t="s">
        <v>1643</v>
      </c>
      <c r="C161" s="45" t="s">
        <v>30</v>
      </c>
      <c r="D161" s="45">
        <v>0.25</v>
      </c>
      <c r="E161" s="4">
        <v>24</v>
      </c>
      <c r="F161" s="4">
        <v>15</v>
      </c>
      <c r="G161" s="4">
        <v>24</v>
      </c>
      <c r="H161" s="45">
        <v>7.0609000000000002</v>
      </c>
      <c r="I161" s="4">
        <v>1E-3</v>
      </c>
      <c r="J161" s="45">
        <v>-45.508099999999999</v>
      </c>
      <c r="K161" s="4">
        <v>2.5000000000000001E-3</v>
      </c>
      <c r="L161" s="4">
        <v>4.7E-2</v>
      </c>
      <c r="M161" s="4">
        <v>2.5999999999999999E-2</v>
      </c>
      <c r="N161" s="4">
        <v>-4.5999999999999999E-3</v>
      </c>
      <c r="O161" s="4">
        <v>2.0000000000000001E-4</v>
      </c>
      <c r="P161" s="4">
        <v>123.81</v>
      </c>
      <c r="Q161" s="4">
        <v>0.18</v>
      </c>
      <c r="R161" s="45">
        <f>P161*E161/G161^3</f>
        <v>0.21494791666666668</v>
      </c>
      <c r="S161" s="22">
        <f t="shared" si="8"/>
        <v>3.1250000000000001E-4</v>
      </c>
    </row>
    <row r="162" spans="1:19">
      <c r="A162" s="23" t="s">
        <v>1642</v>
      </c>
      <c r="B162" s="4" t="s">
        <v>1643</v>
      </c>
      <c r="C162" s="4" t="s">
        <v>30</v>
      </c>
      <c r="D162" s="4">
        <v>0.5</v>
      </c>
      <c r="E162" s="4">
        <v>24</v>
      </c>
      <c r="F162" s="4">
        <v>15</v>
      </c>
      <c r="G162" s="4">
        <v>24</v>
      </c>
      <c r="H162" s="4">
        <v>6.8121</v>
      </c>
      <c r="I162" s="4">
        <v>6.9999999999999999E-4</v>
      </c>
      <c r="J162" s="4">
        <v>-44.390300000000003</v>
      </c>
      <c r="K162" s="4">
        <v>3.2000000000000002E-3</v>
      </c>
      <c r="L162" s="4">
        <v>2.9000000000000001E-2</v>
      </c>
      <c r="M162" s="4">
        <v>6.0000000000000001E-3</v>
      </c>
      <c r="N162" s="4">
        <v>-5.8999999999999999E-3</v>
      </c>
      <c r="O162" s="4">
        <v>2.0000000000000001E-4</v>
      </c>
      <c r="P162" s="4">
        <v>112.26</v>
      </c>
      <c r="Q162" s="4">
        <v>0.49</v>
      </c>
      <c r="R162" s="4">
        <f t="shared" si="11"/>
        <v>0.19489583333333335</v>
      </c>
      <c r="S162" s="22">
        <f t="shared" si="8"/>
        <v>8.5069444444444439E-4</v>
      </c>
    </row>
    <row r="163" spans="1:19">
      <c r="A163" s="23" t="s">
        <v>1644</v>
      </c>
      <c r="B163" s="4" t="s">
        <v>1645</v>
      </c>
      <c r="D163" s="4">
        <v>0.5</v>
      </c>
      <c r="E163" s="4">
        <v>24</v>
      </c>
      <c r="F163" s="4">
        <v>15</v>
      </c>
      <c r="G163" s="4">
        <v>24</v>
      </c>
      <c r="H163" s="4">
        <v>6.5015999999999998</v>
      </c>
      <c r="I163" s="4">
        <v>8.0000000000000004E-4</v>
      </c>
      <c r="J163" s="4">
        <v>-43.152500000000003</v>
      </c>
      <c r="K163" s="4">
        <v>3.2000000000000002E-3</v>
      </c>
      <c r="L163" s="4">
        <v>5.0999999999999997E-2</v>
      </c>
      <c r="M163" s="4">
        <v>1.2E-2</v>
      </c>
      <c r="N163" s="4">
        <v>-5.1000000000000004E-3</v>
      </c>
      <c r="O163" s="4">
        <v>1E-4</v>
      </c>
      <c r="P163" s="4">
        <v>124.77</v>
      </c>
      <c r="Q163" s="4">
        <v>0.23</v>
      </c>
      <c r="R163" s="4">
        <f t="shared" si="11"/>
        <v>0.21661458333333333</v>
      </c>
      <c r="S163" s="22">
        <f t="shared" si="8"/>
        <v>3.9930555555555558E-4</v>
      </c>
    </row>
    <row r="164" spans="1:19">
      <c r="A164" s="28" t="s">
        <v>1644</v>
      </c>
      <c r="B164" s="29" t="s">
        <v>1645</v>
      </c>
      <c r="C164" s="29"/>
      <c r="D164" s="29">
        <v>0.75</v>
      </c>
      <c r="E164" s="4">
        <v>24</v>
      </c>
      <c r="F164" s="4">
        <v>15</v>
      </c>
      <c r="G164" s="4">
        <v>24</v>
      </c>
      <c r="H164" s="29">
        <v>6.0622999999999996</v>
      </c>
      <c r="I164" s="4">
        <v>1E-3</v>
      </c>
      <c r="J164" s="29">
        <v>-41.439</v>
      </c>
      <c r="K164" s="4">
        <v>3.5999999999999999E-3</v>
      </c>
      <c r="L164" s="4">
        <v>0.129</v>
      </c>
      <c r="M164" s="4">
        <v>2E-3</v>
      </c>
      <c r="N164" s="4">
        <v>-6.7000000000000002E-3</v>
      </c>
      <c r="O164" s="4">
        <v>1E-4</v>
      </c>
      <c r="P164" s="4">
        <v>117.91</v>
      </c>
      <c r="Q164" s="4">
        <v>0.2</v>
      </c>
      <c r="R164" s="29">
        <f t="shared" si="11"/>
        <v>0.20470486111111111</v>
      </c>
      <c r="S164" s="22">
        <f t="shared" si="8"/>
        <v>3.4722222222222229E-4</v>
      </c>
    </row>
    <row r="165" spans="1:19" ht="17" thickBot="1">
      <c r="A165" s="50" t="s">
        <v>1644</v>
      </c>
      <c r="B165" s="14" t="s">
        <v>1645</v>
      </c>
      <c r="C165" s="14"/>
      <c r="D165" s="14">
        <v>1</v>
      </c>
      <c r="E165" s="10">
        <v>24</v>
      </c>
      <c r="F165" s="10">
        <v>15</v>
      </c>
      <c r="G165" s="10">
        <v>24</v>
      </c>
      <c r="H165" s="175">
        <v>5.6058000000000003</v>
      </c>
      <c r="I165" s="10">
        <v>5.9999999999999995E-4</v>
      </c>
      <c r="J165" s="14">
        <v>-40.408200000000001</v>
      </c>
      <c r="K165" s="10">
        <v>1.8E-3</v>
      </c>
      <c r="L165" s="10">
        <v>0.17899999999999999</v>
      </c>
      <c r="M165" s="10">
        <v>1.2999999999999999E-2</v>
      </c>
      <c r="N165" s="10">
        <v>-9.1000000000000004E-3</v>
      </c>
      <c r="O165" s="10">
        <v>5.9999999999999995E-4</v>
      </c>
      <c r="P165" s="10">
        <v>107.16</v>
      </c>
      <c r="Q165" s="10">
        <v>0.93</v>
      </c>
      <c r="R165" s="14">
        <f t="shared" si="11"/>
        <v>0.18604166666666669</v>
      </c>
      <c r="S165" s="26">
        <f t="shared" si="8"/>
        <v>1.6145833333333333E-3</v>
      </c>
    </row>
    <row r="166" spans="1:19" ht="17" thickTop="1">
      <c r="A166" s="44" t="s">
        <v>1646</v>
      </c>
      <c r="B166" s="45" t="s">
        <v>1647</v>
      </c>
      <c r="C166" s="168" t="s">
        <v>17</v>
      </c>
      <c r="D166" s="45">
        <v>0.25</v>
      </c>
      <c r="E166" s="4">
        <v>24</v>
      </c>
      <c r="F166" s="4">
        <v>16</v>
      </c>
      <c r="G166" s="4">
        <v>24</v>
      </c>
      <c r="H166" s="45">
        <v>7.0797999999999996</v>
      </c>
      <c r="I166" s="4">
        <v>8.9999999999999998E-4</v>
      </c>
      <c r="J166" s="45">
        <v>-48.215800000000002</v>
      </c>
      <c r="K166" s="4">
        <v>2.3999999999999998E-3</v>
      </c>
      <c r="L166" s="4">
        <v>0.11</v>
      </c>
      <c r="M166" s="4">
        <v>5.0000000000000001E-3</v>
      </c>
      <c r="N166" s="4">
        <v>-6.1000000000000004E-3</v>
      </c>
      <c r="O166" s="4">
        <v>1E-4</v>
      </c>
      <c r="P166" s="4">
        <v>118.56</v>
      </c>
      <c r="Q166" s="4">
        <v>0.39</v>
      </c>
      <c r="R166" s="45">
        <f t="shared" si="11"/>
        <v>0.20583333333333334</v>
      </c>
      <c r="S166" s="22">
        <f t="shared" si="8"/>
        <v>6.7708333333333325E-4</v>
      </c>
    </row>
    <row r="167" spans="1:19">
      <c r="A167" s="44" t="s">
        <v>1648</v>
      </c>
      <c r="B167" s="45" t="s">
        <v>1649</v>
      </c>
      <c r="C167" s="45" t="s">
        <v>19</v>
      </c>
      <c r="D167" s="45">
        <v>0.25</v>
      </c>
      <c r="E167" s="4">
        <v>24</v>
      </c>
      <c r="F167" s="4">
        <v>16</v>
      </c>
      <c r="G167" s="4">
        <v>24</v>
      </c>
      <c r="H167" s="45">
        <v>7.0042</v>
      </c>
      <c r="I167" s="4">
        <v>1E-3</v>
      </c>
      <c r="J167" s="45">
        <v>-47.743000000000002</v>
      </c>
      <c r="K167" s="4">
        <v>3.8E-3</v>
      </c>
      <c r="L167" s="4">
        <v>0.108</v>
      </c>
      <c r="M167" s="4">
        <v>8.0000000000000002E-3</v>
      </c>
      <c r="N167" s="4">
        <v>-5.1999999999999998E-3</v>
      </c>
      <c r="O167" s="4">
        <v>2.9999999999999997E-4</v>
      </c>
      <c r="P167" s="4">
        <v>123.81</v>
      </c>
      <c r="Q167" s="4">
        <v>0.45</v>
      </c>
      <c r="R167" s="45">
        <f t="shared" si="11"/>
        <v>0.21494791666666668</v>
      </c>
      <c r="S167" s="22">
        <f t="shared" si="8"/>
        <v>7.8125000000000004E-4</v>
      </c>
    </row>
    <row r="168" spans="1:19">
      <c r="A168" s="44" t="s">
        <v>1650</v>
      </c>
      <c r="B168" s="45" t="s">
        <v>1651</v>
      </c>
      <c r="C168" s="45" t="s">
        <v>30</v>
      </c>
      <c r="D168" s="45">
        <v>0.25</v>
      </c>
      <c r="E168" s="4">
        <v>24</v>
      </c>
      <c r="F168" s="4">
        <v>16</v>
      </c>
      <c r="G168" s="4">
        <v>24</v>
      </c>
      <c r="H168" s="45">
        <v>7.2539999999999996</v>
      </c>
      <c r="I168" s="4">
        <v>8.0000000000000004E-4</v>
      </c>
      <c r="J168" s="45">
        <v>-46.760899999999999</v>
      </c>
      <c r="K168" s="4">
        <v>1.6000000000000001E-3</v>
      </c>
      <c r="L168" s="4">
        <v>0.03</v>
      </c>
      <c r="M168" s="4">
        <v>1.4999999999999999E-2</v>
      </c>
      <c r="N168" s="4">
        <v>-4.4000000000000003E-3</v>
      </c>
      <c r="O168" s="4">
        <v>2.0000000000000001E-4</v>
      </c>
      <c r="P168" s="4">
        <v>124.1</v>
      </c>
      <c r="Q168" s="4">
        <v>0.22</v>
      </c>
      <c r="R168" s="45">
        <f t="shared" si="11"/>
        <v>0.21545138888888887</v>
      </c>
      <c r="S168" s="22">
        <f t="shared" si="8"/>
        <v>3.8194444444444446E-4</v>
      </c>
    </row>
    <row r="169" spans="1:19">
      <c r="A169" s="23" t="s">
        <v>1650</v>
      </c>
      <c r="B169" s="4" t="s">
        <v>1651</v>
      </c>
      <c r="C169" s="4" t="s">
        <v>30</v>
      </c>
      <c r="D169" s="4">
        <v>0.5</v>
      </c>
      <c r="E169" s="4">
        <v>24</v>
      </c>
      <c r="F169" s="4">
        <v>16</v>
      </c>
      <c r="G169" s="4">
        <v>24</v>
      </c>
      <c r="H169" s="4">
        <v>7.1848999999999998</v>
      </c>
      <c r="I169" s="4">
        <v>8.0000000000000004E-4</v>
      </c>
      <c r="J169" s="4">
        <v>-46.804699999999997</v>
      </c>
      <c r="K169" s="4">
        <v>2.8E-3</v>
      </c>
      <c r="L169" s="4">
        <v>2.1000000000000001E-2</v>
      </c>
      <c r="M169" s="4">
        <v>3.0000000000000001E-3</v>
      </c>
      <c r="N169" s="4">
        <v>-5.5999999999999999E-3</v>
      </c>
      <c r="O169" s="4">
        <v>1E-4</v>
      </c>
      <c r="P169" s="4">
        <v>113.19</v>
      </c>
      <c r="Q169" s="4">
        <v>0.13</v>
      </c>
      <c r="R169" s="4">
        <f t="shared" si="11"/>
        <v>0.19651041666666666</v>
      </c>
      <c r="S169" s="22">
        <f t="shared" si="8"/>
        <v>2.2569444444444446E-4</v>
      </c>
    </row>
    <row r="170" spans="1:19">
      <c r="A170" s="44" t="s">
        <v>1652</v>
      </c>
      <c r="B170" s="45" t="s">
        <v>1653</v>
      </c>
      <c r="C170" s="45"/>
      <c r="D170" s="45">
        <v>0.25</v>
      </c>
      <c r="E170" s="4">
        <v>24</v>
      </c>
      <c r="F170" s="4">
        <v>16</v>
      </c>
      <c r="G170" s="4">
        <v>24</v>
      </c>
      <c r="H170" s="45">
        <v>7.2027999999999999</v>
      </c>
      <c r="I170" s="4">
        <v>2.9999999999999997E-4</v>
      </c>
      <c r="J170" s="45">
        <v>-46.377600000000001</v>
      </c>
      <c r="K170" s="4">
        <v>2.3E-3</v>
      </c>
      <c r="L170" s="4">
        <v>2.1999999999999999E-2</v>
      </c>
      <c r="M170" s="4">
        <v>6.0000000000000001E-3</v>
      </c>
      <c r="N170" s="4">
        <v>-4.3E-3</v>
      </c>
      <c r="O170" s="4">
        <v>0</v>
      </c>
      <c r="P170" s="4">
        <v>126.56</v>
      </c>
      <c r="Q170" s="4">
        <v>0.04</v>
      </c>
      <c r="R170" s="45">
        <f t="shared" si="11"/>
        <v>0.21972222222222224</v>
      </c>
      <c r="S170" s="22">
        <f t="shared" si="8"/>
        <v>6.9444444444444444E-5</v>
      </c>
    </row>
    <row r="171" spans="1:19">
      <c r="A171" s="23" t="s">
        <v>1652</v>
      </c>
      <c r="B171" s="4" t="s">
        <v>1653</v>
      </c>
      <c r="D171" s="4">
        <v>0.5</v>
      </c>
      <c r="E171" s="4">
        <v>24</v>
      </c>
      <c r="F171" s="4">
        <v>16</v>
      </c>
      <c r="G171" s="4">
        <v>24</v>
      </c>
      <c r="H171" s="4">
        <v>7.0403000000000002</v>
      </c>
      <c r="I171" s="4">
        <v>5.0000000000000001E-4</v>
      </c>
      <c r="J171" s="4">
        <v>-45.290300000000002</v>
      </c>
      <c r="K171" s="4">
        <v>1.4E-3</v>
      </c>
      <c r="L171" s="4">
        <v>2.8000000000000001E-2</v>
      </c>
      <c r="M171" s="4">
        <v>5.0000000000000001E-3</v>
      </c>
      <c r="N171" s="4">
        <v>-4.4999999999999997E-3</v>
      </c>
      <c r="O171" s="4">
        <v>1E-4</v>
      </c>
      <c r="P171" s="4">
        <v>123.63</v>
      </c>
      <c r="Q171" s="4">
        <v>0.23</v>
      </c>
      <c r="R171" s="4">
        <f t="shared" si="11"/>
        <v>0.21463541666666666</v>
      </c>
      <c r="S171" s="22">
        <f t="shared" si="8"/>
        <v>3.9930555555555558E-4</v>
      </c>
    </row>
    <row r="172" spans="1:19">
      <c r="A172" s="28" t="s">
        <v>1652</v>
      </c>
      <c r="B172" s="29" t="s">
        <v>1653</v>
      </c>
      <c r="C172" s="29"/>
      <c r="D172" s="29">
        <v>0.75</v>
      </c>
      <c r="E172" s="4">
        <v>24</v>
      </c>
      <c r="F172" s="4">
        <v>16</v>
      </c>
      <c r="G172" s="4">
        <v>24</v>
      </c>
      <c r="H172" s="41">
        <v>6.8853999999999997</v>
      </c>
      <c r="I172" s="39">
        <v>6.9999999999999999E-4</v>
      </c>
      <c r="J172" s="41">
        <v>-44.542900000000003</v>
      </c>
      <c r="K172" s="39">
        <v>2.0999999999999999E-3</v>
      </c>
      <c r="L172" s="39">
        <v>0.03</v>
      </c>
      <c r="M172" s="39">
        <v>3.0000000000000001E-3</v>
      </c>
      <c r="N172" s="39">
        <v>-5.3E-3</v>
      </c>
      <c r="O172" s="39">
        <v>1E-4</v>
      </c>
      <c r="P172" s="39">
        <v>118.04</v>
      </c>
      <c r="Q172" s="39">
        <v>7.0000000000000007E-2</v>
      </c>
      <c r="R172" s="29">
        <f t="shared" si="11"/>
        <v>0.20493055555555556</v>
      </c>
      <c r="S172" s="22">
        <f t="shared" si="8"/>
        <v>1.2152777777777779E-4</v>
      </c>
    </row>
    <row r="173" spans="1:19" ht="17" thickBot="1">
      <c r="A173" s="50" t="s">
        <v>1652</v>
      </c>
      <c r="B173" s="14" t="s">
        <v>1653</v>
      </c>
      <c r="C173" s="14"/>
      <c r="D173" s="14">
        <v>1</v>
      </c>
      <c r="E173" s="10">
        <v>24</v>
      </c>
      <c r="F173" s="10">
        <v>16</v>
      </c>
      <c r="G173" s="10">
        <v>24</v>
      </c>
      <c r="H173" s="14">
        <v>6.7449000000000003</v>
      </c>
      <c r="I173" s="10">
        <v>8.9999999999999998E-4</v>
      </c>
      <c r="J173" s="14">
        <v>-44.183999999999997</v>
      </c>
      <c r="K173" s="10">
        <v>1.8E-3</v>
      </c>
      <c r="L173" s="10">
        <v>0.05</v>
      </c>
      <c r="M173" s="10">
        <v>1.2E-2</v>
      </c>
      <c r="N173" s="10">
        <v>-6.3E-3</v>
      </c>
      <c r="O173" s="10">
        <v>1E-4</v>
      </c>
      <c r="P173" s="10">
        <v>110.11</v>
      </c>
      <c r="Q173" s="10">
        <v>0.26</v>
      </c>
      <c r="R173" s="14">
        <f t="shared" si="11"/>
        <v>0.19116319444444443</v>
      </c>
      <c r="S173" s="26">
        <f t="shared" si="8"/>
        <v>4.5138888888888892E-4</v>
      </c>
    </row>
    <row r="174" spans="1:19" ht="17" thickTop="1">
      <c r="A174" s="102" t="s">
        <v>1654</v>
      </c>
      <c r="B174" s="119" t="s">
        <v>1655</v>
      </c>
      <c r="C174" s="176" t="s">
        <v>17</v>
      </c>
      <c r="D174" s="119">
        <v>0.25</v>
      </c>
      <c r="E174" s="7">
        <v>24</v>
      </c>
      <c r="F174" s="7">
        <v>17</v>
      </c>
      <c r="G174" s="7">
        <v>24</v>
      </c>
      <c r="H174" s="119">
        <v>7.2747999999999999</v>
      </c>
      <c r="I174" s="7">
        <v>1E-3</v>
      </c>
      <c r="J174" s="119">
        <v>-49.4803</v>
      </c>
      <c r="K174" s="7">
        <v>3.3E-3</v>
      </c>
      <c r="L174" s="7">
        <v>0.11700000000000001</v>
      </c>
      <c r="M174" s="7">
        <v>2.1000000000000001E-2</v>
      </c>
      <c r="N174" s="7">
        <v>-5.7999999999999996E-3</v>
      </c>
      <c r="O174" s="7">
        <v>1E-4</v>
      </c>
      <c r="P174" s="7">
        <v>119.45</v>
      </c>
      <c r="Q174" s="7">
        <v>0.25</v>
      </c>
      <c r="R174" s="119">
        <f t="shared" si="11"/>
        <v>0.20737847222222225</v>
      </c>
      <c r="S174" s="18">
        <f t="shared" si="8"/>
        <v>4.3402777777777775E-4</v>
      </c>
    </row>
    <row r="175" spans="1:19">
      <c r="A175" s="44" t="s">
        <v>1656</v>
      </c>
      <c r="B175" s="45" t="s">
        <v>1657</v>
      </c>
      <c r="C175" s="45" t="s">
        <v>19</v>
      </c>
      <c r="D175" s="45">
        <v>0.25</v>
      </c>
      <c r="E175" s="4">
        <v>24</v>
      </c>
      <c r="F175" s="4">
        <v>17</v>
      </c>
      <c r="G175" s="4">
        <v>24</v>
      </c>
      <c r="H175" s="48">
        <v>7.2077999999999998</v>
      </c>
      <c r="I175" s="4">
        <v>4.0000000000000002E-4</v>
      </c>
      <c r="J175" s="45">
        <v>-49.031599999999997</v>
      </c>
      <c r="K175" s="4">
        <v>1.8E-3</v>
      </c>
      <c r="L175" s="4">
        <v>9.9000000000000005E-2</v>
      </c>
      <c r="M175" s="4">
        <v>0.01</v>
      </c>
      <c r="N175" s="4">
        <v>-5.0000000000000001E-3</v>
      </c>
      <c r="O175" s="4">
        <v>1E-4</v>
      </c>
      <c r="P175" s="4">
        <v>124</v>
      </c>
      <c r="Q175" s="4">
        <v>0.23</v>
      </c>
      <c r="R175" s="45">
        <f t="shared" si="11"/>
        <v>0.21527777777777779</v>
      </c>
      <c r="S175" s="22">
        <f t="shared" si="8"/>
        <v>3.9930555555555558E-4</v>
      </c>
    </row>
    <row r="176" spans="1:19">
      <c r="A176" s="44" t="s">
        <v>1658</v>
      </c>
      <c r="B176" s="45" t="s">
        <v>1659</v>
      </c>
      <c r="C176" s="45" t="s">
        <v>30</v>
      </c>
      <c r="D176" s="45">
        <v>0.25</v>
      </c>
      <c r="E176" s="4">
        <v>24</v>
      </c>
      <c r="F176" s="4">
        <v>17</v>
      </c>
      <c r="G176" s="4">
        <v>24</v>
      </c>
      <c r="H176" s="48">
        <v>7.4554999999999998</v>
      </c>
      <c r="I176" s="4">
        <v>4.0000000000000002E-4</v>
      </c>
      <c r="J176" s="45">
        <v>-48.090299999999999</v>
      </c>
      <c r="K176" s="4">
        <v>1.6000000000000001E-3</v>
      </c>
      <c r="L176" s="4">
        <v>2.5000000000000001E-2</v>
      </c>
      <c r="M176" s="4">
        <v>6.0000000000000001E-3</v>
      </c>
      <c r="N176" s="4">
        <v>-4.4000000000000003E-3</v>
      </c>
      <c r="O176" s="4">
        <v>1E-4</v>
      </c>
      <c r="P176" s="4">
        <v>124.09</v>
      </c>
      <c r="Q176" s="4">
        <v>0.22</v>
      </c>
      <c r="R176" s="45">
        <f t="shared" si="11"/>
        <v>0.21543402777777776</v>
      </c>
      <c r="S176" s="22">
        <f t="shared" si="8"/>
        <v>3.8194444444444446E-4</v>
      </c>
    </row>
    <row r="177" spans="1:19" ht="17" thickBot="1">
      <c r="A177" s="44" t="s">
        <v>1660</v>
      </c>
      <c r="B177" s="45" t="s">
        <v>1661</v>
      </c>
      <c r="C177" s="45"/>
      <c r="D177" s="45">
        <v>0.25</v>
      </c>
      <c r="E177" s="4">
        <v>24</v>
      </c>
      <c r="F177" s="4">
        <v>17</v>
      </c>
      <c r="G177" s="4">
        <v>24</v>
      </c>
      <c r="H177" s="48">
        <v>7.3563999999999998</v>
      </c>
      <c r="I177" s="4">
        <v>4.0000000000000002E-4</v>
      </c>
      <c r="J177" s="45">
        <v>-47.879600000000003</v>
      </c>
      <c r="K177" s="4">
        <v>8.9999999999999998E-4</v>
      </c>
      <c r="L177" s="4">
        <v>3.4000000000000002E-2</v>
      </c>
      <c r="M177" s="4">
        <v>1.4E-2</v>
      </c>
      <c r="N177" s="4">
        <v>-4.1999999999999997E-3</v>
      </c>
      <c r="O177" s="4">
        <v>1E-4</v>
      </c>
      <c r="P177" s="4">
        <v>127.32</v>
      </c>
      <c r="Q177" s="4">
        <v>0.08</v>
      </c>
      <c r="R177" s="45">
        <f t="shared" si="11"/>
        <v>0.22104166666666666</v>
      </c>
      <c r="S177" s="22">
        <f t="shared" si="8"/>
        <v>1.3888888888888889E-4</v>
      </c>
    </row>
    <row r="178" spans="1:19" ht="17" thickTop="1">
      <c r="A178" s="102" t="s">
        <v>1662</v>
      </c>
      <c r="B178" s="119" t="s">
        <v>1663</v>
      </c>
      <c r="C178" s="176" t="s">
        <v>17</v>
      </c>
      <c r="D178" s="119">
        <v>0.25</v>
      </c>
      <c r="E178" s="7">
        <v>24</v>
      </c>
      <c r="F178" s="7">
        <v>18</v>
      </c>
      <c r="G178" s="7">
        <v>24</v>
      </c>
      <c r="H178" s="105">
        <v>7.4874000000000001</v>
      </c>
      <c r="I178" s="7">
        <v>4.0000000000000002E-4</v>
      </c>
      <c r="J178" s="119">
        <v>-50.7654</v>
      </c>
      <c r="K178" s="7">
        <v>1.4E-3</v>
      </c>
      <c r="L178" s="7">
        <v>0.11700000000000001</v>
      </c>
      <c r="M178" s="7">
        <v>1.0999999999999999E-2</v>
      </c>
      <c r="N178" s="7">
        <v>-5.1000000000000004E-3</v>
      </c>
      <c r="O178" s="7">
        <v>2.0000000000000001E-4</v>
      </c>
      <c r="P178" s="7">
        <v>121.28</v>
      </c>
      <c r="Q178" s="7">
        <v>0.25</v>
      </c>
      <c r="R178" s="119">
        <f t="shared" si="11"/>
        <v>0.21055555555555558</v>
      </c>
      <c r="S178" s="18">
        <f t="shared" si="8"/>
        <v>4.3402777777777775E-4</v>
      </c>
    </row>
    <row r="179" spans="1:19">
      <c r="A179" s="44" t="s">
        <v>1664</v>
      </c>
      <c r="B179" s="45" t="s">
        <v>1665</v>
      </c>
      <c r="C179" s="45" t="s">
        <v>19</v>
      </c>
      <c r="D179" s="45">
        <v>0.25</v>
      </c>
      <c r="E179" s="4">
        <v>24</v>
      </c>
      <c r="F179" s="4">
        <v>18</v>
      </c>
      <c r="G179" s="4">
        <v>24</v>
      </c>
      <c r="H179" s="45">
        <v>7.4294000000000002</v>
      </c>
      <c r="I179" s="4">
        <v>2.0000000000000001E-4</v>
      </c>
      <c r="J179" s="45">
        <v>-50.342700000000001</v>
      </c>
      <c r="K179" s="4">
        <v>8.9999999999999998E-4</v>
      </c>
      <c r="L179" s="4">
        <v>8.5999999999999993E-2</v>
      </c>
      <c r="M179" s="4">
        <v>1.0999999999999999E-2</v>
      </c>
      <c r="N179" s="4">
        <v>-4.7999999999999996E-3</v>
      </c>
      <c r="O179" s="4">
        <v>1E-4</v>
      </c>
      <c r="P179" s="4">
        <v>124.52</v>
      </c>
      <c r="Q179" s="4">
        <v>0.14000000000000001</v>
      </c>
      <c r="R179" s="45">
        <f t="shared" si="11"/>
        <v>0.21618055555555557</v>
      </c>
      <c r="S179" s="22">
        <f t="shared" si="8"/>
        <v>2.4305555555555558E-4</v>
      </c>
    </row>
    <row r="180" spans="1:19">
      <c r="A180" s="23" t="s">
        <v>1664</v>
      </c>
      <c r="B180" s="4" t="s">
        <v>1665</v>
      </c>
      <c r="C180" s="4" t="s">
        <v>19</v>
      </c>
      <c r="D180" s="4">
        <v>0.5</v>
      </c>
      <c r="E180" s="4">
        <v>24</v>
      </c>
      <c r="F180" s="4">
        <v>18</v>
      </c>
      <c r="G180" s="4">
        <v>24</v>
      </c>
      <c r="H180" s="39">
        <v>7.4207999999999998</v>
      </c>
      <c r="I180" s="4">
        <v>8.9999999999999998E-4</v>
      </c>
      <c r="J180" s="4">
        <v>-54.268599999999999</v>
      </c>
      <c r="K180" s="4">
        <v>1.2999999999999999E-3</v>
      </c>
      <c r="L180" s="4">
        <v>0.26300000000000001</v>
      </c>
      <c r="M180" s="4">
        <v>4.3999999999999997E-2</v>
      </c>
      <c r="N180" s="4">
        <v>-7.1999999999999998E-3</v>
      </c>
      <c r="O180" s="4">
        <v>1E-4</v>
      </c>
      <c r="P180" s="4">
        <v>109.13</v>
      </c>
      <c r="Q180" s="4">
        <v>0.46</v>
      </c>
      <c r="R180" s="4">
        <f t="shared" si="11"/>
        <v>0.18946180555555556</v>
      </c>
      <c r="S180" s="22">
        <f t="shared" si="8"/>
        <v>7.9861111111111116E-4</v>
      </c>
    </row>
    <row r="181" spans="1:19">
      <c r="A181" s="44" t="s">
        <v>1666</v>
      </c>
      <c r="B181" s="45" t="s">
        <v>1667</v>
      </c>
      <c r="C181" s="45" t="s">
        <v>30</v>
      </c>
      <c r="D181" s="45">
        <v>0.25</v>
      </c>
      <c r="E181" s="4">
        <v>24</v>
      </c>
      <c r="F181" s="4">
        <v>18</v>
      </c>
      <c r="G181" s="4">
        <v>24</v>
      </c>
      <c r="H181" s="45">
        <v>7.6712999999999996</v>
      </c>
      <c r="I181" s="4">
        <v>2.0000000000000001E-4</v>
      </c>
      <c r="J181" s="45">
        <v>-49.467100000000002</v>
      </c>
      <c r="K181" s="4">
        <v>1.1000000000000001E-3</v>
      </c>
      <c r="L181" s="4">
        <v>3.3000000000000002E-2</v>
      </c>
      <c r="M181" s="4">
        <v>1.4E-2</v>
      </c>
      <c r="N181" s="4">
        <v>-4.1999999999999997E-3</v>
      </c>
      <c r="O181" s="4">
        <v>2.9999999999999997E-4</v>
      </c>
      <c r="P181" s="4">
        <v>124.53</v>
      </c>
      <c r="Q181" s="4">
        <v>0.17</v>
      </c>
      <c r="R181" s="45">
        <f t="shared" si="11"/>
        <v>0.21619791666666668</v>
      </c>
      <c r="S181" s="22">
        <f t="shared" si="8"/>
        <v>2.9513888888888889E-4</v>
      </c>
    </row>
    <row r="182" spans="1:19">
      <c r="A182" s="23" t="s">
        <v>1666</v>
      </c>
      <c r="B182" s="4" t="s">
        <v>1667</v>
      </c>
      <c r="C182" s="4" t="s">
        <v>30</v>
      </c>
      <c r="D182" s="4">
        <v>0.5</v>
      </c>
      <c r="E182" s="4">
        <v>24</v>
      </c>
      <c r="F182" s="4">
        <v>18</v>
      </c>
      <c r="G182" s="4">
        <v>24</v>
      </c>
      <c r="H182" s="4">
        <v>7.9945000000000004</v>
      </c>
      <c r="I182" s="4">
        <v>6.9999999999999999E-4</v>
      </c>
      <c r="J182" s="4">
        <v>-51.951300000000003</v>
      </c>
      <c r="K182" s="4">
        <v>1.6000000000000001E-3</v>
      </c>
      <c r="L182" s="4">
        <v>3.5000000000000003E-2</v>
      </c>
      <c r="M182" s="4">
        <v>4.0000000000000001E-3</v>
      </c>
      <c r="N182" s="4">
        <v>-4.5999999999999999E-3</v>
      </c>
      <c r="O182" s="4">
        <v>0</v>
      </c>
      <c r="P182" s="4">
        <v>116.85</v>
      </c>
      <c r="Q182" s="4">
        <v>0.05</v>
      </c>
      <c r="R182" s="4">
        <f t="shared" si="11"/>
        <v>0.20286458333333332</v>
      </c>
      <c r="S182" s="22">
        <f t="shared" si="8"/>
        <v>8.6805555555555572E-5</v>
      </c>
    </row>
    <row r="183" spans="1:19">
      <c r="A183" s="44" t="s">
        <v>1668</v>
      </c>
      <c r="B183" s="45" t="s">
        <v>1669</v>
      </c>
      <c r="C183" s="45"/>
      <c r="D183" s="45">
        <v>0.25</v>
      </c>
      <c r="E183" s="4">
        <v>24</v>
      </c>
      <c r="F183" s="4">
        <v>18</v>
      </c>
      <c r="G183" s="4">
        <v>24</v>
      </c>
      <c r="H183" s="45">
        <v>7.5937999999999999</v>
      </c>
      <c r="I183" s="4">
        <v>6.9999999999999999E-4</v>
      </c>
      <c r="J183" s="45">
        <v>-49.368000000000002</v>
      </c>
      <c r="K183" s="4">
        <v>2.3999999999999998E-3</v>
      </c>
      <c r="L183" s="4">
        <v>0.06</v>
      </c>
      <c r="M183" s="4">
        <v>1.4E-2</v>
      </c>
      <c r="N183" s="4">
        <v>-4.1999999999999997E-3</v>
      </c>
      <c r="O183" s="4">
        <v>2.0000000000000001E-4</v>
      </c>
      <c r="P183" s="4">
        <v>126.82</v>
      </c>
      <c r="Q183" s="4">
        <v>0.25</v>
      </c>
      <c r="R183" s="45">
        <f t="shared" si="11"/>
        <v>0.22017361111111111</v>
      </c>
      <c r="S183" s="22">
        <f t="shared" si="8"/>
        <v>4.3402777777777775E-4</v>
      </c>
    </row>
    <row r="184" spans="1:19">
      <c r="A184" s="23" t="s">
        <v>1668</v>
      </c>
      <c r="B184" s="4" t="s">
        <v>1669</v>
      </c>
      <c r="D184" s="4">
        <v>0.5</v>
      </c>
      <c r="E184" s="4">
        <v>24</v>
      </c>
      <c r="F184" s="4">
        <v>18</v>
      </c>
      <c r="G184" s="4">
        <v>24</v>
      </c>
      <c r="H184" s="4">
        <v>7.8220000000000001</v>
      </c>
      <c r="I184" s="4">
        <v>4.0000000000000002E-4</v>
      </c>
      <c r="J184" s="4">
        <v>-51.2256</v>
      </c>
      <c r="K184" s="4">
        <v>1E-3</v>
      </c>
      <c r="L184" s="4">
        <v>4.3999999999999997E-2</v>
      </c>
      <c r="M184" s="4">
        <v>8.0000000000000002E-3</v>
      </c>
      <c r="N184" s="4">
        <v>-4.4000000000000003E-3</v>
      </c>
      <c r="O184" s="4">
        <v>2.0000000000000001E-4</v>
      </c>
      <c r="P184" s="4">
        <v>124.16</v>
      </c>
      <c r="Q184" s="4">
        <v>0.12</v>
      </c>
      <c r="R184" s="4">
        <f t="shared" si="11"/>
        <v>0.21555555555555556</v>
      </c>
      <c r="S184" s="22">
        <f t="shared" si="8"/>
        <v>2.0833333333333332E-4</v>
      </c>
    </row>
    <row r="185" spans="1:19">
      <c r="A185" s="28" t="s">
        <v>1668</v>
      </c>
      <c r="B185" s="29" t="s">
        <v>1669</v>
      </c>
      <c r="C185" s="29"/>
      <c r="D185" s="29">
        <v>0.75</v>
      </c>
      <c r="E185" s="4">
        <v>24</v>
      </c>
      <c r="F185" s="4">
        <v>18</v>
      </c>
      <c r="G185" s="4">
        <v>24</v>
      </c>
      <c r="H185" s="41">
        <v>8.0427</v>
      </c>
      <c r="I185" s="39">
        <v>8.0000000000000004E-4</v>
      </c>
      <c r="J185" s="41">
        <v>-53.359400000000001</v>
      </c>
      <c r="K185" s="39">
        <v>2.7000000000000001E-3</v>
      </c>
      <c r="L185" s="39">
        <v>9.1999999999999998E-2</v>
      </c>
      <c r="M185" s="39">
        <v>1.9E-2</v>
      </c>
      <c r="N185" s="39">
        <v>-4.5999999999999999E-3</v>
      </c>
      <c r="O185" s="39">
        <v>1E-4</v>
      </c>
      <c r="P185" s="39">
        <v>120.3</v>
      </c>
      <c r="Q185" s="39">
        <v>0.14000000000000001</v>
      </c>
      <c r="R185" s="29">
        <f t="shared" si="11"/>
        <v>0.20885416666666665</v>
      </c>
      <c r="S185" s="22">
        <f t="shared" si="8"/>
        <v>2.4305555555555558E-4</v>
      </c>
    </row>
    <row r="186" spans="1:19" ht="17" thickBot="1">
      <c r="A186" s="50" t="s">
        <v>1668</v>
      </c>
      <c r="B186" s="14" t="s">
        <v>1669</v>
      </c>
      <c r="C186" s="14"/>
      <c r="D186" s="14">
        <v>1</v>
      </c>
      <c r="E186" s="10">
        <v>24</v>
      </c>
      <c r="F186" s="10">
        <v>18</v>
      </c>
      <c r="G186" s="10">
        <v>24</v>
      </c>
      <c r="H186" s="14">
        <v>8.2660999999999998</v>
      </c>
      <c r="I186" s="10">
        <v>5.0000000000000001E-4</v>
      </c>
      <c r="J186" s="14">
        <v>-55.745800000000003</v>
      </c>
      <c r="K186" s="10">
        <v>1E-3</v>
      </c>
      <c r="L186" s="10">
        <v>9.1999999999999998E-2</v>
      </c>
      <c r="M186" s="10">
        <v>1.2999999999999999E-2</v>
      </c>
      <c r="N186" s="10">
        <v>-5.4999999999999997E-3</v>
      </c>
      <c r="O186" s="10">
        <v>2.0000000000000001E-4</v>
      </c>
      <c r="P186" s="10">
        <v>113.75</v>
      </c>
      <c r="Q186" s="10">
        <v>0.51</v>
      </c>
      <c r="R186" s="14">
        <f t="shared" si="11"/>
        <v>0.1974826388888889</v>
      </c>
      <c r="S186" s="26">
        <f t="shared" si="8"/>
        <v>8.8541666666666673E-4</v>
      </c>
    </row>
    <row r="187" spans="1:19" ht="17" thickTop="1">
      <c r="A187" s="102" t="s">
        <v>1670</v>
      </c>
      <c r="B187" s="119" t="s">
        <v>1671</v>
      </c>
      <c r="C187" s="176" t="s">
        <v>17</v>
      </c>
      <c r="D187" s="119">
        <v>0.25</v>
      </c>
      <c r="E187" s="7">
        <v>24</v>
      </c>
      <c r="F187" s="7">
        <v>19</v>
      </c>
      <c r="G187" s="7">
        <v>24</v>
      </c>
      <c r="H187" s="119">
        <v>7.7192999999999996</v>
      </c>
      <c r="I187" s="7">
        <v>5.0000000000000001E-4</v>
      </c>
      <c r="J187" s="119">
        <v>-52.083399999999997</v>
      </c>
      <c r="K187" s="7">
        <v>2.9999999999999997E-4</v>
      </c>
      <c r="L187" s="7">
        <v>8.7999999999999995E-2</v>
      </c>
      <c r="M187" s="7">
        <v>3.2000000000000001E-2</v>
      </c>
      <c r="N187" s="7">
        <v>-5.0000000000000001E-3</v>
      </c>
      <c r="O187" s="7">
        <v>1E-4</v>
      </c>
      <c r="P187" s="7">
        <v>121.82</v>
      </c>
      <c r="Q187" s="7">
        <v>0.27</v>
      </c>
      <c r="R187" s="119">
        <f t="shared" si="11"/>
        <v>0.21149305555555553</v>
      </c>
      <c r="S187" s="18">
        <f t="shared" si="8"/>
        <v>4.6875000000000004E-4</v>
      </c>
    </row>
    <row r="188" spans="1:19">
      <c r="A188" s="44" t="s">
        <v>1672</v>
      </c>
      <c r="B188" s="45" t="s">
        <v>1673</v>
      </c>
      <c r="C188" s="45" t="s">
        <v>19</v>
      </c>
      <c r="D188" s="45">
        <v>0.25</v>
      </c>
      <c r="E188" s="4">
        <v>24</v>
      </c>
      <c r="F188" s="4">
        <v>19</v>
      </c>
      <c r="G188" s="4">
        <v>24</v>
      </c>
      <c r="H188" s="45">
        <v>7.6723999999999997</v>
      </c>
      <c r="I188" s="4">
        <v>2.0000000000000001E-4</v>
      </c>
      <c r="J188" s="45">
        <v>-51.720500000000001</v>
      </c>
      <c r="K188" s="4">
        <v>8.0000000000000004E-4</v>
      </c>
      <c r="L188" s="4">
        <v>7.4999999999999997E-2</v>
      </c>
      <c r="M188" s="4">
        <v>8.0000000000000002E-3</v>
      </c>
      <c r="N188" s="4">
        <v>-4.5999999999999999E-3</v>
      </c>
      <c r="O188" s="4">
        <v>1E-4</v>
      </c>
      <c r="P188" s="4">
        <v>125.01</v>
      </c>
      <c r="Q188" s="4">
        <v>0.22</v>
      </c>
      <c r="R188" s="45">
        <f t="shared" si="11"/>
        <v>0.21703125000000001</v>
      </c>
      <c r="S188" s="22">
        <f t="shared" si="8"/>
        <v>3.8194444444444446E-4</v>
      </c>
    </row>
    <row r="189" spans="1:19">
      <c r="A189" s="23" t="s">
        <v>1672</v>
      </c>
      <c r="B189" s="4" t="s">
        <v>1673</v>
      </c>
      <c r="C189" s="4" t="s">
        <v>19</v>
      </c>
      <c r="D189" s="4">
        <v>0.5</v>
      </c>
      <c r="E189" s="4">
        <v>24</v>
      </c>
      <c r="F189" s="4">
        <v>19</v>
      </c>
      <c r="G189" s="4">
        <v>24</v>
      </c>
      <c r="H189" s="39">
        <v>7.9264999999999999</v>
      </c>
      <c r="I189" s="4">
        <v>2.9999999999999997E-4</v>
      </c>
      <c r="J189" s="4">
        <v>-56.675400000000003</v>
      </c>
      <c r="K189" s="4">
        <v>1.6999999999999999E-3</v>
      </c>
      <c r="L189" s="4">
        <v>0.2</v>
      </c>
      <c r="M189" s="4">
        <v>5.0000000000000001E-3</v>
      </c>
      <c r="N189" s="4">
        <v>-6.1999999999999998E-3</v>
      </c>
      <c r="O189" s="4">
        <v>1E-4</v>
      </c>
      <c r="P189" s="4">
        <v>113.32</v>
      </c>
      <c r="Q189" s="4">
        <v>0.48</v>
      </c>
      <c r="R189" s="4">
        <f t="shared" si="11"/>
        <v>0.19673611111111111</v>
      </c>
      <c r="S189" s="22">
        <f t="shared" si="8"/>
        <v>8.3333333333333328E-4</v>
      </c>
    </row>
    <row r="190" spans="1:19">
      <c r="A190" s="44" t="s">
        <v>1674</v>
      </c>
      <c r="B190" s="45" t="s">
        <v>1675</v>
      </c>
      <c r="C190" s="45" t="s">
        <v>30</v>
      </c>
      <c r="D190" s="45">
        <v>0.25</v>
      </c>
      <c r="E190" s="4">
        <v>24</v>
      </c>
      <c r="F190" s="4">
        <v>19</v>
      </c>
      <c r="G190" s="4">
        <v>24</v>
      </c>
      <c r="H190" s="45">
        <v>7.8978000000000002</v>
      </c>
      <c r="I190" s="4">
        <v>8.9999999999999998E-4</v>
      </c>
      <c r="J190" s="45">
        <v>-50.918300000000002</v>
      </c>
      <c r="K190" s="4">
        <v>8.0000000000000004E-4</v>
      </c>
      <c r="L190" s="4">
        <v>2.5000000000000001E-2</v>
      </c>
      <c r="M190" s="4">
        <v>7.0000000000000001E-3</v>
      </c>
      <c r="N190" s="4">
        <v>-3.8999999999999998E-3</v>
      </c>
      <c r="O190" s="4">
        <v>0</v>
      </c>
      <c r="P190" s="4">
        <v>125.24</v>
      </c>
      <c r="Q190" s="4">
        <v>0.28000000000000003</v>
      </c>
      <c r="R190" s="45">
        <f t="shared" si="11"/>
        <v>0.21743055555555554</v>
      </c>
      <c r="S190" s="22">
        <f t="shared" si="8"/>
        <v>4.8611111111111115E-4</v>
      </c>
    </row>
    <row r="191" spans="1:19">
      <c r="A191" s="23" t="s">
        <v>1674</v>
      </c>
      <c r="B191" s="4" t="s">
        <v>1675</v>
      </c>
      <c r="C191" s="4" t="s">
        <v>30</v>
      </c>
      <c r="D191" s="4">
        <v>0.5</v>
      </c>
      <c r="E191" s="4">
        <v>24</v>
      </c>
      <c r="F191" s="4">
        <v>19</v>
      </c>
      <c r="G191" s="4">
        <v>24</v>
      </c>
      <c r="H191" s="4">
        <v>8.4375999999999998</v>
      </c>
      <c r="I191" s="4">
        <v>6.9999999999999999E-4</v>
      </c>
      <c r="J191" s="4">
        <v>-54.700299999999999</v>
      </c>
      <c r="K191" s="4">
        <v>2E-3</v>
      </c>
      <c r="L191" s="4">
        <v>3.1E-2</v>
      </c>
      <c r="M191" s="4">
        <v>3.0000000000000001E-3</v>
      </c>
      <c r="N191" s="4">
        <v>-4.3E-3</v>
      </c>
      <c r="O191" s="4">
        <v>1E-4</v>
      </c>
      <c r="P191" s="4">
        <v>118.9</v>
      </c>
      <c r="Q191" s="4">
        <v>0.09</v>
      </c>
      <c r="R191" s="4">
        <f t="shared" si="11"/>
        <v>0.20642361111111113</v>
      </c>
      <c r="S191" s="22">
        <f t="shared" si="8"/>
        <v>1.5625E-4</v>
      </c>
    </row>
    <row r="192" spans="1:19">
      <c r="A192" s="44" t="s">
        <v>1676</v>
      </c>
      <c r="B192" s="45" t="s">
        <v>1677</v>
      </c>
      <c r="C192" s="45"/>
      <c r="D192" s="45">
        <v>0.25</v>
      </c>
      <c r="E192" s="4">
        <v>24</v>
      </c>
      <c r="F192" s="4">
        <v>19</v>
      </c>
      <c r="G192" s="4">
        <v>24</v>
      </c>
      <c r="H192" s="45">
        <v>7.8258000000000001</v>
      </c>
      <c r="I192" s="4">
        <v>1E-3</v>
      </c>
      <c r="J192" s="45">
        <v>-50.962600000000002</v>
      </c>
      <c r="K192" s="4">
        <v>2.3E-3</v>
      </c>
      <c r="L192" s="4">
        <v>4.9000000000000002E-2</v>
      </c>
      <c r="M192" s="4">
        <v>2.5000000000000001E-2</v>
      </c>
      <c r="N192" s="4">
        <v>-4.0000000000000001E-3</v>
      </c>
      <c r="O192" s="4">
        <v>2.0000000000000001E-4</v>
      </c>
      <c r="P192" s="4">
        <v>127.16</v>
      </c>
      <c r="Q192" s="4">
        <v>0.31</v>
      </c>
      <c r="R192" s="45">
        <f t="shared" si="11"/>
        <v>0.2207638888888889</v>
      </c>
      <c r="S192" s="22">
        <f t="shared" si="8"/>
        <v>5.3819444444444444E-4</v>
      </c>
    </row>
    <row r="193" spans="1:19">
      <c r="A193" s="23" t="s">
        <v>1676</v>
      </c>
      <c r="B193" s="4" t="s">
        <v>1677</v>
      </c>
      <c r="D193" s="4">
        <v>0.5</v>
      </c>
      <c r="E193" s="4">
        <v>24</v>
      </c>
      <c r="F193" s="4">
        <v>19</v>
      </c>
      <c r="G193" s="4">
        <v>24</v>
      </c>
      <c r="H193" s="4">
        <v>8.2832000000000008</v>
      </c>
      <c r="I193" s="4">
        <v>5.0000000000000001E-4</v>
      </c>
      <c r="J193" s="4">
        <v>-54.352499999999999</v>
      </c>
      <c r="K193" s="4">
        <v>1.9E-3</v>
      </c>
      <c r="L193" s="4">
        <v>3.7999999999999999E-2</v>
      </c>
      <c r="M193" s="4">
        <v>4.0000000000000001E-3</v>
      </c>
      <c r="N193" s="4">
        <v>-3.8999999999999998E-3</v>
      </c>
      <c r="O193" s="4">
        <v>2.0000000000000001E-4</v>
      </c>
      <c r="P193" s="4">
        <v>125.77</v>
      </c>
      <c r="Q193" s="4">
        <v>0.28000000000000003</v>
      </c>
      <c r="R193" s="4">
        <f t="shared" si="11"/>
        <v>0.21835069444444444</v>
      </c>
      <c r="S193" s="22">
        <f t="shared" si="8"/>
        <v>4.8611111111111115E-4</v>
      </c>
    </row>
    <row r="194" spans="1:19">
      <c r="A194" s="28" t="s">
        <v>1676</v>
      </c>
      <c r="B194" s="29" t="s">
        <v>1677</v>
      </c>
      <c r="C194" s="29"/>
      <c r="D194" s="29">
        <v>0.75</v>
      </c>
      <c r="E194" s="4">
        <v>24</v>
      </c>
      <c r="F194" s="4">
        <v>19</v>
      </c>
      <c r="G194" s="4">
        <v>24</v>
      </c>
      <c r="H194" s="29">
        <v>8.7406000000000006</v>
      </c>
      <c r="I194" s="4">
        <v>6.9999999999999999E-4</v>
      </c>
      <c r="J194" s="29">
        <v>-57.9116</v>
      </c>
      <c r="K194" s="4">
        <v>1.1999999999999999E-3</v>
      </c>
      <c r="L194" s="4">
        <v>5.2999999999999999E-2</v>
      </c>
      <c r="M194" s="4">
        <v>0.01</v>
      </c>
      <c r="N194" s="4">
        <v>-3.8999999999999998E-3</v>
      </c>
      <c r="O194" s="4">
        <v>1E-4</v>
      </c>
      <c r="P194" s="4">
        <v>123.4</v>
      </c>
      <c r="Q194" s="4">
        <v>0.34</v>
      </c>
      <c r="R194" s="29">
        <f>P194*E194/G194^3</f>
        <v>0.21423611111111113</v>
      </c>
      <c r="S194" s="22">
        <f t="shared" si="8"/>
        <v>5.9027777777777778E-4</v>
      </c>
    </row>
    <row r="195" spans="1:19" ht="17" thickBot="1">
      <c r="A195" s="50" t="s">
        <v>1676</v>
      </c>
      <c r="B195" s="14" t="s">
        <v>1677</v>
      </c>
      <c r="C195" s="14"/>
      <c r="D195" s="14">
        <v>1</v>
      </c>
      <c r="E195" s="10">
        <v>24</v>
      </c>
      <c r="F195" s="10">
        <v>19</v>
      </c>
      <c r="G195" s="10">
        <v>24</v>
      </c>
      <c r="H195" s="14">
        <v>9.1973000000000003</v>
      </c>
      <c r="I195" s="10">
        <v>4.0000000000000002E-4</v>
      </c>
      <c r="J195" s="14">
        <v>-61.6205</v>
      </c>
      <c r="K195" s="10">
        <v>4.0000000000000002E-4</v>
      </c>
      <c r="L195" s="10">
        <v>0.06</v>
      </c>
      <c r="M195" s="10">
        <v>1.2999999999999999E-2</v>
      </c>
      <c r="N195" s="10">
        <v>-3.8999999999999998E-3</v>
      </c>
      <c r="O195" s="10">
        <v>1E-4</v>
      </c>
      <c r="P195" s="10">
        <v>120.81</v>
      </c>
      <c r="Q195" s="10">
        <v>0.28000000000000003</v>
      </c>
      <c r="R195" s="14">
        <f t="shared" ref="R195:R196" si="12">P195*E195/G195^3</f>
        <v>0.20973958333333334</v>
      </c>
      <c r="S195" s="26">
        <f t="shared" si="8"/>
        <v>4.8611111111111115E-4</v>
      </c>
    </row>
    <row r="196" spans="1:19" ht="17" thickTop="1">
      <c r="A196" s="44" t="s">
        <v>1678</v>
      </c>
      <c r="B196" s="45" t="s">
        <v>1679</v>
      </c>
      <c r="C196" s="168" t="s">
        <v>17</v>
      </c>
      <c r="D196" s="45">
        <v>0.25</v>
      </c>
      <c r="E196" s="4">
        <v>24</v>
      </c>
      <c r="F196" s="4">
        <v>20</v>
      </c>
      <c r="G196" s="4">
        <v>24</v>
      </c>
      <c r="H196" s="45">
        <v>7.9668000000000001</v>
      </c>
      <c r="I196" s="4">
        <v>4.0000000000000002E-4</v>
      </c>
      <c r="J196" s="45">
        <v>-53.450699999999998</v>
      </c>
      <c r="K196" s="4">
        <v>4.0000000000000002E-4</v>
      </c>
      <c r="L196" s="4">
        <v>0.107</v>
      </c>
      <c r="M196" s="4">
        <v>1.0999999999999999E-2</v>
      </c>
      <c r="N196" s="4">
        <v>-4.7999999999999996E-3</v>
      </c>
      <c r="O196" s="4">
        <v>2.0000000000000001E-4</v>
      </c>
      <c r="P196" s="4">
        <v>123.16</v>
      </c>
      <c r="Q196" s="4">
        <v>0.32</v>
      </c>
      <c r="R196" s="45">
        <f t="shared" si="12"/>
        <v>0.21381944444444445</v>
      </c>
      <c r="S196" s="22">
        <f>Q196*E196/G196^3</f>
        <v>5.5555555555555556E-4</v>
      </c>
    </row>
    <row r="197" spans="1:19">
      <c r="A197" s="23" t="s">
        <v>1678</v>
      </c>
      <c r="B197" s="4" t="s">
        <v>1679</v>
      </c>
      <c r="C197" s="170" t="s">
        <v>17</v>
      </c>
      <c r="D197" s="4">
        <v>0.5</v>
      </c>
      <c r="E197" s="4">
        <v>24</v>
      </c>
      <c r="F197" s="4">
        <v>20</v>
      </c>
      <c r="G197" s="4">
        <v>24</v>
      </c>
      <c r="H197" s="39">
        <v>8.5221999999999998</v>
      </c>
      <c r="I197" s="4">
        <v>4.0000000000000002E-4</v>
      </c>
      <c r="J197" s="4">
        <v>-60.254100000000001</v>
      </c>
      <c r="K197" s="4">
        <v>2.0999999999999999E-3</v>
      </c>
      <c r="L197" s="4">
        <v>0.153</v>
      </c>
      <c r="M197" s="4">
        <v>5.0000000000000001E-3</v>
      </c>
      <c r="N197" s="4">
        <v>-6.7000000000000002E-3</v>
      </c>
      <c r="O197" s="4">
        <v>0</v>
      </c>
      <c r="P197" s="4">
        <v>106.04</v>
      </c>
      <c r="Q197" s="4">
        <v>0.19</v>
      </c>
      <c r="R197" s="4">
        <f t="shared" si="11"/>
        <v>0.18409722222222222</v>
      </c>
      <c r="S197" s="22">
        <f t="shared" si="8"/>
        <v>3.2986111111111112E-4</v>
      </c>
    </row>
    <row r="198" spans="1:19">
      <c r="A198" s="44" t="s">
        <v>1680</v>
      </c>
      <c r="B198" s="45" t="s">
        <v>1681</v>
      </c>
      <c r="C198" s="45" t="s">
        <v>19</v>
      </c>
      <c r="D198" s="45">
        <v>0.25</v>
      </c>
      <c r="E198" s="4">
        <v>24</v>
      </c>
      <c r="F198" s="4">
        <v>20</v>
      </c>
      <c r="G198" s="4">
        <v>24</v>
      </c>
      <c r="H198" s="45">
        <v>7.9287000000000001</v>
      </c>
      <c r="I198" s="4">
        <v>4.0000000000000002E-4</v>
      </c>
      <c r="J198" s="45">
        <v>-53.139600000000002</v>
      </c>
      <c r="K198" s="4">
        <v>1E-3</v>
      </c>
      <c r="L198" s="4">
        <v>0.107</v>
      </c>
      <c r="M198" s="4">
        <v>8.9999999999999993E-3</v>
      </c>
      <c r="N198" s="4">
        <v>-4.1000000000000003E-3</v>
      </c>
      <c r="O198" s="4">
        <v>1E-4</v>
      </c>
      <c r="P198" s="4">
        <v>126.16</v>
      </c>
      <c r="Q198" s="4">
        <v>0.19</v>
      </c>
      <c r="R198" s="45">
        <f t="shared" si="11"/>
        <v>0.21902777777777779</v>
      </c>
      <c r="S198" s="22">
        <f t="shared" si="8"/>
        <v>3.2986111111111112E-4</v>
      </c>
    </row>
    <row r="199" spans="1:19">
      <c r="A199" s="23" t="s">
        <v>1680</v>
      </c>
      <c r="B199" s="4" t="s">
        <v>1681</v>
      </c>
      <c r="C199" s="4" t="s">
        <v>19</v>
      </c>
      <c r="D199" s="4">
        <v>0.5</v>
      </c>
      <c r="E199" s="4">
        <v>24</v>
      </c>
      <c r="F199" s="4">
        <v>20</v>
      </c>
      <c r="G199" s="4">
        <v>24</v>
      </c>
      <c r="H199" s="39">
        <v>8.4687999999999999</v>
      </c>
      <c r="I199" s="4">
        <v>4.0000000000000002E-4</v>
      </c>
      <c r="J199" s="4">
        <v>-59.131100000000004</v>
      </c>
      <c r="K199" s="4">
        <v>1.4E-3</v>
      </c>
      <c r="L199" s="4">
        <v>0.18</v>
      </c>
      <c r="M199" s="4">
        <v>6.0000000000000001E-3</v>
      </c>
      <c r="N199" s="4">
        <v>-4.8999999999999998E-3</v>
      </c>
      <c r="O199" s="4">
        <v>0</v>
      </c>
      <c r="P199" s="4">
        <v>119.07</v>
      </c>
      <c r="Q199" s="4">
        <v>0.35</v>
      </c>
      <c r="R199" s="4">
        <f t="shared" si="11"/>
        <v>0.20671874999999998</v>
      </c>
      <c r="S199" s="22">
        <f t="shared" si="8"/>
        <v>6.0763888888888879E-4</v>
      </c>
    </row>
    <row r="200" spans="1:19">
      <c r="A200" s="44" t="s">
        <v>1682</v>
      </c>
      <c r="B200" s="45" t="s">
        <v>1683</v>
      </c>
      <c r="C200" s="45" t="s">
        <v>30</v>
      </c>
      <c r="D200" s="45">
        <v>0.25</v>
      </c>
      <c r="E200" s="4">
        <v>24</v>
      </c>
      <c r="F200" s="4">
        <v>20</v>
      </c>
      <c r="G200" s="4">
        <v>24</v>
      </c>
      <c r="H200" s="48">
        <v>8.1359999999999992</v>
      </c>
      <c r="I200" s="4">
        <v>2.9999999999999997E-4</v>
      </c>
      <c r="J200" s="45">
        <v>-52.445599999999999</v>
      </c>
      <c r="K200" s="4">
        <v>8.0000000000000004E-4</v>
      </c>
      <c r="L200" s="4">
        <v>0.03</v>
      </c>
      <c r="M200" s="4">
        <v>5.0000000000000001E-3</v>
      </c>
      <c r="N200" s="4">
        <v>-3.7000000000000002E-3</v>
      </c>
      <c r="O200" s="4">
        <v>1E-4</v>
      </c>
      <c r="P200" s="4">
        <v>125.79</v>
      </c>
      <c r="Q200" s="4">
        <v>0.06</v>
      </c>
      <c r="R200" s="45">
        <f t="shared" si="11"/>
        <v>0.21838541666666667</v>
      </c>
      <c r="S200" s="22">
        <f t="shared" si="8"/>
        <v>1.0416666666666666E-4</v>
      </c>
    </row>
    <row r="201" spans="1:19">
      <c r="A201" s="23" t="s">
        <v>1682</v>
      </c>
      <c r="B201" s="4" t="s">
        <v>1683</v>
      </c>
      <c r="C201" s="4" t="s">
        <v>30</v>
      </c>
      <c r="D201" s="4">
        <v>0.5</v>
      </c>
      <c r="E201" s="4">
        <v>24</v>
      </c>
      <c r="F201" s="4">
        <v>20</v>
      </c>
      <c r="G201" s="4">
        <v>24</v>
      </c>
      <c r="H201" s="4">
        <v>8.907</v>
      </c>
      <c r="I201" s="4">
        <v>2.9999999999999997E-4</v>
      </c>
      <c r="J201" s="4">
        <v>-57.592300000000002</v>
      </c>
      <c r="K201" s="4">
        <v>1.2999999999999999E-3</v>
      </c>
      <c r="L201" s="4">
        <v>5.3999999999999999E-2</v>
      </c>
      <c r="M201" s="4">
        <v>1.0999999999999999E-2</v>
      </c>
      <c r="N201" s="4">
        <v>-3.7000000000000002E-3</v>
      </c>
      <c r="O201" s="4">
        <v>1E-4</v>
      </c>
      <c r="P201" s="4">
        <v>121.45</v>
      </c>
      <c r="Q201" s="4">
        <v>0.17</v>
      </c>
      <c r="R201" s="4">
        <f t="shared" si="11"/>
        <v>0.21085069444444446</v>
      </c>
      <c r="S201" s="22">
        <f t="shared" si="8"/>
        <v>2.9513888888888889E-4</v>
      </c>
    </row>
    <row r="202" spans="1:19">
      <c r="A202" s="44" t="s">
        <v>1684</v>
      </c>
      <c r="B202" s="45" t="s">
        <v>1685</v>
      </c>
      <c r="C202" s="45"/>
      <c r="D202" s="45">
        <v>0.25</v>
      </c>
      <c r="E202" s="4">
        <v>24</v>
      </c>
      <c r="F202" s="4">
        <v>20</v>
      </c>
      <c r="G202" s="4">
        <v>24</v>
      </c>
      <c r="H202" s="45">
        <v>8.0602</v>
      </c>
      <c r="I202" s="4">
        <v>5.9999999999999995E-4</v>
      </c>
      <c r="J202" s="45">
        <v>-52.482799999999997</v>
      </c>
      <c r="K202" s="4">
        <v>2.5999999999999999E-3</v>
      </c>
      <c r="L202" s="4">
        <v>4.3999999999999997E-2</v>
      </c>
      <c r="M202" s="4">
        <v>3.5000000000000003E-2</v>
      </c>
      <c r="N202" s="4">
        <v>-4.1000000000000003E-3</v>
      </c>
      <c r="O202" s="4">
        <v>2.0000000000000001E-4</v>
      </c>
      <c r="P202" s="4">
        <v>126.06</v>
      </c>
      <c r="Q202" s="4">
        <v>0.19</v>
      </c>
      <c r="R202" s="45">
        <f t="shared" si="11"/>
        <v>0.21885416666666668</v>
      </c>
      <c r="S202" s="22">
        <f t="shared" si="8"/>
        <v>3.2986111111111112E-4</v>
      </c>
    </row>
    <row r="203" spans="1:19">
      <c r="A203" s="23" t="s">
        <v>1684</v>
      </c>
      <c r="B203" s="4" t="s">
        <v>1685</v>
      </c>
      <c r="D203" s="4">
        <v>0.5</v>
      </c>
      <c r="E203" s="4">
        <v>24</v>
      </c>
      <c r="F203" s="4">
        <v>20</v>
      </c>
      <c r="G203" s="4">
        <v>24</v>
      </c>
      <c r="H203" s="4">
        <v>8.7421000000000006</v>
      </c>
      <c r="I203" s="4">
        <v>1E-3</v>
      </c>
      <c r="J203" s="4">
        <v>-57.520600000000002</v>
      </c>
      <c r="K203" s="4">
        <v>4.1000000000000003E-3</v>
      </c>
      <c r="L203" s="4">
        <v>8.4000000000000005E-2</v>
      </c>
      <c r="M203" s="4">
        <v>3.1E-2</v>
      </c>
      <c r="N203" s="4">
        <v>-4.1000000000000003E-3</v>
      </c>
      <c r="O203" s="4">
        <v>2.5999999999999999E-3</v>
      </c>
      <c r="P203" s="4">
        <v>122.77</v>
      </c>
      <c r="Q203" s="4">
        <v>0.94</v>
      </c>
      <c r="R203" s="4">
        <f t="shared" si="11"/>
        <v>0.21314236111111112</v>
      </c>
      <c r="S203" s="22">
        <f t="shared" si="8"/>
        <v>1.6319444444444443E-3</v>
      </c>
    </row>
    <row r="204" spans="1:19">
      <c r="A204" s="28" t="s">
        <v>1684</v>
      </c>
      <c r="B204" s="29" t="s">
        <v>1685</v>
      </c>
      <c r="C204" s="29"/>
      <c r="D204" s="29">
        <v>0.75</v>
      </c>
      <c r="E204" s="4">
        <v>24</v>
      </c>
      <c r="F204" s="4">
        <v>20</v>
      </c>
      <c r="G204" s="4">
        <v>24</v>
      </c>
      <c r="H204" s="29">
        <v>9.4200999999999997</v>
      </c>
      <c r="I204" s="4">
        <v>2.9999999999999997E-4</v>
      </c>
      <c r="J204" s="29">
        <v>-62.8172</v>
      </c>
      <c r="K204" s="4">
        <v>1.6000000000000001E-3</v>
      </c>
      <c r="L204" s="4">
        <v>9.0999999999999998E-2</v>
      </c>
      <c r="M204" s="4">
        <v>1.4E-2</v>
      </c>
      <c r="N204" s="4">
        <v>-4.4000000000000003E-3</v>
      </c>
      <c r="O204" s="4">
        <v>1E-4</v>
      </c>
      <c r="P204" s="4">
        <v>118.11</v>
      </c>
      <c r="Q204" s="4">
        <v>0.17</v>
      </c>
      <c r="R204" s="29">
        <f t="shared" si="11"/>
        <v>0.20505208333333333</v>
      </c>
      <c r="S204" s="22">
        <f t="shared" ref="S204:S238" si="13">Q204*E204/G204^3</f>
        <v>2.9513888888888889E-4</v>
      </c>
    </row>
    <row r="205" spans="1:19" ht="17" thickBot="1">
      <c r="A205" s="50" t="s">
        <v>1684</v>
      </c>
      <c r="B205" s="14" t="s">
        <v>1685</v>
      </c>
      <c r="C205" s="14"/>
      <c r="D205" s="14">
        <v>1</v>
      </c>
      <c r="E205" s="10">
        <v>24</v>
      </c>
      <c r="F205" s="10">
        <v>20</v>
      </c>
      <c r="G205" s="10">
        <v>24</v>
      </c>
      <c r="H205" s="14">
        <v>10.0893</v>
      </c>
      <c r="I205" s="10">
        <v>8.0000000000000004E-4</v>
      </c>
      <c r="J205" s="14">
        <v>-68.373500000000007</v>
      </c>
      <c r="K205" s="10">
        <v>2.3E-3</v>
      </c>
      <c r="L205" s="10">
        <v>0.13300000000000001</v>
      </c>
      <c r="M205" s="10">
        <v>3.2000000000000001E-2</v>
      </c>
      <c r="N205" s="10">
        <v>-4.7999999999999996E-3</v>
      </c>
      <c r="O205" s="10">
        <v>0</v>
      </c>
      <c r="P205" s="10">
        <v>111.57</v>
      </c>
      <c r="Q205" s="10">
        <v>0.44</v>
      </c>
      <c r="R205" s="14">
        <f t="shared" si="11"/>
        <v>0.19369791666666666</v>
      </c>
      <c r="S205" s="26">
        <f t="shared" si="13"/>
        <v>7.6388888888888893E-4</v>
      </c>
    </row>
    <row r="206" spans="1:19" ht="17" thickTop="1">
      <c r="A206" s="102" t="s">
        <v>1686</v>
      </c>
      <c r="B206" s="119" t="s">
        <v>1687</v>
      </c>
      <c r="C206" s="176" t="s">
        <v>17</v>
      </c>
      <c r="D206" s="119">
        <v>0.25</v>
      </c>
      <c r="E206" s="7">
        <v>24</v>
      </c>
      <c r="F206" s="7">
        <v>21</v>
      </c>
      <c r="G206" s="7">
        <v>24</v>
      </c>
      <c r="H206" s="119">
        <v>8.2408000000000001</v>
      </c>
      <c r="I206" s="7">
        <v>2.9999999999999997E-4</v>
      </c>
      <c r="J206" s="119">
        <v>-54.848999999999997</v>
      </c>
      <c r="K206" s="7">
        <v>4.0000000000000002E-4</v>
      </c>
      <c r="L206" s="7">
        <v>6.5000000000000002E-2</v>
      </c>
      <c r="M206" s="7">
        <v>8.9999999999999993E-3</v>
      </c>
      <c r="N206" s="7">
        <v>-4.1999999999999997E-3</v>
      </c>
      <c r="O206" s="7">
        <v>1E-4</v>
      </c>
      <c r="P206" s="7">
        <v>125</v>
      </c>
      <c r="Q206" s="7">
        <v>0.06</v>
      </c>
      <c r="R206" s="119">
        <f t="shared" si="11"/>
        <v>0.2170138888888889</v>
      </c>
      <c r="S206" s="18">
        <f t="shared" si="13"/>
        <v>1.0416666666666666E-4</v>
      </c>
    </row>
    <row r="207" spans="1:19">
      <c r="A207" s="23" t="s">
        <v>1686</v>
      </c>
      <c r="B207" s="4" t="s">
        <v>1687</v>
      </c>
      <c r="C207" s="170" t="s">
        <v>17</v>
      </c>
      <c r="D207" s="4">
        <v>0.5</v>
      </c>
      <c r="E207" s="4">
        <v>24</v>
      </c>
      <c r="F207" s="4">
        <v>21</v>
      </c>
      <c r="G207" s="4">
        <v>24</v>
      </c>
      <c r="H207" s="4">
        <v>9.0848999999999993</v>
      </c>
      <c r="I207" s="4">
        <v>5.9999999999999995E-4</v>
      </c>
      <c r="J207" s="4">
        <v>-62.604300000000002</v>
      </c>
      <c r="K207" s="4">
        <v>1.5E-3</v>
      </c>
      <c r="L207" s="4">
        <v>0.13300000000000001</v>
      </c>
      <c r="M207" s="4">
        <v>8.0000000000000002E-3</v>
      </c>
      <c r="N207" s="4">
        <v>-5.1999999999999998E-3</v>
      </c>
      <c r="O207" s="4">
        <v>2.9999999999999997E-4</v>
      </c>
      <c r="P207" s="4">
        <v>115.71</v>
      </c>
      <c r="Q207" s="4">
        <v>0.16</v>
      </c>
      <c r="R207" s="4">
        <f t="shared" si="11"/>
        <v>0.20088541666666668</v>
      </c>
      <c r="S207" s="22">
        <f t="shared" si="13"/>
        <v>2.7777777777777778E-4</v>
      </c>
    </row>
    <row r="208" spans="1:19">
      <c r="A208" s="44" t="s">
        <v>1688</v>
      </c>
      <c r="B208" s="45" t="s">
        <v>1689</v>
      </c>
      <c r="C208" s="45" t="s">
        <v>19</v>
      </c>
      <c r="D208" s="45">
        <v>0.25</v>
      </c>
      <c r="E208" s="4">
        <v>24</v>
      </c>
      <c r="F208" s="4">
        <v>21</v>
      </c>
      <c r="G208" s="4">
        <v>24</v>
      </c>
      <c r="H208" s="45">
        <v>8.2169000000000008</v>
      </c>
      <c r="I208" s="4">
        <v>2.9999999999999997E-4</v>
      </c>
      <c r="J208" s="45">
        <v>-54.6389</v>
      </c>
      <c r="K208" s="4">
        <v>2.8E-3</v>
      </c>
      <c r="L208" s="4">
        <v>7.2999999999999995E-2</v>
      </c>
      <c r="M208" s="4">
        <v>0.01</v>
      </c>
      <c r="N208" s="4">
        <v>-4.0000000000000001E-3</v>
      </c>
      <c r="O208" s="4">
        <v>1E-4</v>
      </c>
      <c r="P208" s="4">
        <v>126.39</v>
      </c>
      <c r="Q208" s="4">
        <v>0.13</v>
      </c>
      <c r="R208" s="45">
        <f t="shared" si="11"/>
        <v>0.21942708333333336</v>
      </c>
      <c r="S208" s="22">
        <f t="shared" si="13"/>
        <v>2.2569444444444446E-4</v>
      </c>
    </row>
    <row r="209" spans="1:19">
      <c r="A209" s="23" t="s">
        <v>1688</v>
      </c>
      <c r="B209" s="4" t="s">
        <v>1689</v>
      </c>
      <c r="C209" s="4" t="s">
        <v>19</v>
      </c>
      <c r="D209" s="4">
        <v>0.5</v>
      </c>
      <c r="E209" s="4">
        <v>24</v>
      </c>
      <c r="F209" s="4">
        <v>21</v>
      </c>
      <c r="G209" s="4">
        <v>24</v>
      </c>
      <c r="H209" s="4">
        <v>9.0442999999999998</v>
      </c>
      <c r="I209" s="4">
        <v>6.9999999999999999E-4</v>
      </c>
      <c r="J209" s="4">
        <v>-61.937800000000003</v>
      </c>
      <c r="K209" s="4">
        <v>6.9999999999999999E-4</v>
      </c>
      <c r="L209" s="4">
        <v>0.127</v>
      </c>
      <c r="M209" s="4">
        <v>1.4999999999999999E-2</v>
      </c>
      <c r="N209" s="4">
        <v>-4.3E-3</v>
      </c>
      <c r="O209" s="4">
        <v>1E-4</v>
      </c>
      <c r="P209" s="4">
        <v>122.18</v>
      </c>
      <c r="Q209" s="4">
        <v>0.35</v>
      </c>
      <c r="R209" s="4">
        <f t="shared" si="11"/>
        <v>0.21211805555555557</v>
      </c>
      <c r="S209" s="22">
        <f t="shared" si="13"/>
        <v>6.0763888888888879E-4</v>
      </c>
    </row>
    <row r="210" spans="1:19">
      <c r="A210" s="44" t="s">
        <v>1690</v>
      </c>
      <c r="B210" s="45" t="s">
        <v>1691</v>
      </c>
      <c r="C210" s="45" t="s">
        <v>30</v>
      </c>
      <c r="D210" s="45">
        <v>0.25</v>
      </c>
      <c r="E210" s="4">
        <v>24</v>
      </c>
      <c r="F210" s="4">
        <v>21</v>
      </c>
      <c r="G210" s="4">
        <v>24</v>
      </c>
      <c r="H210" s="45">
        <v>8.3877000000000006</v>
      </c>
      <c r="I210" s="4">
        <v>8.9999999999999998E-4</v>
      </c>
      <c r="J210" s="45">
        <v>-54.061</v>
      </c>
      <c r="K210" s="4">
        <v>1.1000000000000001E-3</v>
      </c>
      <c r="L210" s="4">
        <v>3.3000000000000002E-2</v>
      </c>
      <c r="M210" s="4">
        <v>2.1000000000000001E-2</v>
      </c>
      <c r="N210" s="4">
        <v>-3.7000000000000002E-3</v>
      </c>
      <c r="O210" s="4">
        <v>1E-4</v>
      </c>
      <c r="P210" s="4">
        <v>126.17</v>
      </c>
      <c r="Q210" s="4">
        <v>0.31</v>
      </c>
      <c r="R210" s="45">
        <f t="shared" si="11"/>
        <v>0.21904513888888888</v>
      </c>
      <c r="S210" s="22">
        <f t="shared" si="13"/>
        <v>5.3819444444444444E-4</v>
      </c>
    </row>
    <row r="211" spans="1:19">
      <c r="A211" s="23" t="s">
        <v>1690</v>
      </c>
      <c r="B211" s="4" t="s">
        <v>1691</v>
      </c>
      <c r="C211" s="4" t="s">
        <v>30</v>
      </c>
      <c r="D211" s="4">
        <v>0.5</v>
      </c>
      <c r="E211" s="4">
        <v>24</v>
      </c>
      <c r="F211" s="4">
        <v>21</v>
      </c>
      <c r="G211" s="4">
        <v>24</v>
      </c>
      <c r="H211" s="4">
        <v>9.4077999999999999</v>
      </c>
      <c r="I211" s="4">
        <v>5.9999999999999995E-4</v>
      </c>
      <c r="J211" s="4">
        <v>-60.667400000000001</v>
      </c>
      <c r="K211" s="4">
        <v>1.4E-3</v>
      </c>
      <c r="L211" s="4">
        <v>5.3999999999999999E-2</v>
      </c>
      <c r="M211" s="4">
        <v>1.0999999999999999E-2</v>
      </c>
      <c r="N211" s="4">
        <v>-3.5999999999999999E-3</v>
      </c>
      <c r="O211" s="4">
        <v>1E-4</v>
      </c>
      <c r="P211" s="4">
        <v>123.15</v>
      </c>
      <c r="Q211" s="4">
        <v>0.09</v>
      </c>
      <c r="R211" s="4">
        <f t="shared" si="11"/>
        <v>0.21380208333333336</v>
      </c>
      <c r="S211" s="22">
        <f t="shared" si="13"/>
        <v>1.5625E-4</v>
      </c>
    </row>
    <row r="212" spans="1:19">
      <c r="A212" s="44" t="s">
        <v>1692</v>
      </c>
      <c r="B212" s="45" t="s">
        <v>1693</v>
      </c>
      <c r="C212" s="45"/>
      <c r="D212" s="45">
        <v>0.25</v>
      </c>
      <c r="E212" s="4">
        <v>24</v>
      </c>
      <c r="F212" s="4">
        <v>21</v>
      </c>
      <c r="G212" s="4">
        <v>24</v>
      </c>
      <c r="H212" s="45">
        <v>8.3216999999999999</v>
      </c>
      <c r="I212" s="4">
        <v>6.9999999999999999E-4</v>
      </c>
      <c r="J212" s="45">
        <v>-54.4377</v>
      </c>
      <c r="K212" s="4">
        <v>2.3999999999999998E-3</v>
      </c>
      <c r="L212" s="4">
        <v>3.1E-2</v>
      </c>
      <c r="M212" s="4">
        <v>3.0000000000000001E-3</v>
      </c>
      <c r="N212" s="4">
        <v>-3.8999999999999998E-3</v>
      </c>
      <c r="O212" s="4">
        <v>1E-4</v>
      </c>
      <c r="P212" s="4">
        <v>126.72</v>
      </c>
      <c r="Q212" s="4">
        <v>0.11</v>
      </c>
      <c r="R212" s="46">
        <f>P212*E212/G212^3</f>
        <v>0.21999999999999997</v>
      </c>
      <c r="S212" s="22">
        <f t="shared" si="13"/>
        <v>1.9097222222222223E-4</v>
      </c>
    </row>
    <row r="213" spans="1:19">
      <c r="A213" s="23" t="s">
        <v>1692</v>
      </c>
      <c r="B213" s="4" t="s">
        <v>1693</v>
      </c>
      <c r="D213" s="4">
        <v>0.5</v>
      </c>
      <c r="E213" s="4">
        <v>24</v>
      </c>
      <c r="F213" s="4">
        <v>21</v>
      </c>
      <c r="G213" s="4">
        <v>24</v>
      </c>
      <c r="H213" s="4">
        <v>9.2665000000000006</v>
      </c>
      <c r="I213" s="4">
        <v>8.0000000000000004E-4</v>
      </c>
      <c r="J213" s="4">
        <v>-61.360700000000001</v>
      </c>
      <c r="K213" s="4">
        <v>2.8999999999999998E-3</v>
      </c>
      <c r="L213" s="4">
        <v>6.5000000000000002E-2</v>
      </c>
      <c r="M213" s="4">
        <v>1.0999999999999999E-2</v>
      </c>
      <c r="N213" s="4">
        <v>-3.8E-3</v>
      </c>
      <c r="O213" s="4">
        <v>1E-4</v>
      </c>
      <c r="P213" s="4">
        <v>124.05</v>
      </c>
      <c r="Q213" s="4">
        <v>0.28000000000000003</v>
      </c>
      <c r="R213" s="4">
        <f t="shared" si="11"/>
        <v>0.21536458333333333</v>
      </c>
      <c r="S213" s="22">
        <f t="shared" si="13"/>
        <v>4.8611111111111115E-4</v>
      </c>
    </row>
    <row r="214" spans="1:19">
      <c r="A214" s="28" t="s">
        <v>1692</v>
      </c>
      <c r="B214" s="29" t="s">
        <v>1693</v>
      </c>
      <c r="C214" s="29"/>
      <c r="D214" s="29">
        <v>0.75</v>
      </c>
      <c r="E214" s="4">
        <v>24</v>
      </c>
      <c r="F214" s="4">
        <v>21</v>
      </c>
      <c r="G214" s="4">
        <v>24</v>
      </c>
      <c r="H214" s="29">
        <v>10.2033</v>
      </c>
      <c r="I214" s="4">
        <v>8.0000000000000004E-4</v>
      </c>
      <c r="J214" s="29">
        <v>-68.480699999999999</v>
      </c>
      <c r="K214" s="4">
        <v>2.5000000000000001E-3</v>
      </c>
      <c r="L214" s="4">
        <v>9.1999999999999998E-2</v>
      </c>
      <c r="M214" s="4">
        <v>3.0000000000000001E-3</v>
      </c>
      <c r="N214" s="4">
        <v>-3.8999999999999998E-3</v>
      </c>
      <c r="O214" s="4">
        <v>1E-4</v>
      </c>
      <c r="P214" s="4">
        <v>120.38</v>
      </c>
      <c r="Q214" s="4">
        <v>0.33</v>
      </c>
      <c r="R214" s="29">
        <f t="shared" ref="R214:R238" si="14">P214*E214/G214^3</f>
        <v>0.20899305555555556</v>
      </c>
      <c r="S214" s="22">
        <f t="shared" si="13"/>
        <v>5.7291666666666667E-4</v>
      </c>
    </row>
    <row r="215" spans="1:19" ht="17" thickBot="1">
      <c r="A215" s="33" t="s">
        <v>1692</v>
      </c>
      <c r="B215" s="34" t="s">
        <v>1693</v>
      </c>
      <c r="C215" s="34"/>
      <c r="D215" s="34">
        <v>1</v>
      </c>
      <c r="E215" s="4">
        <v>24</v>
      </c>
      <c r="F215" s="4">
        <v>21</v>
      </c>
      <c r="G215" s="4">
        <v>24</v>
      </c>
      <c r="H215" s="38">
        <v>11.133900000000001</v>
      </c>
      <c r="I215" s="39">
        <v>5.9999999999999995E-4</v>
      </c>
      <c r="J215" s="38">
        <v>-75.763000000000005</v>
      </c>
      <c r="K215" s="39">
        <v>2.5999999999999999E-3</v>
      </c>
      <c r="L215" s="39">
        <v>0.11700000000000001</v>
      </c>
      <c r="M215" s="39">
        <v>8.9999999999999993E-3</v>
      </c>
      <c r="N215" s="39">
        <v>-4.0000000000000001E-3</v>
      </c>
      <c r="O215" s="39">
        <v>0</v>
      </c>
      <c r="P215" s="39">
        <v>116.29</v>
      </c>
      <c r="Q215" s="39">
        <v>0.08</v>
      </c>
      <c r="R215" s="34">
        <f t="shared" si="14"/>
        <v>0.20189236111111111</v>
      </c>
      <c r="S215" s="22">
        <f t="shared" si="13"/>
        <v>1.3888888888888889E-4</v>
      </c>
    </row>
    <row r="216" spans="1:19" ht="17" thickTop="1">
      <c r="A216" s="102" t="s">
        <v>1694</v>
      </c>
      <c r="B216" s="119" t="s">
        <v>1695</v>
      </c>
      <c r="C216" s="176" t="s">
        <v>17</v>
      </c>
      <c r="D216" s="119">
        <v>0.25</v>
      </c>
      <c r="E216" s="7">
        <v>24</v>
      </c>
      <c r="F216" s="7">
        <v>22</v>
      </c>
      <c r="G216" s="7">
        <v>24</v>
      </c>
      <c r="H216" s="105">
        <v>8.5167999999999999</v>
      </c>
      <c r="I216" s="7">
        <v>2.0000000000000001E-4</v>
      </c>
      <c r="J216" s="119">
        <v>-56.192999999999998</v>
      </c>
      <c r="K216" s="7">
        <v>1.1000000000000001E-3</v>
      </c>
      <c r="L216" s="7">
        <v>4.7E-2</v>
      </c>
      <c r="M216" s="7">
        <v>4.0000000000000001E-3</v>
      </c>
      <c r="N216" s="7">
        <v>-3.7000000000000002E-3</v>
      </c>
      <c r="O216" s="7">
        <v>1E-4</v>
      </c>
      <c r="P216" s="7">
        <v>127.35</v>
      </c>
      <c r="Q216" s="7">
        <v>7.0000000000000007E-2</v>
      </c>
      <c r="R216" s="119">
        <f t="shared" si="14"/>
        <v>0.22109374999999998</v>
      </c>
      <c r="S216" s="18">
        <f t="shared" si="13"/>
        <v>1.2152777777777779E-4</v>
      </c>
    </row>
    <row r="217" spans="1:19">
      <c r="A217" s="23" t="s">
        <v>1694</v>
      </c>
      <c r="B217" s="4" t="s">
        <v>1695</v>
      </c>
      <c r="C217" s="170" t="s">
        <v>17</v>
      </c>
      <c r="D217" s="4">
        <v>0.5</v>
      </c>
      <c r="E217" s="4">
        <v>24</v>
      </c>
      <c r="F217" s="4">
        <v>22</v>
      </c>
      <c r="G217" s="4">
        <v>24</v>
      </c>
      <c r="H217" s="4">
        <v>9.6912000000000003</v>
      </c>
      <c r="I217" s="4">
        <v>4.0000000000000002E-4</v>
      </c>
      <c r="J217" s="4">
        <v>-65.2136</v>
      </c>
      <c r="K217" s="4">
        <v>5.9999999999999995E-4</v>
      </c>
      <c r="L217" s="4">
        <v>0.13800000000000001</v>
      </c>
      <c r="M217" s="4">
        <v>0.01</v>
      </c>
      <c r="N217" s="4">
        <v>-3.8999999999999998E-3</v>
      </c>
      <c r="O217" s="4">
        <v>0</v>
      </c>
      <c r="P217" s="4">
        <v>122.52</v>
      </c>
      <c r="Q217" s="4">
        <v>0.17</v>
      </c>
      <c r="R217" s="4">
        <f t="shared" si="14"/>
        <v>0.21270833333333333</v>
      </c>
      <c r="S217" s="22">
        <f t="shared" si="13"/>
        <v>2.9513888888888889E-4</v>
      </c>
    </row>
    <row r="218" spans="1:19">
      <c r="A218" s="44" t="s">
        <v>1696</v>
      </c>
      <c r="B218" s="45" t="s">
        <v>1697</v>
      </c>
      <c r="C218" s="45" t="s">
        <v>19</v>
      </c>
      <c r="D218" s="45">
        <v>0.25</v>
      </c>
      <c r="E218" s="4">
        <v>24</v>
      </c>
      <c r="F218" s="4">
        <v>22</v>
      </c>
      <c r="G218" s="4">
        <v>24</v>
      </c>
      <c r="H218" s="45">
        <v>8.5172000000000008</v>
      </c>
      <c r="I218" s="4">
        <v>5.0000000000000001E-4</v>
      </c>
      <c r="J218" s="45">
        <v>-56.191699999999997</v>
      </c>
      <c r="K218" s="4">
        <v>1.5E-3</v>
      </c>
      <c r="L218" s="4">
        <v>0.05</v>
      </c>
      <c r="M218" s="4">
        <v>0.01</v>
      </c>
      <c r="N218" s="4">
        <v>-3.8E-3</v>
      </c>
      <c r="O218" s="4">
        <v>1E-4</v>
      </c>
      <c r="P218" s="4">
        <v>127.25</v>
      </c>
      <c r="Q218" s="4">
        <v>0.28000000000000003</v>
      </c>
      <c r="R218" s="45">
        <f t="shared" si="14"/>
        <v>0.2209201388888889</v>
      </c>
      <c r="S218" s="22">
        <f t="shared" si="13"/>
        <v>4.8611111111111115E-4</v>
      </c>
    </row>
    <row r="219" spans="1:19">
      <c r="A219" s="23" t="s">
        <v>1696</v>
      </c>
      <c r="B219" s="4" t="s">
        <v>1697</v>
      </c>
      <c r="C219" s="4" t="s">
        <v>19</v>
      </c>
      <c r="D219" s="4">
        <v>0.5</v>
      </c>
      <c r="E219" s="4">
        <v>24</v>
      </c>
      <c r="F219" s="4">
        <v>22</v>
      </c>
      <c r="G219" s="4">
        <v>24</v>
      </c>
      <c r="H219" s="4">
        <v>9.6615000000000002</v>
      </c>
      <c r="I219" s="4">
        <v>1E-3</v>
      </c>
      <c r="J219" s="4">
        <v>-64.800600000000003</v>
      </c>
      <c r="K219" s="4">
        <v>3.3999999999999998E-3</v>
      </c>
      <c r="L219" s="4">
        <v>7.0000000000000007E-2</v>
      </c>
      <c r="M219" s="4">
        <v>1.2E-2</v>
      </c>
      <c r="N219" s="4">
        <v>-3.5999999999999999E-3</v>
      </c>
      <c r="O219" s="4">
        <v>1E-4</v>
      </c>
      <c r="P219" s="4">
        <v>125.48</v>
      </c>
      <c r="Q219" s="4">
        <v>0.28999999999999998</v>
      </c>
      <c r="R219" s="4">
        <f t="shared" si="14"/>
        <v>0.21784722222222222</v>
      </c>
      <c r="S219" s="22">
        <f t="shared" si="13"/>
        <v>5.034722222222221E-4</v>
      </c>
    </row>
    <row r="220" spans="1:19">
      <c r="A220" s="44" t="s">
        <v>1698</v>
      </c>
      <c r="B220" s="45" t="s">
        <v>1699</v>
      </c>
      <c r="C220" s="45" t="s">
        <v>30</v>
      </c>
      <c r="D220" s="45">
        <v>0.25</v>
      </c>
      <c r="E220" s="4">
        <v>24</v>
      </c>
      <c r="F220" s="4">
        <v>22</v>
      </c>
      <c r="G220" s="4">
        <v>24</v>
      </c>
      <c r="H220" s="45">
        <v>8.6491000000000007</v>
      </c>
      <c r="I220" s="4">
        <v>1E-3</v>
      </c>
      <c r="J220" s="45">
        <v>-55.807000000000002</v>
      </c>
      <c r="K220" s="4">
        <v>1.6999999999999999E-3</v>
      </c>
      <c r="L220" s="4">
        <v>6.9000000000000006E-2</v>
      </c>
      <c r="M220" s="4">
        <v>1.4039999999999999</v>
      </c>
      <c r="N220" s="4">
        <v>-3.7000000000000002E-3</v>
      </c>
      <c r="O220" s="4">
        <v>4.8999999999999998E-3</v>
      </c>
      <c r="P220" s="4">
        <v>126.65</v>
      </c>
      <c r="Q220" s="4">
        <v>4.34</v>
      </c>
      <c r="R220" s="45">
        <f t="shared" si="14"/>
        <v>0.21987847222222226</v>
      </c>
      <c r="S220" s="22">
        <f t="shared" si="13"/>
        <v>7.5347222222222222E-3</v>
      </c>
    </row>
    <row r="221" spans="1:19">
      <c r="A221" s="23" t="s">
        <v>1698</v>
      </c>
      <c r="B221" s="4" t="s">
        <v>1699</v>
      </c>
      <c r="C221" s="4" t="s">
        <v>30</v>
      </c>
      <c r="D221" s="4">
        <v>0.5</v>
      </c>
      <c r="E221" s="4">
        <v>24</v>
      </c>
      <c r="F221" s="4">
        <v>22</v>
      </c>
      <c r="G221" s="4">
        <v>24</v>
      </c>
      <c r="H221" s="39">
        <v>9.9278999999999993</v>
      </c>
      <c r="I221" s="4">
        <v>2.9999999999999997E-4</v>
      </c>
      <c r="J221" s="4">
        <v>-64.014799999999994</v>
      </c>
      <c r="K221" s="4">
        <v>1E-3</v>
      </c>
      <c r="L221" s="4">
        <v>5.2999999999999999E-2</v>
      </c>
      <c r="M221" s="4">
        <v>8.0000000000000002E-3</v>
      </c>
      <c r="N221" s="4">
        <v>-3.0999999999999999E-3</v>
      </c>
      <c r="O221" s="4">
        <v>1E-4</v>
      </c>
      <c r="P221" s="4">
        <v>125.53</v>
      </c>
      <c r="Q221" s="4">
        <v>0.08</v>
      </c>
      <c r="R221" s="4">
        <f t="shared" si="14"/>
        <v>0.21793402777777779</v>
      </c>
      <c r="S221" s="22">
        <f t="shared" si="13"/>
        <v>1.3888888888888889E-4</v>
      </c>
    </row>
    <row r="222" spans="1:19">
      <c r="A222" s="44" t="s">
        <v>1700</v>
      </c>
      <c r="B222" s="45" t="s">
        <v>1701</v>
      </c>
      <c r="C222" s="45"/>
      <c r="D222" s="45">
        <v>0.25</v>
      </c>
      <c r="E222" s="4">
        <v>24</v>
      </c>
      <c r="F222" s="4">
        <v>22</v>
      </c>
      <c r="G222" s="4">
        <v>24</v>
      </c>
      <c r="H222" s="45">
        <v>8.6132000000000009</v>
      </c>
      <c r="I222" s="4">
        <v>5.0000000000000001E-4</v>
      </c>
      <c r="J222" s="45">
        <v>-55.962299999999999</v>
      </c>
      <c r="K222" s="4">
        <v>5.9999999999999995E-4</v>
      </c>
      <c r="L222" s="4">
        <v>5.8000000000000003E-2</v>
      </c>
      <c r="M222" s="4">
        <v>1.2999999999999999E-2</v>
      </c>
      <c r="N222" s="4">
        <v>-3.5000000000000001E-3</v>
      </c>
      <c r="O222" s="4">
        <v>0</v>
      </c>
      <c r="P222" s="4">
        <v>127.51</v>
      </c>
      <c r="Q222" s="4">
        <v>0.13</v>
      </c>
      <c r="R222" s="45">
        <f t="shared" si="14"/>
        <v>0.2213715277777778</v>
      </c>
      <c r="S222" s="22">
        <f t="shared" si="13"/>
        <v>2.2569444444444446E-4</v>
      </c>
    </row>
    <row r="223" spans="1:19">
      <c r="A223" s="23" t="s">
        <v>1700</v>
      </c>
      <c r="B223" s="4" t="s">
        <v>1701</v>
      </c>
      <c r="D223" s="4">
        <v>0.5</v>
      </c>
      <c r="E223" s="4">
        <v>24</v>
      </c>
      <c r="F223" s="4">
        <v>22</v>
      </c>
      <c r="G223" s="4">
        <v>24</v>
      </c>
      <c r="H223" s="4">
        <v>9.8572000000000006</v>
      </c>
      <c r="I223" s="4">
        <v>1E-3</v>
      </c>
      <c r="J223" s="4">
        <v>-64.259900000000002</v>
      </c>
      <c r="K223" s="4">
        <v>1.4E-3</v>
      </c>
      <c r="L223" s="4">
        <v>4.9000000000000002E-2</v>
      </c>
      <c r="M223" s="4">
        <v>0.01</v>
      </c>
      <c r="N223" s="4">
        <v>-3.0999999999999999E-3</v>
      </c>
      <c r="O223" s="4">
        <v>0</v>
      </c>
      <c r="P223" s="4">
        <v>126.99</v>
      </c>
      <c r="Q223" s="4">
        <v>0.02</v>
      </c>
      <c r="R223" s="4">
        <f t="shared" si="14"/>
        <v>0.22046874999999999</v>
      </c>
      <c r="S223" s="22">
        <f t="shared" si="13"/>
        <v>3.4722222222222222E-5</v>
      </c>
    </row>
    <row r="224" spans="1:19">
      <c r="A224" s="28" t="s">
        <v>1700</v>
      </c>
      <c r="B224" s="29" t="s">
        <v>1701</v>
      </c>
      <c r="C224" s="29"/>
      <c r="D224" s="29">
        <v>0.75</v>
      </c>
      <c r="E224" s="4">
        <v>24</v>
      </c>
      <c r="F224" s="4">
        <v>22</v>
      </c>
      <c r="G224" s="4">
        <v>24</v>
      </c>
      <c r="H224" s="29">
        <v>11.1043</v>
      </c>
      <c r="I224" s="4">
        <v>8.0000000000000004E-4</v>
      </c>
      <c r="J224" s="29">
        <v>-72.613299999999995</v>
      </c>
      <c r="K224" s="4">
        <v>3.2000000000000002E-3</v>
      </c>
      <c r="L224" s="4">
        <v>4.2999999999999997E-2</v>
      </c>
      <c r="M224" s="4">
        <v>5.0000000000000001E-3</v>
      </c>
      <c r="N224" s="4">
        <v>-2.8999999999999998E-3</v>
      </c>
      <c r="O224" s="4">
        <v>1E-4</v>
      </c>
      <c r="P224" s="4">
        <v>126.09</v>
      </c>
      <c r="Q224" s="4">
        <v>0.19</v>
      </c>
      <c r="R224" s="29">
        <f>P224*E224/G224^3</f>
        <v>0.21890625</v>
      </c>
      <c r="S224" s="22">
        <f t="shared" si="13"/>
        <v>3.2986111111111112E-4</v>
      </c>
    </row>
    <row r="225" spans="1:19" ht="17" thickBot="1">
      <c r="A225" s="50" t="s">
        <v>1700</v>
      </c>
      <c r="B225" s="14" t="s">
        <v>1701</v>
      </c>
      <c r="C225" s="14"/>
      <c r="D225" s="14">
        <v>1</v>
      </c>
      <c r="E225" s="10">
        <v>24</v>
      </c>
      <c r="F225" s="10">
        <v>22</v>
      </c>
      <c r="G225" s="10">
        <v>24</v>
      </c>
      <c r="H225" s="175">
        <v>12.350199999999999</v>
      </c>
      <c r="I225" s="106">
        <v>8.0000000000000004E-4</v>
      </c>
      <c r="J225" s="175">
        <v>-81.016999999999996</v>
      </c>
      <c r="K225" s="106">
        <v>2.9999999999999997E-4</v>
      </c>
      <c r="L225" s="106">
        <v>4.1000000000000002E-2</v>
      </c>
      <c r="M225" s="106">
        <v>7.0000000000000001E-3</v>
      </c>
      <c r="N225" s="106">
        <v>-2.5999999999999999E-3</v>
      </c>
      <c r="O225" s="106">
        <v>0</v>
      </c>
      <c r="P225" s="106">
        <v>125.17</v>
      </c>
      <c r="Q225" s="106">
        <v>0.19</v>
      </c>
      <c r="R225" s="14">
        <f t="shared" ref="R225" si="15">P225*E225/G225^3</f>
        <v>0.21730902777777777</v>
      </c>
      <c r="S225" s="26">
        <f t="shared" si="13"/>
        <v>3.2986111111111112E-4</v>
      </c>
    </row>
    <row r="226" spans="1:19" ht="17" thickTop="1">
      <c r="A226" s="102" t="s">
        <v>1702</v>
      </c>
      <c r="B226" s="119" t="s">
        <v>1703</v>
      </c>
      <c r="C226" s="119" t="s">
        <v>17</v>
      </c>
      <c r="D226" s="119">
        <v>0.25</v>
      </c>
      <c r="E226" s="7">
        <v>24</v>
      </c>
      <c r="F226" s="7">
        <v>23</v>
      </c>
      <c r="G226" s="7">
        <v>24</v>
      </c>
      <c r="H226" s="119">
        <v>8.8514999999999997</v>
      </c>
      <c r="I226" s="7">
        <v>1E-3</v>
      </c>
      <c r="J226" s="119">
        <v>-57.930799999999998</v>
      </c>
      <c r="K226" s="7">
        <v>2.7000000000000001E-3</v>
      </c>
      <c r="L226" s="7">
        <v>3.9E-2</v>
      </c>
      <c r="M226" s="7">
        <v>2.3E-2</v>
      </c>
      <c r="N226" s="7">
        <v>-3.5000000000000001E-3</v>
      </c>
      <c r="O226" s="7">
        <v>1E-4</v>
      </c>
      <c r="P226" s="7">
        <v>127.46</v>
      </c>
      <c r="Q226" s="7">
        <v>0.21</v>
      </c>
      <c r="R226" s="119">
        <f t="shared" si="14"/>
        <v>0.22128472222222223</v>
      </c>
      <c r="S226" s="18">
        <f t="shared" si="13"/>
        <v>3.6458333333333335E-4</v>
      </c>
    </row>
    <row r="227" spans="1:19">
      <c r="A227" s="23" t="s">
        <v>1702</v>
      </c>
      <c r="B227" s="4" t="s">
        <v>1703</v>
      </c>
      <c r="C227" s="4" t="s">
        <v>17</v>
      </c>
      <c r="D227" s="4">
        <v>0.5</v>
      </c>
      <c r="E227" s="4">
        <v>24</v>
      </c>
      <c r="F227" s="4">
        <v>23</v>
      </c>
      <c r="G227" s="4">
        <v>24</v>
      </c>
      <c r="H227" s="4">
        <v>10.336399999999999</v>
      </c>
      <c r="I227" s="4">
        <v>4.0000000000000002E-4</v>
      </c>
      <c r="J227" s="4">
        <v>-68.181100000000001</v>
      </c>
      <c r="K227" s="4">
        <v>1.6000000000000001E-3</v>
      </c>
      <c r="L227" s="4">
        <v>5.5E-2</v>
      </c>
      <c r="M227" s="4">
        <v>3.0000000000000001E-3</v>
      </c>
      <c r="N227" s="4">
        <v>-3.0999999999999999E-3</v>
      </c>
      <c r="O227" s="4">
        <v>1E-4</v>
      </c>
      <c r="P227" s="4">
        <v>126.59</v>
      </c>
      <c r="Q227" s="4">
        <v>0.21</v>
      </c>
      <c r="R227" s="4">
        <f t="shared" si="14"/>
        <v>0.21977430555555555</v>
      </c>
      <c r="S227" s="22">
        <f t="shared" si="13"/>
        <v>3.6458333333333335E-4</v>
      </c>
    </row>
    <row r="228" spans="1:19">
      <c r="A228" s="28" t="s">
        <v>1702</v>
      </c>
      <c r="B228" s="29" t="s">
        <v>1703</v>
      </c>
      <c r="C228" s="29" t="s">
        <v>17</v>
      </c>
      <c r="D228" s="29">
        <v>0.75</v>
      </c>
      <c r="E228" s="4">
        <v>24</v>
      </c>
      <c r="F228" s="4">
        <v>23</v>
      </c>
      <c r="G228" s="4">
        <v>24</v>
      </c>
      <c r="H228" s="41">
        <v>11.8163</v>
      </c>
      <c r="I228" s="39">
        <v>2.9999999999999997E-4</v>
      </c>
      <c r="J228" s="41">
        <v>-78.501099999999994</v>
      </c>
      <c r="K228" s="39">
        <v>1.2999999999999999E-3</v>
      </c>
      <c r="L228" s="39">
        <v>5.8999999999999997E-2</v>
      </c>
      <c r="M228" s="39">
        <v>1.4E-2</v>
      </c>
      <c r="N228" s="39">
        <v>-2.8999999999999998E-3</v>
      </c>
      <c r="O228" s="39">
        <v>1E-4</v>
      </c>
      <c r="P228" s="39">
        <v>125.36</v>
      </c>
      <c r="Q228" s="39">
        <v>0.2</v>
      </c>
      <c r="R228" s="29">
        <f t="shared" si="14"/>
        <v>0.21763888888888888</v>
      </c>
      <c r="S228" s="22">
        <f t="shared" si="13"/>
        <v>3.4722222222222229E-4</v>
      </c>
    </row>
    <row r="229" spans="1:19">
      <c r="A229" s="33" t="s">
        <v>1702</v>
      </c>
      <c r="B229" s="34" t="s">
        <v>1703</v>
      </c>
      <c r="C229" s="34" t="s">
        <v>17</v>
      </c>
      <c r="D229" s="34">
        <v>1</v>
      </c>
      <c r="E229" s="4">
        <v>24</v>
      </c>
      <c r="F229" s="4">
        <v>23</v>
      </c>
      <c r="G229" s="4">
        <v>24</v>
      </c>
      <c r="H229" s="34">
        <v>13.3003</v>
      </c>
      <c r="I229" s="4">
        <v>1E-3</v>
      </c>
      <c r="J229" s="34">
        <v>-88.847099999999998</v>
      </c>
      <c r="K229" s="4">
        <v>8.9999999999999998E-4</v>
      </c>
      <c r="L229" s="4">
        <v>0.108</v>
      </c>
      <c r="M229" s="4">
        <v>0.02</v>
      </c>
      <c r="N229" s="4">
        <v>-2.5999999999999999E-3</v>
      </c>
      <c r="O229" s="4">
        <v>1E-4</v>
      </c>
      <c r="P229" s="4">
        <v>124.24</v>
      </c>
      <c r="Q229" s="4">
        <v>0.25</v>
      </c>
      <c r="R229" s="34">
        <f t="shared" si="14"/>
        <v>0.21569444444444444</v>
      </c>
      <c r="S229" s="22">
        <f t="shared" si="13"/>
        <v>4.3402777777777775E-4</v>
      </c>
    </row>
    <row r="230" spans="1:19">
      <c r="A230" s="44" t="s">
        <v>1704</v>
      </c>
      <c r="B230" s="45" t="s">
        <v>1705</v>
      </c>
      <c r="C230" s="45" t="s">
        <v>30</v>
      </c>
      <c r="D230" s="45">
        <v>0.25</v>
      </c>
      <c r="E230" s="4">
        <v>24</v>
      </c>
      <c r="F230" s="4">
        <v>23</v>
      </c>
      <c r="G230" s="4">
        <v>24</v>
      </c>
      <c r="H230" s="45">
        <v>8.9222999999999999</v>
      </c>
      <c r="I230" s="4">
        <v>2.9999999999999997E-4</v>
      </c>
      <c r="J230" s="45">
        <v>-57.713900000000002</v>
      </c>
      <c r="K230" s="4">
        <v>2.2000000000000001E-3</v>
      </c>
      <c r="L230" s="4">
        <v>2.8000000000000001E-2</v>
      </c>
      <c r="M230" s="4">
        <v>1.0999999999999999E-2</v>
      </c>
      <c r="N230" s="4">
        <v>-3.5000000000000001E-3</v>
      </c>
      <c r="O230" s="4">
        <v>1E-4</v>
      </c>
      <c r="P230" s="4">
        <v>127.45</v>
      </c>
      <c r="Q230" s="4">
        <v>0.27</v>
      </c>
      <c r="R230" s="45">
        <f t="shared" si="14"/>
        <v>0.22126736111111112</v>
      </c>
      <c r="S230" s="22">
        <f t="shared" si="13"/>
        <v>4.6875000000000004E-4</v>
      </c>
    </row>
    <row r="231" spans="1:19">
      <c r="A231" s="23" t="s">
        <v>1704</v>
      </c>
      <c r="B231" s="4" t="s">
        <v>1705</v>
      </c>
      <c r="C231" s="4" t="s">
        <v>30</v>
      </c>
      <c r="D231" s="4">
        <v>0.5</v>
      </c>
      <c r="E231" s="4">
        <v>24</v>
      </c>
      <c r="F231" s="4">
        <v>23</v>
      </c>
      <c r="G231" s="4">
        <v>24</v>
      </c>
      <c r="H231" s="4">
        <v>10.478300000000001</v>
      </c>
      <c r="I231" s="4">
        <v>1E-3</v>
      </c>
      <c r="J231" s="4">
        <v>-67.715000000000003</v>
      </c>
      <c r="K231" s="4">
        <v>2.3999999999999998E-3</v>
      </c>
      <c r="L231" s="4">
        <v>2.8000000000000001E-2</v>
      </c>
      <c r="M231" s="4">
        <v>3.0000000000000001E-3</v>
      </c>
      <c r="N231" s="4">
        <v>-2.8999999999999998E-3</v>
      </c>
      <c r="O231" s="4">
        <v>0</v>
      </c>
      <c r="P231" s="4">
        <v>126.96</v>
      </c>
      <c r="Q231" s="4">
        <v>0.17</v>
      </c>
      <c r="R231" s="4">
        <f t="shared" si="14"/>
        <v>0.22041666666666668</v>
      </c>
      <c r="S231" s="22">
        <f t="shared" si="13"/>
        <v>2.9513888888888889E-4</v>
      </c>
    </row>
    <row r="232" spans="1:19">
      <c r="A232" s="28" t="s">
        <v>1704</v>
      </c>
      <c r="B232" s="29" t="s">
        <v>1705</v>
      </c>
      <c r="C232" s="29" t="s">
        <v>30</v>
      </c>
      <c r="D232" s="29">
        <v>0.75</v>
      </c>
      <c r="E232" s="4">
        <v>24</v>
      </c>
      <c r="F232" s="4">
        <v>23</v>
      </c>
      <c r="G232" s="4">
        <v>24</v>
      </c>
      <c r="H232" s="29">
        <v>12.029</v>
      </c>
      <c r="I232" s="4">
        <v>8.0000000000000004E-4</v>
      </c>
      <c r="J232" s="29">
        <v>-77.762500000000003</v>
      </c>
      <c r="K232" s="4">
        <v>1.4E-3</v>
      </c>
      <c r="L232" s="4">
        <v>0.09</v>
      </c>
      <c r="M232" s="4">
        <v>8.9999999999999993E-3</v>
      </c>
      <c r="N232" s="4">
        <v>-2.3999999999999998E-3</v>
      </c>
      <c r="O232" s="4">
        <v>1E-4</v>
      </c>
      <c r="P232" s="4">
        <v>126.84</v>
      </c>
      <c r="Q232" s="4">
        <v>0.12</v>
      </c>
      <c r="R232" s="29">
        <f t="shared" si="14"/>
        <v>0.22020833333333331</v>
      </c>
      <c r="S232" s="22">
        <f t="shared" si="13"/>
        <v>2.0833333333333332E-4</v>
      </c>
    </row>
    <row r="233" spans="1:19" ht="17" thickBot="1">
      <c r="A233" s="50" t="s">
        <v>1704</v>
      </c>
      <c r="B233" s="14" t="s">
        <v>1705</v>
      </c>
      <c r="C233" s="14" t="s">
        <v>30</v>
      </c>
      <c r="D233" s="14">
        <v>1</v>
      </c>
      <c r="E233" s="10">
        <v>24</v>
      </c>
      <c r="F233" s="10">
        <v>23</v>
      </c>
      <c r="G233" s="10">
        <v>24</v>
      </c>
      <c r="H233" s="14">
        <v>13.590400000000001</v>
      </c>
      <c r="I233" s="10">
        <v>5.9999999999999995E-4</v>
      </c>
      <c r="J233" s="14">
        <v>-87.805099999999996</v>
      </c>
      <c r="K233" s="10">
        <v>2E-3</v>
      </c>
      <c r="L233" s="10">
        <v>3.2000000000000001E-2</v>
      </c>
      <c r="M233" s="10">
        <v>0.01</v>
      </c>
      <c r="N233" s="10">
        <v>-2.2000000000000001E-3</v>
      </c>
      <c r="O233" s="10">
        <v>1E-4</v>
      </c>
      <c r="P233" s="10">
        <v>126.26</v>
      </c>
      <c r="Q233" s="10">
        <v>0.25</v>
      </c>
      <c r="R233" s="14">
        <f t="shared" si="14"/>
        <v>0.2192013888888889</v>
      </c>
      <c r="S233" s="26">
        <f t="shared" si="13"/>
        <v>4.3402777777777775E-4</v>
      </c>
    </row>
    <row r="234" spans="1:19" ht="17" thickTop="1">
      <c r="A234" s="109" t="s">
        <v>1706</v>
      </c>
      <c r="B234" s="113" t="s">
        <v>1707</v>
      </c>
      <c r="C234" s="113" t="s">
        <v>13</v>
      </c>
      <c r="D234" s="113">
        <v>0</v>
      </c>
      <c r="E234" s="4">
        <v>24</v>
      </c>
      <c r="F234" s="4">
        <v>24</v>
      </c>
      <c r="G234" s="4">
        <v>24</v>
      </c>
      <c r="H234" s="113">
        <v>7.3643999999999998</v>
      </c>
      <c r="I234" s="4">
        <v>1E-4</v>
      </c>
      <c r="J234" s="113">
        <v>-47.771500000000003</v>
      </c>
      <c r="K234" s="4">
        <v>2.9999999999999997E-4</v>
      </c>
      <c r="L234" s="4">
        <v>0.03</v>
      </c>
      <c r="M234" s="4">
        <v>0.02</v>
      </c>
      <c r="N234" s="4">
        <v>-4.1000000000000003E-3</v>
      </c>
      <c r="O234" s="4">
        <v>0</v>
      </c>
      <c r="P234" s="4">
        <v>127.73</v>
      </c>
      <c r="Q234" s="4">
        <v>0.1</v>
      </c>
      <c r="R234" s="113">
        <f>P234*E234/G234^3</f>
        <v>0.22175347222222222</v>
      </c>
      <c r="S234" s="22">
        <f t="shared" si="13"/>
        <v>1.7361111111111114E-4</v>
      </c>
    </row>
    <row r="235" spans="1:19">
      <c r="A235" s="44" t="s">
        <v>1706</v>
      </c>
      <c r="B235" s="45" t="s">
        <v>1707</v>
      </c>
      <c r="C235" s="45" t="s">
        <v>13</v>
      </c>
      <c r="D235" s="45">
        <v>0.25</v>
      </c>
      <c r="E235" s="4">
        <v>24</v>
      </c>
      <c r="F235" s="4">
        <v>24</v>
      </c>
      <c r="G235" s="4">
        <v>24</v>
      </c>
      <c r="H235" s="45">
        <v>9.2060999999999993</v>
      </c>
      <c r="I235" s="4">
        <v>5.0000000000000001E-4</v>
      </c>
      <c r="J235" s="45">
        <v>-59.713500000000003</v>
      </c>
      <c r="K235" s="4">
        <v>2.7000000000000001E-3</v>
      </c>
      <c r="L235" s="4">
        <v>3.5999999999999997E-2</v>
      </c>
      <c r="M235" s="4">
        <v>4.0000000000000001E-3</v>
      </c>
      <c r="N235" s="4">
        <v>-3.3E-3</v>
      </c>
      <c r="O235" s="4">
        <v>1E-4</v>
      </c>
      <c r="P235" s="4">
        <v>127.81</v>
      </c>
      <c r="Q235" s="4">
        <v>0.11</v>
      </c>
      <c r="R235" s="45">
        <f t="shared" ref="R235" si="16">P235*E235/G235^3</f>
        <v>0.2218923611111111</v>
      </c>
      <c r="S235" s="22">
        <f t="shared" si="13"/>
        <v>1.9097222222222223E-4</v>
      </c>
    </row>
    <row r="236" spans="1:19">
      <c r="A236" s="23" t="s">
        <v>1706</v>
      </c>
      <c r="B236" s="4" t="s">
        <v>1707</v>
      </c>
      <c r="C236" s="4" t="s">
        <v>13</v>
      </c>
      <c r="D236" s="4">
        <v>0.5</v>
      </c>
      <c r="E236" s="4">
        <v>24</v>
      </c>
      <c r="F236" s="4">
        <v>24</v>
      </c>
      <c r="G236" s="4">
        <v>24</v>
      </c>
      <c r="H236" s="39">
        <v>11.043900000000001</v>
      </c>
      <c r="I236" s="4">
        <v>4.0000000000000002E-4</v>
      </c>
      <c r="J236" s="4">
        <v>-71.666399999999996</v>
      </c>
      <c r="K236" s="4">
        <v>5.9999999999999995E-4</v>
      </c>
      <c r="L236" s="4">
        <v>5.1999999999999998E-2</v>
      </c>
      <c r="M236" s="4">
        <v>3.0000000000000001E-3</v>
      </c>
      <c r="N236" s="4">
        <v>-2.7000000000000001E-3</v>
      </c>
      <c r="O236" s="4">
        <v>1E-4</v>
      </c>
      <c r="P236" s="4">
        <v>128.02000000000001</v>
      </c>
      <c r="Q236" s="4">
        <v>0.2</v>
      </c>
      <c r="R236" s="4">
        <f t="shared" si="14"/>
        <v>0.22225694444444447</v>
      </c>
      <c r="S236" s="22">
        <f t="shared" si="13"/>
        <v>3.4722222222222229E-4</v>
      </c>
    </row>
    <row r="237" spans="1:19">
      <c r="A237" s="28" t="s">
        <v>1706</v>
      </c>
      <c r="B237" s="29" t="s">
        <v>1707</v>
      </c>
      <c r="C237" s="29" t="s">
        <v>13</v>
      </c>
      <c r="D237" s="29">
        <v>0.75</v>
      </c>
      <c r="E237" s="4">
        <v>24</v>
      </c>
      <c r="F237" s="4">
        <v>24</v>
      </c>
      <c r="G237" s="4">
        <v>24</v>
      </c>
      <c r="H237" s="29">
        <v>12.8864</v>
      </c>
      <c r="I237" s="4">
        <v>4.0000000000000002E-4</v>
      </c>
      <c r="J237" s="29">
        <v>-83.605999999999995</v>
      </c>
      <c r="K237" s="4">
        <v>2.9999999999999997E-4</v>
      </c>
      <c r="L237" s="4">
        <v>3.6999999999999998E-2</v>
      </c>
      <c r="M237" s="4">
        <v>6.0000000000000001E-3</v>
      </c>
      <c r="N237" s="4">
        <v>-2.3E-3</v>
      </c>
      <c r="O237" s="4">
        <v>1E-4</v>
      </c>
      <c r="P237" s="4">
        <v>127.8</v>
      </c>
      <c r="Q237" s="4">
        <v>0.17</v>
      </c>
      <c r="R237" s="29">
        <f t="shared" si="14"/>
        <v>0.22187499999999999</v>
      </c>
      <c r="S237" s="22">
        <f t="shared" si="13"/>
        <v>2.9513888888888889E-4</v>
      </c>
    </row>
    <row r="238" spans="1:19" ht="17" thickBot="1">
      <c r="A238" s="50" t="s">
        <v>1706</v>
      </c>
      <c r="B238" s="14" t="s">
        <v>1707</v>
      </c>
      <c r="C238" s="14" t="s">
        <v>13</v>
      </c>
      <c r="D238" s="14">
        <v>1</v>
      </c>
      <c r="E238" s="10">
        <v>24</v>
      </c>
      <c r="F238" s="10">
        <v>24</v>
      </c>
      <c r="G238" s="10">
        <v>24</v>
      </c>
      <c r="H238" s="175">
        <v>14.7294</v>
      </c>
      <c r="I238" s="10">
        <v>5.0000000000000001E-4</v>
      </c>
      <c r="J238" s="14">
        <v>-95.542900000000003</v>
      </c>
      <c r="K238" s="10">
        <v>4.0000000000000002E-4</v>
      </c>
      <c r="L238" s="10">
        <v>3.7999999999999999E-2</v>
      </c>
      <c r="M238" s="10">
        <v>8.9999999999999993E-3</v>
      </c>
      <c r="N238" s="10">
        <v>-2E-3</v>
      </c>
      <c r="O238" s="10">
        <v>0</v>
      </c>
      <c r="P238" s="10">
        <v>127.92</v>
      </c>
      <c r="Q238" s="10">
        <v>0.18</v>
      </c>
      <c r="R238" s="14">
        <f t="shared" si="14"/>
        <v>0.22208333333333333</v>
      </c>
      <c r="S238" s="26">
        <f t="shared" si="13"/>
        <v>3.1250000000000001E-4</v>
      </c>
    </row>
    <row r="239" spans="1:19" ht="17" thickTop="1">
      <c r="A239" s="109" t="s">
        <v>1502</v>
      </c>
      <c r="B239" s="113" t="s">
        <v>1503</v>
      </c>
      <c r="C239" s="113"/>
      <c r="D239" s="113">
        <v>0</v>
      </c>
      <c r="E239" s="4">
        <v>24</v>
      </c>
      <c r="F239" s="4">
        <v>1</v>
      </c>
      <c r="G239" s="4">
        <v>24</v>
      </c>
      <c r="H239" s="113">
        <v>7.3643999999999998</v>
      </c>
      <c r="I239" s="4">
        <v>1E-4</v>
      </c>
      <c r="J239" s="113">
        <v>-47.771500000000003</v>
      </c>
      <c r="K239" s="4">
        <v>2.9999999999999997E-4</v>
      </c>
      <c r="L239" s="4">
        <v>0.03</v>
      </c>
      <c r="M239" s="4">
        <v>0.02</v>
      </c>
      <c r="N239" s="4">
        <v>-4.1000000000000003E-3</v>
      </c>
      <c r="O239" s="4">
        <v>0</v>
      </c>
      <c r="P239" s="4">
        <v>127.73</v>
      </c>
      <c r="Q239" s="4">
        <v>0.1</v>
      </c>
      <c r="R239" s="113">
        <f>P239*E239/G239^3</f>
        <v>0.22175347222222222</v>
      </c>
      <c r="S239" s="22">
        <f t="shared" ref="S239:S240" si="17">Q239*E239/G239^3</f>
        <v>1.7361111111111114E-4</v>
      </c>
    </row>
    <row r="240" spans="1:19">
      <c r="A240" s="109" t="s">
        <v>1504</v>
      </c>
      <c r="B240" s="113" t="s">
        <v>1505</v>
      </c>
      <c r="C240" s="113"/>
      <c r="D240" s="113">
        <v>0</v>
      </c>
      <c r="E240" s="4">
        <v>24</v>
      </c>
      <c r="F240" s="4">
        <v>1</v>
      </c>
      <c r="G240" s="4">
        <v>24</v>
      </c>
      <c r="H240" s="113">
        <v>7.3643999999999998</v>
      </c>
      <c r="I240" s="4">
        <v>1E-4</v>
      </c>
      <c r="J240" s="113">
        <v>-47.771500000000003</v>
      </c>
      <c r="K240" s="4">
        <v>2.9999999999999997E-4</v>
      </c>
      <c r="L240" s="4">
        <v>0.03</v>
      </c>
      <c r="M240" s="4">
        <v>0.02</v>
      </c>
      <c r="N240" s="4">
        <v>-4.1000000000000003E-3</v>
      </c>
      <c r="O240" s="4">
        <v>0</v>
      </c>
      <c r="P240" s="4">
        <v>127.73</v>
      </c>
      <c r="Q240" s="4">
        <v>0.1</v>
      </c>
      <c r="R240" s="113">
        <f t="shared" ref="R240" si="18">P240*E240/G240^3</f>
        <v>0.22175347222222222</v>
      </c>
      <c r="S240" s="22">
        <f t="shared" si="17"/>
        <v>1.7361111111111114E-4</v>
      </c>
    </row>
    <row r="241" spans="1:19">
      <c r="A241" s="109" t="s">
        <v>1506</v>
      </c>
      <c r="B241" s="113" t="s">
        <v>1507</v>
      </c>
      <c r="C241" s="113"/>
      <c r="D241" s="113">
        <v>0</v>
      </c>
      <c r="E241" s="4">
        <v>24</v>
      </c>
      <c r="F241" s="4">
        <v>2</v>
      </c>
      <c r="G241" s="4">
        <v>24</v>
      </c>
      <c r="H241" s="113">
        <v>7.3643999999999998</v>
      </c>
      <c r="I241" s="4">
        <v>1E-4</v>
      </c>
      <c r="J241" s="113">
        <v>-47.771500000000003</v>
      </c>
      <c r="K241" s="4">
        <v>2.9999999999999997E-4</v>
      </c>
      <c r="L241" s="4">
        <v>0.03</v>
      </c>
      <c r="M241" s="4">
        <v>0.02</v>
      </c>
      <c r="N241" s="4">
        <v>-4.1000000000000003E-3</v>
      </c>
      <c r="O241" s="4">
        <v>0</v>
      </c>
      <c r="P241" s="4">
        <v>127.73</v>
      </c>
      <c r="Q241" s="4">
        <v>0.1</v>
      </c>
      <c r="R241" s="113">
        <f t="shared" ref="R241:R304" si="19">P241*E241/G241^3</f>
        <v>0.22175347222222222</v>
      </c>
      <c r="S241" s="22">
        <f t="shared" ref="S241:S304" si="20">Q241*E241/G241^3</f>
        <v>1.7361111111111114E-4</v>
      </c>
    </row>
    <row r="242" spans="1:19">
      <c r="A242" s="109" t="s">
        <v>1508</v>
      </c>
      <c r="B242" s="113" t="s">
        <v>1509</v>
      </c>
      <c r="C242" s="113"/>
      <c r="D242" s="113">
        <v>0</v>
      </c>
      <c r="E242" s="4">
        <v>24</v>
      </c>
      <c r="F242" s="4">
        <v>2</v>
      </c>
      <c r="G242" s="4">
        <v>24</v>
      </c>
      <c r="H242" s="113">
        <v>7.3643999999999998</v>
      </c>
      <c r="I242" s="4">
        <v>1E-4</v>
      </c>
      <c r="J242" s="113">
        <v>-47.771500000000003</v>
      </c>
      <c r="K242" s="4">
        <v>2.9999999999999997E-4</v>
      </c>
      <c r="L242" s="4">
        <v>0.03</v>
      </c>
      <c r="M242" s="4">
        <v>0.02</v>
      </c>
      <c r="N242" s="4">
        <v>-4.1000000000000003E-3</v>
      </c>
      <c r="O242" s="4">
        <v>0</v>
      </c>
      <c r="P242" s="4">
        <v>127.73</v>
      </c>
      <c r="Q242" s="4">
        <v>0.1</v>
      </c>
      <c r="R242" s="113">
        <f t="shared" si="19"/>
        <v>0.22175347222222222</v>
      </c>
      <c r="S242" s="22">
        <f t="shared" si="20"/>
        <v>1.7361111111111114E-4</v>
      </c>
    </row>
    <row r="243" spans="1:19">
      <c r="A243" s="109" t="s">
        <v>1510</v>
      </c>
      <c r="B243" s="113" t="s">
        <v>1511</v>
      </c>
      <c r="C243" s="113"/>
      <c r="D243" s="113">
        <v>0</v>
      </c>
      <c r="E243" s="4">
        <v>24</v>
      </c>
      <c r="F243" s="4">
        <v>2</v>
      </c>
      <c r="G243" s="4">
        <v>24</v>
      </c>
      <c r="H243" s="113">
        <v>7.3643999999999998</v>
      </c>
      <c r="I243" s="4">
        <v>1E-4</v>
      </c>
      <c r="J243" s="113">
        <v>-47.771500000000003</v>
      </c>
      <c r="K243" s="4">
        <v>2.9999999999999997E-4</v>
      </c>
      <c r="L243" s="4">
        <v>0.03</v>
      </c>
      <c r="M243" s="4">
        <v>0.02</v>
      </c>
      <c r="N243" s="4">
        <v>-4.1000000000000003E-3</v>
      </c>
      <c r="O243" s="4">
        <v>0</v>
      </c>
      <c r="P243" s="4">
        <v>127.73</v>
      </c>
      <c r="Q243" s="4">
        <v>0.1</v>
      </c>
      <c r="R243" s="113">
        <f t="shared" si="19"/>
        <v>0.22175347222222222</v>
      </c>
      <c r="S243" s="22">
        <f t="shared" si="20"/>
        <v>1.7361111111111114E-4</v>
      </c>
    </row>
    <row r="244" spans="1:19">
      <c r="A244" s="109" t="s">
        <v>1512</v>
      </c>
      <c r="B244" s="113" t="s">
        <v>1513</v>
      </c>
      <c r="C244" s="113"/>
      <c r="D244" s="113">
        <v>0</v>
      </c>
      <c r="E244" s="4">
        <v>24</v>
      </c>
      <c r="F244" s="4">
        <v>2</v>
      </c>
      <c r="G244" s="4">
        <v>24</v>
      </c>
      <c r="H244" s="113">
        <v>7.3643999999999998</v>
      </c>
      <c r="I244" s="4">
        <v>1E-4</v>
      </c>
      <c r="J244" s="113">
        <v>-47.771500000000003</v>
      </c>
      <c r="K244" s="4">
        <v>2.9999999999999997E-4</v>
      </c>
      <c r="L244" s="4">
        <v>0.03</v>
      </c>
      <c r="M244" s="4">
        <v>0.02</v>
      </c>
      <c r="N244" s="4">
        <v>-4.1000000000000003E-3</v>
      </c>
      <c r="O244" s="4">
        <v>0</v>
      </c>
      <c r="P244" s="4">
        <v>127.73</v>
      </c>
      <c r="Q244" s="4">
        <v>0.1</v>
      </c>
      <c r="R244" s="113">
        <f t="shared" si="19"/>
        <v>0.22175347222222222</v>
      </c>
      <c r="S244" s="22">
        <f t="shared" si="20"/>
        <v>1.7361111111111114E-4</v>
      </c>
    </row>
    <row r="245" spans="1:19">
      <c r="A245" s="109" t="s">
        <v>1514</v>
      </c>
      <c r="B245" s="113" t="s">
        <v>1515</v>
      </c>
      <c r="C245" s="113"/>
      <c r="D245" s="113">
        <v>0</v>
      </c>
      <c r="E245" s="4">
        <v>24</v>
      </c>
      <c r="F245" s="4">
        <v>3</v>
      </c>
      <c r="G245" s="4">
        <v>24</v>
      </c>
      <c r="H245" s="113">
        <v>7.3643999999999998</v>
      </c>
      <c r="I245" s="4">
        <v>1E-4</v>
      </c>
      <c r="J245" s="113">
        <v>-47.771500000000003</v>
      </c>
      <c r="K245" s="4">
        <v>2.9999999999999997E-4</v>
      </c>
      <c r="L245" s="4">
        <v>0.03</v>
      </c>
      <c r="M245" s="4">
        <v>0.02</v>
      </c>
      <c r="N245" s="4">
        <v>-4.1000000000000003E-3</v>
      </c>
      <c r="O245" s="4">
        <v>0</v>
      </c>
      <c r="P245" s="4">
        <v>127.73</v>
      </c>
      <c r="Q245" s="4">
        <v>0.1</v>
      </c>
      <c r="R245" s="113">
        <f t="shared" si="19"/>
        <v>0.22175347222222222</v>
      </c>
      <c r="S245" s="22">
        <f t="shared" si="20"/>
        <v>1.7361111111111114E-4</v>
      </c>
    </row>
    <row r="246" spans="1:19">
      <c r="A246" s="109" t="s">
        <v>1516</v>
      </c>
      <c r="B246" s="113" t="s">
        <v>1517</v>
      </c>
      <c r="C246" s="113"/>
      <c r="D246" s="113">
        <v>0</v>
      </c>
      <c r="E246" s="4">
        <v>24</v>
      </c>
      <c r="F246" s="4">
        <v>3</v>
      </c>
      <c r="G246" s="4">
        <v>24</v>
      </c>
      <c r="H246" s="113">
        <v>7.3643999999999998</v>
      </c>
      <c r="I246" s="4">
        <v>1E-4</v>
      </c>
      <c r="J246" s="113">
        <v>-47.771500000000003</v>
      </c>
      <c r="K246" s="4">
        <v>2.9999999999999997E-4</v>
      </c>
      <c r="L246" s="4">
        <v>0.03</v>
      </c>
      <c r="M246" s="4">
        <v>0.02</v>
      </c>
      <c r="N246" s="4">
        <v>-4.1000000000000003E-3</v>
      </c>
      <c r="O246" s="4">
        <v>0</v>
      </c>
      <c r="P246" s="4">
        <v>127.73</v>
      </c>
      <c r="Q246" s="4">
        <v>0.1</v>
      </c>
      <c r="R246" s="113">
        <f t="shared" si="19"/>
        <v>0.22175347222222222</v>
      </c>
      <c r="S246" s="22">
        <f t="shared" si="20"/>
        <v>1.7361111111111114E-4</v>
      </c>
    </row>
    <row r="247" spans="1:19">
      <c r="A247" s="109" t="s">
        <v>1518</v>
      </c>
      <c r="B247" s="113" t="s">
        <v>1519</v>
      </c>
      <c r="C247" s="113"/>
      <c r="D247" s="113">
        <v>0</v>
      </c>
      <c r="E247" s="4">
        <v>24</v>
      </c>
      <c r="F247" s="4">
        <v>3</v>
      </c>
      <c r="G247" s="4">
        <v>24</v>
      </c>
      <c r="H247" s="113">
        <v>7.3643999999999998</v>
      </c>
      <c r="I247" s="4">
        <v>1E-4</v>
      </c>
      <c r="J247" s="113">
        <v>-47.771500000000003</v>
      </c>
      <c r="K247" s="4">
        <v>2.9999999999999997E-4</v>
      </c>
      <c r="L247" s="4">
        <v>0.03</v>
      </c>
      <c r="M247" s="4">
        <v>0.02</v>
      </c>
      <c r="N247" s="4">
        <v>-4.1000000000000003E-3</v>
      </c>
      <c r="O247" s="4">
        <v>0</v>
      </c>
      <c r="P247" s="4">
        <v>127.73</v>
      </c>
      <c r="Q247" s="4">
        <v>0.1</v>
      </c>
      <c r="R247" s="113">
        <f t="shared" si="19"/>
        <v>0.22175347222222222</v>
      </c>
      <c r="S247" s="22">
        <f t="shared" si="20"/>
        <v>1.7361111111111114E-4</v>
      </c>
    </row>
    <row r="248" spans="1:19">
      <c r="A248" s="109" t="s">
        <v>1520</v>
      </c>
      <c r="B248" s="113" t="s">
        <v>1521</v>
      </c>
      <c r="C248" s="113"/>
      <c r="D248" s="113">
        <v>0</v>
      </c>
      <c r="E248" s="4">
        <v>24</v>
      </c>
      <c r="F248" s="4">
        <v>3</v>
      </c>
      <c r="G248" s="4">
        <v>24</v>
      </c>
      <c r="H248" s="113">
        <v>7.3643999999999998</v>
      </c>
      <c r="I248" s="4">
        <v>1E-4</v>
      </c>
      <c r="J248" s="113">
        <v>-47.771500000000003</v>
      </c>
      <c r="K248" s="4">
        <v>2.9999999999999997E-4</v>
      </c>
      <c r="L248" s="4">
        <v>0.03</v>
      </c>
      <c r="M248" s="4">
        <v>0.02</v>
      </c>
      <c r="N248" s="4">
        <v>-4.1000000000000003E-3</v>
      </c>
      <c r="O248" s="4">
        <v>0</v>
      </c>
      <c r="P248" s="4">
        <v>127.73</v>
      </c>
      <c r="Q248" s="4">
        <v>0.1</v>
      </c>
      <c r="R248" s="113">
        <f t="shared" si="19"/>
        <v>0.22175347222222222</v>
      </c>
      <c r="S248" s="22">
        <f t="shared" si="20"/>
        <v>1.7361111111111114E-4</v>
      </c>
    </row>
    <row r="249" spans="1:19">
      <c r="A249" s="109" t="s">
        <v>1522</v>
      </c>
      <c r="B249" s="113" t="s">
        <v>1523</v>
      </c>
      <c r="C249" s="113"/>
      <c r="D249" s="113">
        <v>0</v>
      </c>
      <c r="E249" s="4">
        <v>24</v>
      </c>
      <c r="F249" s="4">
        <v>4</v>
      </c>
      <c r="G249" s="4">
        <v>24</v>
      </c>
      <c r="H249" s="113">
        <v>7.3643999999999998</v>
      </c>
      <c r="I249" s="4">
        <v>1E-4</v>
      </c>
      <c r="J249" s="113">
        <v>-47.771500000000003</v>
      </c>
      <c r="K249" s="4">
        <v>2.9999999999999997E-4</v>
      </c>
      <c r="L249" s="4">
        <v>0.03</v>
      </c>
      <c r="M249" s="4">
        <v>0.02</v>
      </c>
      <c r="N249" s="4">
        <v>-4.1000000000000003E-3</v>
      </c>
      <c r="O249" s="4">
        <v>0</v>
      </c>
      <c r="P249" s="4">
        <v>127.73</v>
      </c>
      <c r="Q249" s="4">
        <v>0.1</v>
      </c>
      <c r="R249" s="113">
        <f t="shared" si="19"/>
        <v>0.22175347222222222</v>
      </c>
      <c r="S249" s="22">
        <f t="shared" si="20"/>
        <v>1.7361111111111114E-4</v>
      </c>
    </row>
    <row r="250" spans="1:19">
      <c r="A250" s="109" t="s">
        <v>1524</v>
      </c>
      <c r="B250" s="113" t="s">
        <v>1525</v>
      </c>
      <c r="C250" s="113"/>
      <c r="D250" s="113">
        <v>0</v>
      </c>
      <c r="E250" s="4">
        <v>24</v>
      </c>
      <c r="F250" s="4">
        <v>4</v>
      </c>
      <c r="G250" s="4">
        <v>24</v>
      </c>
      <c r="H250" s="113">
        <v>7.3643999999999998</v>
      </c>
      <c r="I250" s="4">
        <v>1E-4</v>
      </c>
      <c r="J250" s="113">
        <v>-47.771500000000003</v>
      </c>
      <c r="K250" s="4">
        <v>2.9999999999999997E-4</v>
      </c>
      <c r="L250" s="4">
        <v>0.03</v>
      </c>
      <c r="M250" s="4">
        <v>0.02</v>
      </c>
      <c r="N250" s="4">
        <v>-4.1000000000000003E-3</v>
      </c>
      <c r="O250" s="4">
        <v>0</v>
      </c>
      <c r="P250" s="4">
        <v>127.73</v>
      </c>
      <c r="Q250" s="4">
        <v>0.1</v>
      </c>
      <c r="R250" s="113">
        <f t="shared" si="19"/>
        <v>0.22175347222222222</v>
      </c>
      <c r="S250" s="22">
        <f t="shared" si="20"/>
        <v>1.7361111111111114E-4</v>
      </c>
    </row>
    <row r="251" spans="1:19">
      <c r="A251" s="109" t="s">
        <v>1526</v>
      </c>
      <c r="B251" s="113" t="s">
        <v>1527</v>
      </c>
      <c r="C251" s="113"/>
      <c r="D251" s="113">
        <v>0</v>
      </c>
      <c r="E251" s="4">
        <v>24</v>
      </c>
      <c r="F251" s="4">
        <v>4</v>
      </c>
      <c r="G251" s="4">
        <v>24</v>
      </c>
      <c r="H251" s="113">
        <v>7.3643999999999998</v>
      </c>
      <c r="I251" s="4">
        <v>1E-4</v>
      </c>
      <c r="J251" s="113">
        <v>-47.771500000000003</v>
      </c>
      <c r="K251" s="4">
        <v>2.9999999999999997E-4</v>
      </c>
      <c r="L251" s="4">
        <v>0.03</v>
      </c>
      <c r="M251" s="4">
        <v>0.02</v>
      </c>
      <c r="N251" s="4">
        <v>-4.1000000000000003E-3</v>
      </c>
      <c r="O251" s="4">
        <v>0</v>
      </c>
      <c r="P251" s="4">
        <v>127.73</v>
      </c>
      <c r="Q251" s="4">
        <v>0.1</v>
      </c>
      <c r="R251" s="113">
        <f t="shared" si="19"/>
        <v>0.22175347222222222</v>
      </c>
      <c r="S251" s="22">
        <f t="shared" si="20"/>
        <v>1.7361111111111114E-4</v>
      </c>
    </row>
    <row r="252" spans="1:19">
      <c r="A252" s="109" t="s">
        <v>1528</v>
      </c>
      <c r="B252" s="113" t="s">
        <v>1529</v>
      </c>
      <c r="C252" s="113"/>
      <c r="D252" s="113">
        <v>0</v>
      </c>
      <c r="E252" s="4">
        <v>24</v>
      </c>
      <c r="F252" s="4">
        <v>4</v>
      </c>
      <c r="G252" s="4">
        <v>24</v>
      </c>
      <c r="H252" s="113">
        <v>7.3643999999999998</v>
      </c>
      <c r="I252" s="4">
        <v>1E-4</v>
      </c>
      <c r="J252" s="113">
        <v>-47.771500000000003</v>
      </c>
      <c r="K252" s="4">
        <v>2.9999999999999997E-4</v>
      </c>
      <c r="L252" s="4">
        <v>0.03</v>
      </c>
      <c r="M252" s="4">
        <v>0.02</v>
      </c>
      <c r="N252" s="4">
        <v>-4.1000000000000003E-3</v>
      </c>
      <c r="O252" s="4">
        <v>0</v>
      </c>
      <c r="P252" s="4">
        <v>127.73</v>
      </c>
      <c r="Q252" s="4">
        <v>0.1</v>
      </c>
      <c r="R252" s="113">
        <f t="shared" si="19"/>
        <v>0.22175347222222222</v>
      </c>
      <c r="S252" s="22">
        <f t="shared" si="20"/>
        <v>1.7361111111111114E-4</v>
      </c>
    </row>
    <row r="253" spans="1:19">
      <c r="A253" s="109" t="s">
        <v>1530</v>
      </c>
      <c r="B253" s="113" t="s">
        <v>1531</v>
      </c>
      <c r="C253" s="113"/>
      <c r="D253" s="113">
        <v>0</v>
      </c>
      <c r="E253" s="4">
        <v>24</v>
      </c>
      <c r="F253" s="4">
        <v>5</v>
      </c>
      <c r="G253" s="4">
        <v>24</v>
      </c>
      <c r="H253" s="113">
        <v>7.3643999999999998</v>
      </c>
      <c r="I253" s="4">
        <v>1E-4</v>
      </c>
      <c r="J253" s="113">
        <v>-47.771500000000003</v>
      </c>
      <c r="K253" s="4">
        <v>2.9999999999999997E-4</v>
      </c>
      <c r="L253" s="4">
        <v>0.03</v>
      </c>
      <c r="M253" s="4">
        <v>0.02</v>
      </c>
      <c r="N253" s="4">
        <v>-4.1000000000000003E-3</v>
      </c>
      <c r="O253" s="4">
        <v>0</v>
      </c>
      <c r="P253" s="4">
        <v>127.73</v>
      </c>
      <c r="Q253" s="4">
        <v>0.1</v>
      </c>
      <c r="R253" s="113">
        <f t="shared" si="19"/>
        <v>0.22175347222222222</v>
      </c>
      <c r="S253" s="22">
        <f t="shared" si="20"/>
        <v>1.7361111111111114E-4</v>
      </c>
    </row>
    <row r="254" spans="1:19">
      <c r="A254" s="109" t="s">
        <v>1532</v>
      </c>
      <c r="B254" s="113" t="s">
        <v>1533</v>
      </c>
      <c r="C254" s="113"/>
      <c r="D254" s="113">
        <v>0</v>
      </c>
      <c r="E254" s="4">
        <v>24</v>
      </c>
      <c r="F254" s="4">
        <v>5</v>
      </c>
      <c r="G254" s="4">
        <v>24</v>
      </c>
      <c r="H254" s="113">
        <v>7.3643999999999998</v>
      </c>
      <c r="I254" s="4">
        <v>1E-4</v>
      </c>
      <c r="J254" s="113">
        <v>-47.771500000000003</v>
      </c>
      <c r="K254" s="4">
        <v>2.9999999999999997E-4</v>
      </c>
      <c r="L254" s="4">
        <v>0.03</v>
      </c>
      <c r="M254" s="4">
        <v>0.02</v>
      </c>
      <c r="N254" s="4">
        <v>-4.1000000000000003E-3</v>
      </c>
      <c r="O254" s="4">
        <v>0</v>
      </c>
      <c r="P254" s="4">
        <v>127.73</v>
      </c>
      <c r="Q254" s="4">
        <v>0.1</v>
      </c>
      <c r="R254" s="113">
        <f t="shared" si="19"/>
        <v>0.22175347222222222</v>
      </c>
      <c r="S254" s="22">
        <f t="shared" si="20"/>
        <v>1.7361111111111114E-4</v>
      </c>
    </row>
    <row r="255" spans="1:19">
      <c r="A255" s="109" t="s">
        <v>1534</v>
      </c>
      <c r="B255" s="113" t="s">
        <v>1535</v>
      </c>
      <c r="C255" s="113"/>
      <c r="D255" s="113">
        <v>0</v>
      </c>
      <c r="E255" s="4">
        <v>24</v>
      </c>
      <c r="F255" s="4">
        <v>5</v>
      </c>
      <c r="G255" s="4">
        <v>24</v>
      </c>
      <c r="H255" s="113">
        <v>7.3643999999999998</v>
      </c>
      <c r="I255" s="4">
        <v>1E-4</v>
      </c>
      <c r="J255" s="113">
        <v>-47.771500000000003</v>
      </c>
      <c r="K255" s="4">
        <v>2.9999999999999997E-4</v>
      </c>
      <c r="L255" s="4">
        <v>0.03</v>
      </c>
      <c r="M255" s="4">
        <v>0.02</v>
      </c>
      <c r="N255" s="4">
        <v>-4.1000000000000003E-3</v>
      </c>
      <c r="O255" s="4">
        <v>0</v>
      </c>
      <c r="P255" s="4">
        <v>127.73</v>
      </c>
      <c r="Q255" s="4">
        <v>0.1</v>
      </c>
      <c r="R255" s="113">
        <f t="shared" si="19"/>
        <v>0.22175347222222222</v>
      </c>
      <c r="S255" s="22">
        <f t="shared" si="20"/>
        <v>1.7361111111111114E-4</v>
      </c>
    </row>
    <row r="256" spans="1:19">
      <c r="A256" s="109" t="s">
        <v>1536</v>
      </c>
      <c r="B256" s="113" t="s">
        <v>1537</v>
      </c>
      <c r="C256" s="113"/>
      <c r="D256" s="113">
        <v>0</v>
      </c>
      <c r="E256" s="4">
        <v>24</v>
      </c>
      <c r="F256" s="4">
        <v>5</v>
      </c>
      <c r="G256" s="4">
        <v>24</v>
      </c>
      <c r="H256" s="113">
        <v>7.3643999999999998</v>
      </c>
      <c r="I256" s="4">
        <v>1E-4</v>
      </c>
      <c r="J256" s="113">
        <v>-47.771500000000003</v>
      </c>
      <c r="K256" s="4">
        <v>2.9999999999999997E-4</v>
      </c>
      <c r="L256" s="4">
        <v>0.03</v>
      </c>
      <c r="M256" s="4">
        <v>0.02</v>
      </c>
      <c r="N256" s="4">
        <v>-4.1000000000000003E-3</v>
      </c>
      <c r="O256" s="4">
        <v>0</v>
      </c>
      <c r="P256" s="4">
        <v>127.73</v>
      </c>
      <c r="Q256" s="4">
        <v>0.1</v>
      </c>
      <c r="R256" s="113">
        <f t="shared" si="19"/>
        <v>0.22175347222222222</v>
      </c>
      <c r="S256" s="22">
        <f t="shared" si="20"/>
        <v>1.7361111111111114E-4</v>
      </c>
    </row>
    <row r="257" spans="1:19">
      <c r="A257" s="109" t="s">
        <v>1538</v>
      </c>
      <c r="B257" s="113" t="s">
        <v>1539</v>
      </c>
      <c r="C257" s="113"/>
      <c r="D257" s="113">
        <v>0</v>
      </c>
      <c r="E257" s="4">
        <v>24</v>
      </c>
      <c r="F257" s="4">
        <v>6</v>
      </c>
      <c r="G257" s="4">
        <v>24</v>
      </c>
      <c r="H257" s="113">
        <v>7.3643999999999998</v>
      </c>
      <c r="I257" s="4">
        <v>1E-4</v>
      </c>
      <c r="J257" s="113">
        <v>-47.771500000000003</v>
      </c>
      <c r="K257" s="4">
        <v>2.9999999999999997E-4</v>
      </c>
      <c r="L257" s="4">
        <v>0.03</v>
      </c>
      <c r="M257" s="4">
        <v>0.02</v>
      </c>
      <c r="N257" s="4">
        <v>-4.1000000000000003E-3</v>
      </c>
      <c r="O257" s="4">
        <v>0</v>
      </c>
      <c r="P257" s="4">
        <v>127.73</v>
      </c>
      <c r="Q257" s="4">
        <v>0.1</v>
      </c>
      <c r="R257" s="113">
        <f t="shared" si="19"/>
        <v>0.22175347222222222</v>
      </c>
      <c r="S257" s="22">
        <f t="shared" si="20"/>
        <v>1.7361111111111114E-4</v>
      </c>
    </row>
    <row r="258" spans="1:19">
      <c r="A258" s="109" t="s">
        <v>1540</v>
      </c>
      <c r="B258" s="113" t="s">
        <v>1541</v>
      </c>
      <c r="C258" s="113"/>
      <c r="D258" s="113">
        <v>0</v>
      </c>
      <c r="E258" s="4">
        <v>24</v>
      </c>
      <c r="F258" s="4">
        <v>6</v>
      </c>
      <c r="G258" s="4">
        <v>24</v>
      </c>
      <c r="H258" s="113">
        <v>7.3643999999999998</v>
      </c>
      <c r="I258" s="4">
        <v>1E-4</v>
      </c>
      <c r="J258" s="113">
        <v>-47.771500000000003</v>
      </c>
      <c r="K258" s="4">
        <v>2.9999999999999997E-4</v>
      </c>
      <c r="L258" s="4">
        <v>0.03</v>
      </c>
      <c r="M258" s="4">
        <v>0.02</v>
      </c>
      <c r="N258" s="4">
        <v>-4.1000000000000003E-3</v>
      </c>
      <c r="O258" s="4">
        <v>0</v>
      </c>
      <c r="P258" s="4">
        <v>127.73</v>
      </c>
      <c r="Q258" s="4">
        <v>0.1</v>
      </c>
      <c r="R258" s="113">
        <f t="shared" si="19"/>
        <v>0.22175347222222222</v>
      </c>
      <c r="S258" s="22">
        <f t="shared" si="20"/>
        <v>1.7361111111111114E-4</v>
      </c>
    </row>
    <row r="259" spans="1:19">
      <c r="A259" s="109" t="s">
        <v>1542</v>
      </c>
      <c r="B259" s="113" t="s">
        <v>1543</v>
      </c>
      <c r="C259" s="113"/>
      <c r="D259" s="113">
        <v>0</v>
      </c>
      <c r="E259" s="4">
        <v>24</v>
      </c>
      <c r="F259" s="4">
        <v>6</v>
      </c>
      <c r="G259" s="4">
        <v>24</v>
      </c>
      <c r="H259" s="113">
        <v>7.3643999999999998</v>
      </c>
      <c r="I259" s="4">
        <v>1E-4</v>
      </c>
      <c r="J259" s="113">
        <v>-47.771500000000003</v>
      </c>
      <c r="K259" s="4">
        <v>2.9999999999999997E-4</v>
      </c>
      <c r="L259" s="4">
        <v>0.03</v>
      </c>
      <c r="M259" s="4">
        <v>0.02</v>
      </c>
      <c r="N259" s="4">
        <v>-4.1000000000000003E-3</v>
      </c>
      <c r="O259" s="4">
        <v>0</v>
      </c>
      <c r="P259" s="4">
        <v>127.73</v>
      </c>
      <c r="Q259" s="4">
        <v>0.1</v>
      </c>
      <c r="R259" s="113">
        <f t="shared" si="19"/>
        <v>0.22175347222222222</v>
      </c>
      <c r="S259" s="22">
        <f t="shared" si="20"/>
        <v>1.7361111111111114E-4</v>
      </c>
    </row>
    <row r="260" spans="1:19">
      <c r="A260" s="109" t="s">
        <v>1544</v>
      </c>
      <c r="B260" s="113" t="s">
        <v>1545</v>
      </c>
      <c r="C260" s="113"/>
      <c r="D260" s="113">
        <v>0</v>
      </c>
      <c r="E260" s="4">
        <v>24</v>
      </c>
      <c r="F260" s="4">
        <v>6</v>
      </c>
      <c r="G260" s="4">
        <v>24</v>
      </c>
      <c r="H260" s="113">
        <v>7.3643999999999998</v>
      </c>
      <c r="I260" s="4">
        <v>1E-4</v>
      </c>
      <c r="J260" s="113">
        <v>-47.771500000000003</v>
      </c>
      <c r="K260" s="4">
        <v>2.9999999999999997E-4</v>
      </c>
      <c r="L260" s="4">
        <v>0.03</v>
      </c>
      <c r="M260" s="4">
        <v>0.02</v>
      </c>
      <c r="N260" s="4">
        <v>-4.1000000000000003E-3</v>
      </c>
      <c r="O260" s="4">
        <v>0</v>
      </c>
      <c r="P260" s="4">
        <v>127.73</v>
      </c>
      <c r="Q260" s="4">
        <v>0.1</v>
      </c>
      <c r="R260" s="113">
        <f t="shared" si="19"/>
        <v>0.22175347222222222</v>
      </c>
      <c r="S260" s="22">
        <f t="shared" si="20"/>
        <v>1.7361111111111114E-4</v>
      </c>
    </row>
    <row r="261" spans="1:19">
      <c r="A261" s="109" t="s">
        <v>1546</v>
      </c>
      <c r="B261" s="113" t="s">
        <v>1547</v>
      </c>
      <c r="C261" s="113"/>
      <c r="D261" s="113">
        <v>0</v>
      </c>
      <c r="E261" s="4">
        <v>24</v>
      </c>
      <c r="F261" s="4">
        <v>7</v>
      </c>
      <c r="G261" s="4">
        <v>24</v>
      </c>
      <c r="H261" s="113">
        <v>7.3643999999999998</v>
      </c>
      <c r="I261" s="4">
        <v>1E-4</v>
      </c>
      <c r="J261" s="113">
        <v>-47.771500000000003</v>
      </c>
      <c r="K261" s="4">
        <v>2.9999999999999997E-4</v>
      </c>
      <c r="L261" s="4">
        <v>0.03</v>
      </c>
      <c r="M261" s="4">
        <v>0.02</v>
      </c>
      <c r="N261" s="4">
        <v>-4.1000000000000003E-3</v>
      </c>
      <c r="O261" s="4">
        <v>0</v>
      </c>
      <c r="P261" s="4">
        <v>127.73</v>
      </c>
      <c r="Q261" s="4">
        <v>0.1</v>
      </c>
      <c r="R261" s="113">
        <f t="shared" si="19"/>
        <v>0.22175347222222222</v>
      </c>
      <c r="S261" s="22">
        <f t="shared" si="20"/>
        <v>1.7361111111111114E-4</v>
      </c>
    </row>
    <row r="262" spans="1:19">
      <c r="A262" s="109" t="s">
        <v>1548</v>
      </c>
      <c r="B262" s="113" t="s">
        <v>1549</v>
      </c>
      <c r="C262" s="113"/>
      <c r="D262" s="113">
        <v>0</v>
      </c>
      <c r="E262" s="4">
        <v>24</v>
      </c>
      <c r="F262" s="4">
        <v>7</v>
      </c>
      <c r="G262" s="4">
        <v>24</v>
      </c>
      <c r="H262" s="113">
        <v>7.3643999999999998</v>
      </c>
      <c r="I262" s="4">
        <v>1E-4</v>
      </c>
      <c r="J262" s="113">
        <v>-47.771500000000003</v>
      </c>
      <c r="K262" s="4">
        <v>2.9999999999999997E-4</v>
      </c>
      <c r="L262" s="4">
        <v>0.03</v>
      </c>
      <c r="M262" s="4">
        <v>0.02</v>
      </c>
      <c r="N262" s="4">
        <v>-4.1000000000000003E-3</v>
      </c>
      <c r="O262" s="4">
        <v>0</v>
      </c>
      <c r="P262" s="4">
        <v>127.73</v>
      </c>
      <c r="Q262" s="4">
        <v>0.1</v>
      </c>
      <c r="R262" s="113">
        <f t="shared" si="19"/>
        <v>0.22175347222222222</v>
      </c>
      <c r="S262" s="22">
        <f t="shared" si="20"/>
        <v>1.7361111111111114E-4</v>
      </c>
    </row>
    <row r="263" spans="1:19">
      <c r="A263" s="109" t="s">
        <v>1550</v>
      </c>
      <c r="B263" s="113" t="s">
        <v>1551</v>
      </c>
      <c r="C263" s="113"/>
      <c r="D263" s="113">
        <v>0</v>
      </c>
      <c r="E263" s="4">
        <v>24</v>
      </c>
      <c r="F263" s="4">
        <v>7</v>
      </c>
      <c r="G263" s="4">
        <v>24</v>
      </c>
      <c r="H263" s="113">
        <v>7.3643999999999998</v>
      </c>
      <c r="I263" s="4">
        <v>1E-4</v>
      </c>
      <c r="J263" s="113">
        <v>-47.771500000000003</v>
      </c>
      <c r="K263" s="4">
        <v>2.9999999999999997E-4</v>
      </c>
      <c r="L263" s="4">
        <v>0.03</v>
      </c>
      <c r="M263" s="4">
        <v>0.02</v>
      </c>
      <c r="N263" s="4">
        <v>-4.1000000000000003E-3</v>
      </c>
      <c r="O263" s="4">
        <v>0</v>
      </c>
      <c r="P263" s="4">
        <v>127.73</v>
      </c>
      <c r="Q263" s="4">
        <v>0.1</v>
      </c>
      <c r="R263" s="113">
        <f t="shared" si="19"/>
        <v>0.22175347222222222</v>
      </c>
      <c r="S263" s="22">
        <f t="shared" si="20"/>
        <v>1.7361111111111114E-4</v>
      </c>
    </row>
    <row r="264" spans="1:19">
      <c r="A264" s="109" t="s">
        <v>1552</v>
      </c>
      <c r="B264" s="113" t="s">
        <v>1553</v>
      </c>
      <c r="C264" s="113"/>
      <c r="D264" s="113">
        <v>0</v>
      </c>
      <c r="E264" s="4">
        <v>24</v>
      </c>
      <c r="F264" s="4">
        <v>7</v>
      </c>
      <c r="G264" s="4">
        <v>24</v>
      </c>
      <c r="H264" s="113">
        <v>7.3643999999999998</v>
      </c>
      <c r="I264" s="4">
        <v>1E-4</v>
      </c>
      <c r="J264" s="113">
        <v>-47.771500000000003</v>
      </c>
      <c r="K264" s="4">
        <v>2.9999999999999997E-4</v>
      </c>
      <c r="L264" s="4">
        <v>0.03</v>
      </c>
      <c r="M264" s="4">
        <v>0.02</v>
      </c>
      <c r="N264" s="4">
        <v>-4.1000000000000003E-3</v>
      </c>
      <c r="O264" s="4">
        <v>0</v>
      </c>
      <c r="P264" s="4">
        <v>127.73</v>
      </c>
      <c r="Q264" s="4">
        <v>0.1</v>
      </c>
      <c r="R264" s="113">
        <f t="shared" si="19"/>
        <v>0.22175347222222222</v>
      </c>
      <c r="S264" s="22">
        <f t="shared" si="20"/>
        <v>1.7361111111111114E-4</v>
      </c>
    </row>
    <row r="265" spans="1:19">
      <c r="A265" s="109" t="s">
        <v>1554</v>
      </c>
      <c r="B265" s="113" t="s">
        <v>1555</v>
      </c>
      <c r="C265" s="113"/>
      <c r="D265" s="113">
        <v>0</v>
      </c>
      <c r="E265" s="4">
        <v>24</v>
      </c>
      <c r="F265" s="4">
        <v>8</v>
      </c>
      <c r="G265" s="4">
        <v>24</v>
      </c>
      <c r="H265" s="113">
        <v>7.3643999999999998</v>
      </c>
      <c r="I265" s="4">
        <v>1E-4</v>
      </c>
      <c r="J265" s="113">
        <v>-47.771500000000003</v>
      </c>
      <c r="K265" s="4">
        <v>2.9999999999999997E-4</v>
      </c>
      <c r="L265" s="4">
        <v>0.03</v>
      </c>
      <c r="M265" s="4">
        <v>0.02</v>
      </c>
      <c r="N265" s="4">
        <v>-4.1000000000000003E-3</v>
      </c>
      <c r="O265" s="4">
        <v>0</v>
      </c>
      <c r="P265" s="4">
        <v>127.73</v>
      </c>
      <c r="Q265" s="4">
        <v>0.1</v>
      </c>
      <c r="R265" s="113">
        <f t="shared" si="19"/>
        <v>0.22175347222222222</v>
      </c>
      <c r="S265" s="22">
        <f t="shared" si="20"/>
        <v>1.7361111111111114E-4</v>
      </c>
    </row>
    <row r="266" spans="1:19">
      <c r="A266" s="109" t="s">
        <v>1556</v>
      </c>
      <c r="B266" s="113" t="s">
        <v>1557</v>
      </c>
      <c r="C266" s="113"/>
      <c r="D266" s="113">
        <v>0</v>
      </c>
      <c r="E266" s="4">
        <v>24</v>
      </c>
      <c r="F266" s="4">
        <v>8</v>
      </c>
      <c r="G266" s="4">
        <v>24</v>
      </c>
      <c r="H266" s="113">
        <v>7.3643999999999998</v>
      </c>
      <c r="I266" s="4">
        <v>1E-4</v>
      </c>
      <c r="J266" s="113">
        <v>-47.771500000000003</v>
      </c>
      <c r="K266" s="4">
        <v>2.9999999999999997E-4</v>
      </c>
      <c r="L266" s="4">
        <v>0.03</v>
      </c>
      <c r="M266" s="4">
        <v>0.02</v>
      </c>
      <c r="N266" s="4">
        <v>-4.1000000000000003E-3</v>
      </c>
      <c r="O266" s="4">
        <v>0</v>
      </c>
      <c r="P266" s="4">
        <v>127.73</v>
      </c>
      <c r="Q266" s="4">
        <v>0.1</v>
      </c>
      <c r="R266" s="113">
        <f t="shared" si="19"/>
        <v>0.22175347222222222</v>
      </c>
      <c r="S266" s="22">
        <f t="shared" si="20"/>
        <v>1.7361111111111114E-4</v>
      </c>
    </row>
    <row r="267" spans="1:19">
      <c r="A267" s="109" t="s">
        <v>1558</v>
      </c>
      <c r="B267" s="113" t="s">
        <v>1559</v>
      </c>
      <c r="C267" s="113"/>
      <c r="D267" s="113">
        <v>0</v>
      </c>
      <c r="E267" s="4">
        <v>24</v>
      </c>
      <c r="F267" s="4">
        <v>8</v>
      </c>
      <c r="G267" s="4">
        <v>24</v>
      </c>
      <c r="H267" s="113">
        <v>7.3643999999999998</v>
      </c>
      <c r="I267" s="4">
        <v>1E-4</v>
      </c>
      <c r="J267" s="113">
        <v>-47.771500000000003</v>
      </c>
      <c r="K267" s="4">
        <v>2.9999999999999997E-4</v>
      </c>
      <c r="L267" s="4">
        <v>0.03</v>
      </c>
      <c r="M267" s="4">
        <v>0.02</v>
      </c>
      <c r="N267" s="4">
        <v>-4.1000000000000003E-3</v>
      </c>
      <c r="O267" s="4">
        <v>0</v>
      </c>
      <c r="P267" s="4">
        <v>127.73</v>
      </c>
      <c r="Q267" s="4">
        <v>0.1</v>
      </c>
      <c r="R267" s="113">
        <f t="shared" si="19"/>
        <v>0.22175347222222222</v>
      </c>
      <c r="S267" s="22">
        <f t="shared" si="20"/>
        <v>1.7361111111111114E-4</v>
      </c>
    </row>
    <row r="268" spans="1:19">
      <c r="A268" s="109" t="s">
        <v>1560</v>
      </c>
      <c r="B268" s="113" t="s">
        <v>1561</v>
      </c>
      <c r="C268" s="113"/>
      <c r="D268" s="113">
        <v>0</v>
      </c>
      <c r="E268" s="4">
        <v>24</v>
      </c>
      <c r="F268" s="4">
        <v>8</v>
      </c>
      <c r="G268" s="4">
        <v>24</v>
      </c>
      <c r="H268" s="113">
        <v>7.3643999999999998</v>
      </c>
      <c r="I268" s="4">
        <v>1E-4</v>
      </c>
      <c r="J268" s="113">
        <v>-47.771500000000003</v>
      </c>
      <c r="K268" s="4">
        <v>2.9999999999999997E-4</v>
      </c>
      <c r="L268" s="4">
        <v>0.03</v>
      </c>
      <c r="M268" s="4">
        <v>0.02</v>
      </c>
      <c r="N268" s="4">
        <v>-4.1000000000000003E-3</v>
      </c>
      <c r="O268" s="4">
        <v>0</v>
      </c>
      <c r="P268" s="4">
        <v>127.73</v>
      </c>
      <c r="Q268" s="4">
        <v>0.1</v>
      </c>
      <c r="R268" s="113">
        <f t="shared" si="19"/>
        <v>0.22175347222222222</v>
      </c>
      <c r="S268" s="22">
        <f t="shared" si="20"/>
        <v>1.7361111111111114E-4</v>
      </c>
    </row>
    <row r="269" spans="1:19">
      <c r="A269" s="109" t="s">
        <v>1562</v>
      </c>
      <c r="B269" s="113" t="s">
        <v>1563</v>
      </c>
      <c r="C269" s="113"/>
      <c r="D269" s="113">
        <v>0</v>
      </c>
      <c r="E269" s="4">
        <v>24</v>
      </c>
      <c r="F269" s="4">
        <v>9</v>
      </c>
      <c r="G269" s="4">
        <v>24</v>
      </c>
      <c r="H269" s="113">
        <v>7.3643999999999998</v>
      </c>
      <c r="I269" s="4">
        <v>1E-4</v>
      </c>
      <c r="J269" s="113">
        <v>-47.771500000000003</v>
      </c>
      <c r="K269" s="4">
        <v>2.9999999999999997E-4</v>
      </c>
      <c r="L269" s="4">
        <v>0.03</v>
      </c>
      <c r="M269" s="4">
        <v>0.02</v>
      </c>
      <c r="N269" s="4">
        <v>-4.1000000000000003E-3</v>
      </c>
      <c r="O269" s="4">
        <v>0</v>
      </c>
      <c r="P269" s="4">
        <v>127.73</v>
      </c>
      <c r="Q269" s="4">
        <v>0.1</v>
      </c>
      <c r="R269" s="113">
        <f t="shared" si="19"/>
        <v>0.22175347222222222</v>
      </c>
      <c r="S269" s="22">
        <f t="shared" si="20"/>
        <v>1.7361111111111114E-4</v>
      </c>
    </row>
    <row r="270" spans="1:19">
      <c r="A270" s="109" t="s">
        <v>1564</v>
      </c>
      <c r="B270" s="113" t="s">
        <v>1565</v>
      </c>
      <c r="C270" s="113"/>
      <c r="D270" s="113">
        <v>0</v>
      </c>
      <c r="E270" s="4">
        <v>24</v>
      </c>
      <c r="F270" s="4">
        <v>9</v>
      </c>
      <c r="G270" s="4">
        <v>24</v>
      </c>
      <c r="H270" s="113">
        <v>7.3643999999999998</v>
      </c>
      <c r="I270" s="4">
        <v>1E-4</v>
      </c>
      <c r="J270" s="113">
        <v>-47.771500000000003</v>
      </c>
      <c r="K270" s="4">
        <v>2.9999999999999997E-4</v>
      </c>
      <c r="L270" s="4">
        <v>0.03</v>
      </c>
      <c r="M270" s="4">
        <v>0.02</v>
      </c>
      <c r="N270" s="4">
        <v>-4.1000000000000003E-3</v>
      </c>
      <c r="O270" s="4">
        <v>0</v>
      </c>
      <c r="P270" s="4">
        <v>127.73</v>
      </c>
      <c r="Q270" s="4">
        <v>0.1</v>
      </c>
      <c r="R270" s="113">
        <f t="shared" si="19"/>
        <v>0.22175347222222222</v>
      </c>
      <c r="S270" s="22">
        <f t="shared" si="20"/>
        <v>1.7361111111111114E-4</v>
      </c>
    </row>
    <row r="271" spans="1:19">
      <c r="A271" s="109" t="s">
        <v>1566</v>
      </c>
      <c r="B271" s="113" t="s">
        <v>1567</v>
      </c>
      <c r="C271" s="113"/>
      <c r="D271" s="113">
        <v>0</v>
      </c>
      <c r="E271" s="4">
        <v>24</v>
      </c>
      <c r="F271" s="4">
        <v>9</v>
      </c>
      <c r="G271" s="4">
        <v>24</v>
      </c>
      <c r="H271" s="113">
        <v>7.3643999999999998</v>
      </c>
      <c r="I271" s="4">
        <v>1E-4</v>
      </c>
      <c r="J271" s="113">
        <v>-47.771500000000003</v>
      </c>
      <c r="K271" s="4">
        <v>2.9999999999999997E-4</v>
      </c>
      <c r="L271" s="4">
        <v>0.03</v>
      </c>
      <c r="M271" s="4">
        <v>0.02</v>
      </c>
      <c r="N271" s="4">
        <v>-4.1000000000000003E-3</v>
      </c>
      <c r="O271" s="4">
        <v>0</v>
      </c>
      <c r="P271" s="4">
        <v>127.73</v>
      </c>
      <c r="Q271" s="4">
        <v>0.1</v>
      </c>
      <c r="R271" s="113">
        <f t="shared" si="19"/>
        <v>0.22175347222222222</v>
      </c>
      <c r="S271" s="22">
        <f t="shared" si="20"/>
        <v>1.7361111111111114E-4</v>
      </c>
    </row>
    <row r="272" spans="1:19">
      <c r="A272" s="109" t="s">
        <v>1568</v>
      </c>
      <c r="B272" s="113" t="s">
        <v>1569</v>
      </c>
      <c r="C272" s="113"/>
      <c r="D272" s="113">
        <v>0</v>
      </c>
      <c r="E272" s="4">
        <v>24</v>
      </c>
      <c r="F272" s="4">
        <v>9</v>
      </c>
      <c r="G272" s="4">
        <v>24</v>
      </c>
      <c r="H272" s="113">
        <v>7.3643999999999998</v>
      </c>
      <c r="I272" s="4">
        <v>1E-4</v>
      </c>
      <c r="J272" s="113">
        <v>-47.771500000000003</v>
      </c>
      <c r="K272" s="4">
        <v>2.9999999999999997E-4</v>
      </c>
      <c r="L272" s="4">
        <v>0.03</v>
      </c>
      <c r="M272" s="4">
        <v>0.02</v>
      </c>
      <c r="N272" s="4">
        <v>-4.1000000000000003E-3</v>
      </c>
      <c r="O272" s="4">
        <v>0</v>
      </c>
      <c r="P272" s="4">
        <v>127.73</v>
      </c>
      <c r="Q272" s="4">
        <v>0.1</v>
      </c>
      <c r="R272" s="113">
        <f t="shared" si="19"/>
        <v>0.22175347222222222</v>
      </c>
      <c r="S272" s="22">
        <f t="shared" si="20"/>
        <v>1.7361111111111114E-4</v>
      </c>
    </row>
    <row r="273" spans="1:19">
      <c r="A273" s="109" t="s">
        <v>1570</v>
      </c>
      <c r="B273" s="113" t="s">
        <v>1571</v>
      </c>
      <c r="C273" s="113"/>
      <c r="D273" s="113">
        <v>0</v>
      </c>
      <c r="E273" s="4">
        <v>24</v>
      </c>
      <c r="F273" s="4">
        <v>10</v>
      </c>
      <c r="G273" s="4">
        <v>24</v>
      </c>
      <c r="H273" s="113">
        <v>7.3643999999999998</v>
      </c>
      <c r="I273" s="4">
        <v>1E-4</v>
      </c>
      <c r="J273" s="113">
        <v>-47.771500000000003</v>
      </c>
      <c r="K273" s="4">
        <v>2.9999999999999997E-4</v>
      </c>
      <c r="L273" s="4">
        <v>0.03</v>
      </c>
      <c r="M273" s="4">
        <v>0.02</v>
      </c>
      <c r="N273" s="4">
        <v>-4.1000000000000003E-3</v>
      </c>
      <c r="O273" s="4">
        <v>0</v>
      </c>
      <c r="P273" s="4">
        <v>127.73</v>
      </c>
      <c r="Q273" s="4">
        <v>0.1</v>
      </c>
      <c r="R273" s="113">
        <f t="shared" si="19"/>
        <v>0.22175347222222222</v>
      </c>
      <c r="S273" s="22">
        <f t="shared" si="20"/>
        <v>1.7361111111111114E-4</v>
      </c>
    </row>
    <row r="274" spans="1:19">
      <c r="A274" s="109" t="s">
        <v>1572</v>
      </c>
      <c r="B274" s="113" t="s">
        <v>1573</v>
      </c>
      <c r="C274" s="113"/>
      <c r="D274" s="113">
        <v>0</v>
      </c>
      <c r="E274" s="4">
        <v>24</v>
      </c>
      <c r="F274" s="4">
        <v>10</v>
      </c>
      <c r="G274" s="4">
        <v>24</v>
      </c>
      <c r="H274" s="113">
        <v>7.3643999999999998</v>
      </c>
      <c r="I274" s="4">
        <v>1E-4</v>
      </c>
      <c r="J274" s="113">
        <v>-47.771500000000003</v>
      </c>
      <c r="K274" s="4">
        <v>2.9999999999999997E-4</v>
      </c>
      <c r="L274" s="4">
        <v>0.03</v>
      </c>
      <c r="M274" s="4">
        <v>0.02</v>
      </c>
      <c r="N274" s="4">
        <v>-4.1000000000000003E-3</v>
      </c>
      <c r="O274" s="4">
        <v>0</v>
      </c>
      <c r="P274" s="4">
        <v>127.73</v>
      </c>
      <c r="Q274" s="4">
        <v>0.1</v>
      </c>
      <c r="R274" s="113">
        <f t="shared" si="19"/>
        <v>0.22175347222222222</v>
      </c>
      <c r="S274" s="22">
        <f t="shared" si="20"/>
        <v>1.7361111111111114E-4</v>
      </c>
    </row>
    <row r="275" spans="1:19">
      <c r="A275" s="109" t="s">
        <v>1574</v>
      </c>
      <c r="B275" s="113" t="s">
        <v>1575</v>
      </c>
      <c r="C275" s="113"/>
      <c r="D275" s="113">
        <v>0</v>
      </c>
      <c r="E275" s="4">
        <v>24</v>
      </c>
      <c r="F275" s="4">
        <v>10</v>
      </c>
      <c r="G275" s="4">
        <v>24</v>
      </c>
      <c r="H275" s="113">
        <v>7.3643999999999998</v>
      </c>
      <c r="I275" s="4">
        <v>1E-4</v>
      </c>
      <c r="J275" s="113">
        <v>-47.771500000000003</v>
      </c>
      <c r="K275" s="4">
        <v>2.9999999999999997E-4</v>
      </c>
      <c r="L275" s="4">
        <v>0.03</v>
      </c>
      <c r="M275" s="4">
        <v>0.02</v>
      </c>
      <c r="N275" s="4">
        <v>-4.1000000000000003E-3</v>
      </c>
      <c r="O275" s="4">
        <v>0</v>
      </c>
      <c r="P275" s="4">
        <v>127.73</v>
      </c>
      <c r="Q275" s="4">
        <v>0.1</v>
      </c>
      <c r="R275" s="113">
        <f t="shared" si="19"/>
        <v>0.22175347222222222</v>
      </c>
      <c r="S275" s="22">
        <f t="shared" si="20"/>
        <v>1.7361111111111114E-4</v>
      </c>
    </row>
    <row r="276" spans="1:19">
      <c r="A276" s="109" t="s">
        <v>1576</v>
      </c>
      <c r="B276" s="113" t="s">
        <v>1577</v>
      </c>
      <c r="C276" s="113"/>
      <c r="D276" s="113">
        <v>0</v>
      </c>
      <c r="E276" s="4">
        <v>24</v>
      </c>
      <c r="F276" s="4">
        <v>10</v>
      </c>
      <c r="G276" s="4">
        <v>24</v>
      </c>
      <c r="H276" s="113">
        <v>7.3643999999999998</v>
      </c>
      <c r="I276" s="4">
        <v>1E-4</v>
      </c>
      <c r="J276" s="113">
        <v>-47.771500000000003</v>
      </c>
      <c r="K276" s="4">
        <v>2.9999999999999997E-4</v>
      </c>
      <c r="L276" s="4">
        <v>0.03</v>
      </c>
      <c r="M276" s="4">
        <v>0.02</v>
      </c>
      <c r="N276" s="4">
        <v>-4.1000000000000003E-3</v>
      </c>
      <c r="O276" s="4">
        <v>0</v>
      </c>
      <c r="P276" s="4">
        <v>127.73</v>
      </c>
      <c r="Q276" s="4">
        <v>0.1</v>
      </c>
      <c r="R276" s="113">
        <f t="shared" si="19"/>
        <v>0.22175347222222222</v>
      </c>
      <c r="S276" s="22">
        <f t="shared" si="20"/>
        <v>1.7361111111111114E-4</v>
      </c>
    </row>
    <row r="277" spans="1:19">
      <c r="A277" s="109" t="s">
        <v>1578</v>
      </c>
      <c r="B277" s="113" t="s">
        <v>1579</v>
      </c>
      <c r="C277" s="113"/>
      <c r="D277" s="113">
        <v>0</v>
      </c>
      <c r="E277" s="4">
        <v>24</v>
      </c>
      <c r="F277" s="4">
        <v>10</v>
      </c>
      <c r="G277" s="4">
        <v>24</v>
      </c>
      <c r="H277" s="113">
        <v>7.3643999999999998</v>
      </c>
      <c r="I277" s="4">
        <v>1E-4</v>
      </c>
      <c r="J277" s="113">
        <v>-47.771500000000003</v>
      </c>
      <c r="K277" s="4">
        <v>2.9999999999999997E-4</v>
      </c>
      <c r="L277" s="4">
        <v>0.03</v>
      </c>
      <c r="M277" s="4">
        <v>0.02</v>
      </c>
      <c r="N277" s="4">
        <v>-4.1000000000000003E-3</v>
      </c>
      <c r="O277" s="4">
        <v>0</v>
      </c>
      <c r="P277" s="4">
        <v>127.73</v>
      </c>
      <c r="Q277" s="4">
        <v>0.1</v>
      </c>
      <c r="R277" s="113">
        <f t="shared" si="19"/>
        <v>0.22175347222222222</v>
      </c>
      <c r="S277" s="22">
        <f t="shared" si="20"/>
        <v>1.7361111111111114E-4</v>
      </c>
    </row>
    <row r="278" spans="1:19">
      <c r="A278" s="109" t="s">
        <v>1580</v>
      </c>
      <c r="B278" s="113" t="s">
        <v>1581</v>
      </c>
      <c r="C278" s="113"/>
      <c r="D278" s="113">
        <v>0</v>
      </c>
      <c r="E278" s="4">
        <v>24</v>
      </c>
      <c r="F278" s="4">
        <v>10</v>
      </c>
      <c r="G278" s="4">
        <v>24</v>
      </c>
      <c r="H278" s="113">
        <v>7.3643999999999998</v>
      </c>
      <c r="I278" s="4">
        <v>1E-4</v>
      </c>
      <c r="J278" s="113">
        <v>-47.771500000000003</v>
      </c>
      <c r="K278" s="4">
        <v>2.9999999999999997E-4</v>
      </c>
      <c r="L278" s="4">
        <v>0.03</v>
      </c>
      <c r="M278" s="4">
        <v>0.02</v>
      </c>
      <c r="N278" s="4">
        <v>-4.1000000000000003E-3</v>
      </c>
      <c r="O278" s="4">
        <v>0</v>
      </c>
      <c r="P278" s="4">
        <v>127.73</v>
      </c>
      <c r="Q278" s="4">
        <v>0.1</v>
      </c>
      <c r="R278" s="113">
        <f t="shared" si="19"/>
        <v>0.22175347222222222</v>
      </c>
      <c r="S278" s="22">
        <f t="shared" si="20"/>
        <v>1.7361111111111114E-4</v>
      </c>
    </row>
    <row r="279" spans="1:19">
      <c r="A279" s="109" t="s">
        <v>1582</v>
      </c>
      <c r="B279" s="113" t="s">
        <v>1583</v>
      </c>
      <c r="C279" s="113"/>
      <c r="D279" s="113">
        <v>0</v>
      </c>
      <c r="E279" s="4">
        <v>24</v>
      </c>
      <c r="F279" s="4">
        <v>11</v>
      </c>
      <c r="G279" s="4">
        <v>24</v>
      </c>
      <c r="H279" s="113">
        <v>7.3643999999999998</v>
      </c>
      <c r="I279" s="4">
        <v>1E-4</v>
      </c>
      <c r="J279" s="113">
        <v>-47.771500000000003</v>
      </c>
      <c r="K279" s="4">
        <v>2.9999999999999997E-4</v>
      </c>
      <c r="L279" s="4">
        <v>0.03</v>
      </c>
      <c r="M279" s="4">
        <v>0.02</v>
      </c>
      <c r="N279" s="4">
        <v>-4.1000000000000003E-3</v>
      </c>
      <c r="O279" s="4">
        <v>0</v>
      </c>
      <c r="P279" s="4">
        <v>127.73</v>
      </c>
      <c r="Q279" s="4">
        <v>0.1</v>
      </c>
      <c r="R279" s="113">
        <f t="shared" si="19"/>
        <v>0.22175347222222222</v>
      </c>
      <c r="S279" s="22">
        <f t="shared" si="20"/>
        <v>1.7361111111111114E-4</v>
      </c>
    </row>
    <row r="280" spans="1:19">
      <c r="A280" s="109" t="s">
        <v>1584</v>
      </c>
      <c r="B280" s="113" t="s">
        <v>1585</v>
      </c>
      <c r="C280" s="113"/>
      <c r="D280" s="113">
        <v>0</v>
      </c>
      <c r="E280" s="4">
        <v>24</v>
      </c>
      <c r="F280" s="4">
        <v>11</v>
      </c>
      <c r="G280" s="4">
        <v>24</v>
      </c>
      <c r="H280" s="113">
        <v>7.3643999999999998</v>
      </c>
      <c r="I280" s="4">
        <v>1E-4</v>
      </c>
      <c r="J280" s="113">
        <v>-47.771500000000003</v>
      </c>
      <c r="K280" s="4">
        <v>2.9999999999999997E-4</v>
      </c>
      <c r="L280" s="4">
        <v>0.03</v>
      </c>
      <c r="M280" s="4">
        <v>0.02</v>
      </c>
      <c r="N280" s="4">
        <v>-4.1000000000000003E-3</v>
      </c>
      <c r="O280" s="4">
        <v>0</v>
      </c>
      <c r="P280" s="4">
        <v>127.73</v>
      </c>
      <c r="Q280" s="4">
        <v>0.1</v>
      </c>
      <c r="R280" s="113">
        <f t="shared" si="19"/>
        <v>0.22175347222222222</v>
      </c>
      <c r="S280" s="22">
        <f t="shared" si="20"/>
        <v>1.7361111111111114E-4</v>
      </c>
    </row>
    <row r="281" spans="1:19">
      <c r="A281" s="109" t="s">
        <v>1586</v>
      </c>
      <c r="B281" s="113" t="s">
        <v>1587</v>
      </c>
      <c r="C281" s="113"/>
      <c r="D281" s="113">
        <v>0</v>
      </c>
      <c r="E281" s="4">
        <v>24</v>
      </c>
      <c r="F281" s="4">
        <v>11</v>
      </c>
      <c r="G281" s="4">
        <v>24</v>
      </c>
      <c r="H281" s="113">
        <v>7.3643999999999998</v>
      </c>
      <c r="I281" s="4">
        <v>1E-4</v>
      </c>
      <c r="J281" s="113">
        <v>-47.771500000000003</v>
      </c>
      <c r="K281" s="4">
        <v>2.9999999999999997E-4</v>
      </c>
      <c r="L281" s="4">
        <v>0.03</v>
      </c>
      <c r="M281" s="4">
        <v>0.02</v>
      </c>
      <c r="N281" s="4">
        <v>-4.1000000000000003E-3</v>
      </c>
      <c r="O281" s="4">
        <v>0</v>
      </c>
      <c r="P281" s="4">
        <v>127.73</v>
      </c>
      <c r="Q281" s="4">
        <v>0.1</v>
      </c>
      <c r="R281" s="113">
        <f t="shared" si="19"/>
        <v>0.22175347222222222</v>
      </c>
      <c r="S281" s="22">
        <f t="shared" si="20"/>
        <v>1.7361111111111114E-4</v>
      </c>
    </row>
    <row r="282" spans="1:19">
      <c r="A282" s="109" t="s">
        <v>1588</v>
      </c>
      <c r="B282" s="113" t="s">
        <v>1589</v>
      </c>
      <c r="C282" s="113"/>
      <c r="D282" s="113">
        <v>0</v>
      </c>
      <c r="E282" s="4">
        <v>24</v>
      </c>
      <c r="F282" s="4">
        <v>11</v>
      </c>
      <c r="G282" s="4">
        <v>24</v>
      </c>
      <c r="H282" s="113">
        <v>7.3643999999999998</v>
      </c>
      <c r="I282" s="4">
        <v>1E-4</v>
      </c>
      <c r="J282" s="113">
        <v>-47.771500000000003</v>
      </c>
      <c r="K282" s="4">
        <v>2.9999999999999997E-4</v>
      </c>
      <c r="L282" s="4">
        <v>0.03</v>
      </c>
      <c r="M282" s="4">
        <v>0.02</v>
      </c>
      <c r="N282" s="4">
        <v>-4.1000000000000003E-3</v>
      </c>
      <c r="O282" s="4">
        <v>0</v>
      </c>
      <c r="P282" s="4">
        <v>127.73</v>
      </c>
      <c r="Q282" s="4">
        <v>0.1</v>
      </c>
      <c r="R282" s="113">
        <f t="shared" si="19"/>
        <v>0.22175347222222222</v>
      </c>
      <c r="S282" s="22">
        <f t="shared" si="20"/>
        <v>1.7361111111111114E-4</v>
      </c>
    </row>
    <row r="283" spans="1:19">
      <c r="A283" s="109" t="s">
        <v>1590</v>
      </c>
      <c r="B283" s="113" t="s">
        <v>1591</v>
      </c>
      <c r="C283" s="113"/>
      <c r="D283" s="113">
        <v>0</v>
      </c>
      <c r="E283" s="4">
        <v>24</v>
      </c>
      <c r="F283" s="4">
        <v>11</v>
      </c>
      <c r="G283" s="4">
        <v>24</v>
      </c>
      <c r="H283" s="113">
        <v>7.3643999999999998</v>
      </c>
      <c r="I283" s="4">
        <v>1E-4</v>
      </c>
      <c r="J283" s="113">
        <v>-47.771500000000003</v>
      </c>
      <c r="K283" s="4">
        <v>2.9999999999999997E-4</v>
      </c>
      <c r="L283" s="4">
        <v>0.03</v>
      </c>
      <c r="M283" s="4">
        <v>0.02</v>
      </c>
      <c r="N283" s="4">
        <v>-4.1000000000000003E-3</v>
      </c>
      <c r="O283" s="4">
        <v>0</v>
      </c>
      <c r="P283" s="4">
        <v>127.73</v>
      </c>
      <c r="Q283" s="4">
        <v>0.1</v>
      </c>
      <c r="R283" s="113">
        <f t="shared" si="19"/>
        <v>0.22175347222222222</v>
      </c>
      <c r="S283" s="22">
        <f t="shared" si="20"/>
        <v>1.7361111111111114E-4</v>
      </c>
    </row>
    <row r="284" spans="1:19">
      <c r="A284" s="109" t="s">
        <v>1592</v>
      </c>
      <c r="B284" s="113" t="s">
        <v>1593</v>
      </c>
      <c r="C284" s="113"/>
      <c r="D284" s="113">
        <v>0</v>
      </c>
      <c r="E284" s="4">
        <v>24</v>
      </c>
      <c r="F284" s="4">
        <v>11</v>
      </c>
      <c r="G284" s="4">
        <v>24</v>
      </c>
      <c r="H284" s="113">
        <v>7.3643999999999998</v>
      </c>
      <c r="I284" s="4">
        <v>1E-4</v>
      </c>
      <c r="J284" s="113">
        <v>-47.771500000000003</v>
      </c>
      <c r="K284" s="4">
        <v>2.9999999999999997E-4</v>
      </c>
      <c r="L284" s="4">
        <v>0.03</v>
      </c>
      <c r="M284" s="4">
        <v>0.02</v>
      </c>
      <c r="N284" s="4">
        <v>-4.1000000000000003E-3</v>
      </c>
      <c r="O284" s="4">
        <v>0</v>
      </c>
      <c r="P284" s="4">
        <v>127.73</v>
      </c>
      <c r="Q284" s="4">
        <v>0.1</v>
      </c>
      <c r="R284" s="113">
        <f t="shared" si="19"/>
        <v>0.22175347222222222</v>
      </c>
      <c r="S284" s="22">
        <f t="shared" si="20"/>
        <v>1.7361111111111114E-4</v>
      </c>
    </row>
    <row r="285" spans="1:19">
      <c r="A285" s="109" t="s">
        <v>1594</v>
      </c>
      <c r="B285" s="113" t="s">
        <v>1595</v>
      </c>
      <c r="C285" s="113"/>
      <c r="D285" s="113">
        <v>0</v>
      </c>
      <c r="E285" s="4">
        <v>24</v>
      </c>
      <c r="F285" s="4">
        <v>11</v>
      </c>
      <c r="G285" s="4">
        <v>24</v>
      </c>
      <c r="H285" s="113">
        <v>7.3643999999999998</v>
      </c>
      <c r="I285" s="4">
        <v>1E-4</v>
      </c>
      <c r="J285" s="113">
        <v>-47.771500000000003</v>
      </c>
      <c r="K285" s="4">
        <v>2.9999999999999997E-4</v>
      </c>
      <c r="L285" s="4">
        <v>0.03</v>
      </c>
      <c r="M285" s="4">
        <v>0.02</v>
      </c>
      <c r="N285" s="4">
        <v>-4.1000000000000003E-3</v>
      </c>
      <c r="O285" s="4">
        <v>0</v>
      </c>
      <c r="P285" s="4">
        <v>127.73</v>
      </c>
      <c r="Q285" s="4">
        <v>0.1</v>
      </c>
      <c r="R285" s="113">
        <f t="shared" si="19"/>
        <v>0.22175347222222222</v>
      </c>
      <c r="S285" s="22">
        <f t="shared" si="20"/>
        <v>1.7361111111111114E-4</v>
      </c>
    </row>
    <row r="286" spans="1:19">
      <c r="A286" s="109" t="s">
        <v>1596</v>
      </c>
      <c r="B286" s="113" t="s">
        <v>1597</v>
      </c>
      <c r="C286" s="113"/>
      <c r="D286" s="113">
        <v>0</v>
      </c>
      <c r="E286" s="4">
        <v>24</v>
      </c>
      <c r="F286" s="4">
        <v>12</v>
      </c>
      <c r="G286" s="4">
        <v>24</v>
      </c>
      <c r="H286" s="113">
        <v>7.3643999999999998</v>
      </c>
      <c r="I286" s="4">
        <v>1E-4</v>
      </c>
      <c r="J286" s="113">
        <v>-47.771500000000003</v>
      </c>
      <c r="K286" s="4">
        <v>2.9999999999999997E-4</v>
      </c>
      <c r="L286" s="4">
        <v>0.03</v>
      </c>
      <c r="M286" s="4">
        <v>0.02</v>
      </c>
      <c r="N286" s="4">
        <v>-4.1000000000000003E-3</v>
      </c>
      <c r="O286" s="4">
        <v>0</v>
      </c>
      <c r="P286" s="4">
        <v>127.73</v>
      </c>
      <c r="Q286" s="4">
        <v>0.1</v>
      </c>
      <c r="R286" s="113">
        <f t="shared" si="19"/>
        <v>0.22175347222222222</v>
      </c>
      <c r="S286" s="22">
        <f t="shared" si="20"/>
        <v>1.7361111111111114E-4</v>
      </c>
    </row>
    <row r="287" spans="1:19">
      <c r="A287" s="109" t="s">
        <v>1598</v>
      </c>
      <c r="B287" s="113" t="s">
        <v>1599</v>
      </c>
      <c r="C287" s="113"/>
      <c r="D287" s="113">
        <v>0</v>
      </c>
      <c r="E287" s="4">
        <v>24</v>
      </c>
      <c r="F287" s="4">
        <v>12</v>
      </c>
      <c r="G287" s="4">
        <v>24</v>
      </c>
      <c r="H287" s="113">
        <v>7.3643999999999998</v>
      </c>
      <c r="I287" s="4">
        <v>1E-4</v>
      </c>
      <c r="J287" s="113">
        <v>-47.771500000000003</v>
      </c>
      <c r="K287" s="4">
        <v>2.9999999999999997E-4</v>
      </c>
      <c r="L287" s="4">
        <v>0.03</v>
      </c>
      <c r="M287" s="4">
        <v>0.02</v>
      </c>
      <c r="N287" s="4">
        <v>-4.1000000000000003E-3</v>
      </c>
      <c r="O287" s="4">
        <v>0</v>
      </c>
      <c r="P287" s="4">
        <v>127.73</v>
      </c>
      <c r="Q287" s="4">
        <v>0.1</v>
      </c>
      <c r="R287" s="113">
        <f t="shared" si="19"/>
        <v>0.22175347222222222</v>
      </c>
      <c r="S287" s="22">
        <f t="shared" si="20"/>
        <v>1.7361111111111114E-4</v>
      </c>
    </row>
    <row r="288" spans="1:19">
      <c r="A288" s="109" t="s">
        <v>1600</v>
      </c>
      <c r="B288" s="113" t="s">
        <v>1601</v>
      </c>
      <c r="C288" s="113"/>
      <c r="D288" s="113">
        <v>0</v>
      </c>
      <c r="E288" s="4">
        <v>24</v>
      </c>
      <c r="F288" s="4">
        <v>12</v>
      </c>
      <c r="G288" s="4">
        <v>24</v>
      </c>
      <c r="H288" s="113">
        <v>7.3643999999999998</v>
      </c>
      <c r="I288" s="4">
        <v>1E-4</v>
      </c>
      <c r="J288" s="113">
        <v>-47.771500000000003</v>
      </c>
      <c r="K288" s="4">
        <v>2.9999999999999997E-4</v>
      </c>
      <c r="L288" s="4">
        <v>0.03</v>
      </c>
      <c r="M288" s="4">
        <v>0.02</v>
      </c>
      <c r="N288" s="4">
        <v>-4.1000000000000003E-3</v>
      </c>
      <c r="O288" s="4">
        <v>0</v>
      </c>
      <c r="P288" s="4">
        <v>127.73</v>
      </c>
      <c r="Q288" s="4">
        <v>0.1</v>
      </c>
      <c r="R288" s="113">
        <f t="shared" si="19"/>
        <v>0.22175347222222222</v>
      </c>
      <c r="S288" s="22">
        <f t="shared" si="20"/>
        <v>1.7361111111111114E-4</v>
      </c>
    </row>
    <row r="289" spans="1:19">
      <c r="A289" s="109" t="s">
        <v>1602</v>
      </c>
      <c r="B289" s="113" t="s">
        <v>1603</v>
      </c>
      <c r="C289" s="113"/>
      <c r="D289" s="113">
        <v>0</v>
      </c>
      <c r="E289" s="4">
        <v>24</v>
      </c>
      <c r="F289" s="4">
        <v>12</v>
      </c>
      <c r="G289" s="4">
        <v>24</v>
      </c>
      <c r="H289" s="113">
        <v>7.3643999999999998</v>
      </c>
      <c r="I289" s="4">
        <v>1E-4</v>
      </c>
      <c r="J289" s="113">
        <v>-47.771500000000003</v>
      </c>
      <c r="K289" s="4">
        <v>2.9999999999999997E-4</v>
      </c>
      <c r="L289" s="4">
        <v>0.03</v>
      </c>
      <c r="M289" s="4">
        <v>0.02</v>
      </c>
      <c r="N289" s="4">
        <v>-4.1000000000000003E-3</v>
      </c>
      <c r="O289" s="4">
        <v>0</v>
      </c>
      <c r="P289" s="4">
        <v>127.73</v>
      </c>
      <c r="Q289" s="4">
        <v>0.1</v>
      </c>
      <c r="R289" s="113">
        <f t="shared" si="19"/>
        <v>0.22175347222222222</v>
      </c>
      <c r="S289" s="22">
        <f t="shared" si="20"/>
        <v>1.7361111111111114E-4</v>
      </c>
    </row>
    <row r="290" spans="1:19">
      <c r="A290" s="109" t="s">
        <v>1604</v>
      </c>
      <c r="B290" s="113" t="s">
        <v>1605</v>
      </c>
      <c r="C290" s="113"/>
      <c r="D290" s="113">
        <v>0</v>
      </c>
      <c r="E290" s="4">
        <v>24</v>
      </c>
      <c r="F290" s="4">
        <v>12</v>
      </c>
      <c r="G290" s="4">
        <v>24</v>
      </c>
      <c r="H290" s="113">
        <v>7.3643999999999998</v>
      </c>
      <c r="I290" s="4">
        <v>1E-4</v>
      </c>
      <c r="J290" s="113">
        <v>-47.771500000000003</v>
      </c>
      <c r="K290" s="4">
        <v>2.9999999999999997E-4</v>
      </c>
      <c r="L290" s="4">
        <v>0.03</v>
      </c>
      <c r="M290" s="4">
        <v>0.02</v>
      </c>
      <c r="N290" s="4">
        <v>-4.1000000000000003E-3</v>
      </c>
      <c r="O290" s="4">
        <v>0</v>
      </c>
      <c r="P290" s="4">
        <v>127.73</v>
      </c>
      <c r="Q290" s="4">
        <v>0.1</v>
      </c>
      <c r="R290" s="113">
        <f t="shared" si="19"/>
        <v>0.22175347222222222</v>
      </c>
      <c r="S290" s="22">
        <f t="shared" si="20"/>
        <v>1.7361111111111114E-4</v>
      </c>
    </row>
    <row r="291" spans="1:19">
      <c r="A291" s="109" t="s">
        <v>1606</v>
      </c>
      <c r="B291" s="113" t="s">
        <v>1607</v>
      </c>
      <c r="C291" s="113"/>
      <c r="D291" s="113">
        <v>0</v>
      </c>
      <c r="E291" s="4">
        <v>24</v>
      </c>
      <c r="F291" s="4">
        <v>12</v>
      </c>
      <c r="G291" s="4">
        <v>24</v>
      </c>
      <c r="H291" s="113">
        <v>7.3643999999999998</v>
      </c>
      <c r="I291" s="4">
        <v>1E-4</v>
      </c>
      <c r="J291" s="113">
        <v>-47.771500000000003</v>
      </c>
      <c r="K291" s="4">
        <v>2.9999999999999997E-4</v>
      </c>
      <c r="L291" s="4">
        <v>0.03</v>
      </c>
      <c r="M291" s="4">
        <v>0.02</v>
      </c>
      <c r="N291" s="4">
        <v>-4.1000000000000003E-3</v>
      </c>
      <c r="O291" s="4">
        <v>0</v>
      </c>
      <c r="P291" s="4">
        <v>127.73</v>
      </c>
      <c r="Q291" s="4">
        <v>0.1</v>
      </c>
      <c r="R291" s="113">
        <f t="shared" si="19"/>
        <v>0.22175347222222222</v>
      </c>
      <c r="S291" s="22">
        <f t="shared" si="20"/>
        <v>1.7361111111111114E-4</v>
      </c>
    </row>
    <row r="292" spans="1:19">
      <c r="A292" s="109" t="s">
        <v>1608</v>
      </c>
      <c r="B292" s="113" t="s">
        <v>1609</v>
      </c>
      <c r="C292" s="113"/>
      <c r="D292" s="113">
        <v>0</v>
      </c>
      <c r="E292" s="4">
        <v>24</v>
      </c>
      <c r="F292" s="4">
        <v>12</v>
      </c>
      <c r="G292" s="4">
        <v>24</v>
      </c>
      <c r="H292" s="113">
        <v>7.3643999999999998</v>
      </c>
      <c r="I292" s="4">
        <v>1E-4</v>
      </c>
      <c r="J292" s="113">
        <v>-47.771500000000003</v>
      </c>
      <c r="K292" s="4">
        <v>2.9999999999999997E-4</v>
      </c>
      <c r="L292" s="4">
        <v>0.03</v>
      </c>
      <c r="M292" s="4">
        <v>0.02</v>
      </c>
      <c r="N292" s="4">
        <v>-4.1000000000000003E-3</v>
      </c>
      <c r="O292" s="4">
        <v>0</v>
      </c>
      <c r="P292" s="4">
        <v>127.73</v>
      </c>
      <c r="Q292" s="4">
        <v>0.1</v>
      </c>
      <c r="R292" s="113">
        <f t="shared" si="19"/>
        <v>0.22175347222222222</v>
      </c>
      <c r="S292" s="22">
        <f t="shared" si="20"/>
        <v>1.7361111111111114E-4</v>
      </c>
    </row>
    <row r="293" spans="1:19">
      <c r="A293" s="109" t="s">
        <v>1610</v>
      </c>
      <c r="B293" s="113" t="s">
        <v>1611</v>
      </c>
      <c r="C293" s="113"/>
      <c r="D293" s="113">
        <v>0</v>
      </c>
      <c r="E293" s="4">
        <v>24</v>
      </c>
      <c r="F293" s="4">
        <v>12</v>
      </c>
      <c r="G293" s="4">
        <v>24</v>
      </c>
      <c r="H293" s="113">
        <v>7.3643999999999998</v>
      </c>
      <c r="I293" s="4">
        <v>1E-4</v>
      </c>
      <c r="J293" s="113">
        <v>-47.771500000000003</v>
      </c>
      <c r="K293" s="4">
        <v>2.9999999999999997E-4</v>
      </c>
      <c r="L293" s="4">
        <v>0.03</v>
      </c>
      <c r="M293" s="4">
        <v>0.02</v>
      </c>
      <c r="N293" s="4">
        <v>-4.1000000000000003E-3</v>
      </c>
      <c r="O293" s="4">
        <v>0</v>
      </c>
      <c r="P293" s="4">
        <v>127.73</v>
      </c>
      <c r="Q293" s="4">
        <v>0.1</v>
      </c>
      <c r="R293" s="113">
        <f t="shared" si="19"/>
        <v>0.22175347222222222</v>
      </c>
      <c r="S293" s="22">
        <f t="shared" si="20"/>
        <v>1.7361111111111114E-4</v>
      </c>
    </row>
    <row r="294" spans="1:19">
      <c r="A294" s="109" t="s">
        <v>1612</v>
      </c>
      <c r="B294" s="113" t="s">
        <v>1613</v>
      </c>
      <c r="C294" s="113"/>
      <c r="D294" s="113">
        <v>0</v>
      </c>
      <c r="E294" s="4">
        <v>24</v>
      </c>
      <c r="F294" s="4">
        <v>13</v>
      </c>
      <c r="G294" s="4">
        <v>24</v>
      </c>
      <c r="H294" s="113">
        <v>7.3643999999999998</v>
      </c>
      <c r="I294" s="4">
        <v>1E-4</v>
      </c>
      <c r="J294" s="113">
        <v>-47.771500000000003</v>
      </c>
      <c r="K294" s="4">
        <v>2.9999999999999997E-4</v>
      </c>
      <c r="L294" s="4">
        <v>0.03</v>
      </c>
      <c r="M294" s="4">
        <v>0.02</v>
      </c>
      <c r="N294" s="4">
        <v>-4.1000000000000003E-3</v>
      </c>
      <c r="O294" s="4">
        <v>0</v>
      </c>
      <c r="P294" s="4">
        <v>127.73</v>
      </c>
      <c r="Q294" s="4">
        <v>0.1</v>
      </c>
      <c r="R294" s="113">
        <f t="shared" si="19"/>
        <v>0.22175347222222222</v>
      </c>
      <c r="S294" s="22">
        <f t="shared" si="20"/>
        <v>1.7361111111111114E-4</v>
      </c>
    </row>
    <row r="295" spans="1:19">
      <c r="A295" s="109" t="s">
        <v>1614</v>
      </c>
      <c r="B295" s="113" t="s">
        <v>1615</v>
      </c>
      <c r="C295" s="113"/>
      <c r="D295" s="113">
        <v>0</v>
      </c>
      <c r="E295" s="4">
        <v>24</v>
      </c>
      <c r="F295" s="4">
        <v>13</v>
      </c>
      <c r="G295" s="4">
        <v>24</v>
      </c>
      <c r="H295" s="113">
        <v>7.3643999999999998</v>
      </c>
      <c r="I295" s="4">
        <v>1E-4</v>
      </c>
      <c r="J295" s="113">
        <v>-47.771500000000003</v>
      </c>
      <c r="K295" s="4">
        <v>2.9999999999999997E-4</v>
      </c>
      <c r="L295" s="4">
        <v>0.03</v>
      </c>
      <c r="M295" s="4">
        <v>0.02</v>
      </c>
      <c r="N295" s="4">
        <v>-4.1000000000000003E-3</v>
      </c>
      <c r="O295" s="4">
        <v>0</v>
      </c>
      <c r="P295" s="4">
        <v>127.73</v>
      </c>
      <c r="Q295" s="4">
        <v>0.1</v>
      </c>
      <c r="R295" s="113">
        <f t="shared" si="19"/>
        <v>0.22175347222222222</v>
      </c>
      <c r="S295" s="22">
        <f t="shared" si="20"/>
        <v>1.7361111111111114E-4</v>
      </c>
    </row>
    <row r="296" spans="1:19">
      <c r="A296" s="109" t="s">
        <v>1616</v>
      </c>
      <c r="B296" s="113" t="s">
        <v>1617</v>
      </c>
      <c r="C296" s="113"/>
      <c r="D296" s="113">
        <v>0</v>
      </c>
      <c r="E296" s="4">
        <v>24</v>
      </c>
      <c r="F296" s="4">
        <v>13</v>
      </c>
      <c r="G296" s="4">
        <v>24</v>
      </c>
      <c r="H296" s="113">
        <v>7.3643999999999998</v>
      </c>
      <c r="I296" s="4">
        <v>1E-4</v>
      </c>
      <c r="J296" s="113">
        <v>-47.771500000000003</v>
      </c>
      <c r="K296" s="4">
        <v>2.9999999999999997E-4</v>
      </c>
      <c r="L296" s="4">
        <v>0.03</v>
      </c>
      <c r="M296" s="4">
        <v>0.02</v>
      </c>
      <c r="N296" s="4">
        <v>-4.1000000000000003E-3</v>
      </c>
      <c r="O296" s="4">
        <v>0</v>
      </c>
      <c r="P296" s="4">
        <v>127.73</v>
      </c>
      <c r="Q296" s="4">
        <v>0.1</v>
      </c>
      <c r="R296" s="113">
        <f t="shared" si="19"/>
        <v>0.22175347222222222</v>
      </c>
      <c r="S296" s="22">
        <f t="shared" si="20"/>
        <v>1.7361111111111114E-4</v>
      </c>
    </row>
    <row r="297" spans="1:19">
      <c r="A297" s="109" t="s">
        <v>1618</v>
      </c>
      <c r="B297" s="113" t="s">
        <v>1619</v>
      </c>
      <c r="C297" s="113"/>
      <c r="D297" s="113">
        <v>0</v>
      </c>
      <c r="E297" s="4">
        <v>24</v>
      </c>
      <c r="F297" s="4">
        <v>13</v>
      </c>
      <c r="G297" s="4">
        <v>24</v>
      </c>
      <c r="H297" s="113">
        <v>7.3643999999999998</v>
      </c>
      <c r="I297" s="4">
        <v>1E-4</v>
      </c>
      <c r="J297" s="113">
        <v>-47.771500000000003</v>
      </c>
      <c r="K297" s="4">
        <v>2.9999999999999997E-4</v>
      </c>
      <c r="L297" s="4">
        <v>0.03</v>
      </c>
      <c r="M297" s="4">
        <v>0.02</v>
      </c>
      <c r="N297" s="4">
        <v>-4.1000000000000003E-3</v>
      </c>
      <c r="O297" s="4">
        <v>0</v>
      </c>
      <c r="P297" s="4">
        <v>127.73</v>
      </c>
      <c r="Q297" s="4">
        <v>0.1</v>
      </c>
      <c r="R297" s="113">
        <f t="shared" si="19"/>
        <v>0.22175347222222222</v>
      </c>
      <c r="S297" s="22">
        <f t="shared" si="20"/>
        <v>1.7361111111111114E-4</v>
      </c>
    </row>
    <row r="298" spans="1:19">
      <c r="A298" s="109" t="s">
        <v>1620</v>
      </c>
      <c r="B298" s="113" t="s">
        <v>1621</v>
      </c>
      <c r="C298" s="113"/>
      <c r="D298" s="113">
        <v>0</v>
      </c>
      <c r="E298" s="4">
        <v>24</v>
      </c>
      <c r="F298" s="4">
        <v>13</v>
      </c>
      <c r="G298" s="4">
        <v>24</v>
      </c>
      <c r="H298" s="113">
        <v>7.3643999999999998</v>
      </c>
      <c r="I298" s="4">
        <v>1E-4</v>
      </c>
      <c r="J298" s="113">
        <v>-47.771500000000003</v>
      </c>
      <c r="K298" s="4">
        <v>2.9999999999999997E-4</v>
      </c>
      <c r="L298" s="4">
        <v>0.03</v>
      </c>
      <c r="M298" s="4">
        <v>0.02</v>
      </c>
      <c r="N298" s="4">
        <v>-4.1000000000000003E-3</v>
      </c>
      <c r="O298" s="4">
        <v>0</v>
      </c>
      <c r="P298" s="4">
        <v>127.73</v>
      </c>
      <c r="Q298" s="4">
        <v>0.1</v>
      </c>
      <c r="R298" s="113">
        <f t="shared" si="19"/>
        <v>0.22175347222222222</v>
      </c>
      <c r="S298" s="22">
        <f t="shared" si="20"/>
        <v>1.7361111111111114E-4</v>
      </c>
    </row>
    <row r="299" spans="1:19">
      <c r="A299" s="109" t="s">
        <v>1622</v>
      </c>
      <c r="B299" s="113" t="s">
        <v>1623</v>
      </c>
      <c r="C299" s="113"/>
      <c r="D299" s="113">
        <v>0</v>
      </c>
      <c r="E299" s="4">
        <v>24</v>
      </c>
      <c r="F299" s="4">
        <v>13</v>
      </c>
      <c r="G299" s="4">
        <v>24</v>
      </c>
      <c r="H299" s="113">
        <v>7.3643999999999998</v>
      </c>
      <c r="I299" s="4">
        <v>1E-4</v>
      </c>
      <c r="J299" s="113">
        <v>-47.771500000000003</v>
      </c>
      <c r="K299" s="4">
        <v>2.9999999999999997E-4</v>
      </c>
      <c r="L299" s="4">
        <v>0.03</v>
      </c>
      <c r="M299" s="4">
        <v>0.02</v>
      </c>
      <c r="N299" s="4">
        <v>-4.1000000000000003E-3</v>
      </c>
      <c r="O299" s="4">
        <v>0</v>
      </c>
      <c r="P299" s="4">
        <v>127.73</v>
      </c>
      <c r="Q299" s="4">
        <v>0.1</v>
      </c>
      <c r="R299" s="113">
        <f t="shared" si="19"/>
        <v>0.22175347222222222</v>
      </c>
      <c r="S299" s="22">
        <f t="shared" si="20"/>
        <v>1.7361111111111114E-4</v>
      </c>
    </row>
    <row r="300" spans="1:19">
      <c r="A300" s="109" t="s">
        <v>1624</v>
      </c>
      <c r="B300" s="113" t="s">
        <v>1625</v>
      </c>
      <c r="C300" s="113"/>
      <c r="D300" s="113">
        <v>0</v>
      </c>
      <c r="E300" s="4">
        <v>24</v>
      </c>
      <c r="F300" s="4">
        <v>13</v>
      </c>
      <c r="G300" s="4">
        <v>24</v>
      </c>
      <c r="H300" s="113">
        <v>7.3643999999999998</v>
      </c>
      <c r="I300" s="4">
        <v>1E-4</v>
      </c>
      <c r="J300" s="113">
        <v>-47.771500000000003</v>
      </c>
      <c r="K300" s="4">
        <v>2.9999999999999997E-4</v>
      </c>
      <c r="L300" s="4">
        <v>0.03</v>
      </c>
      <c r="M300" s="4">
        <v>0.02</v>
      </c>
      <c r="N300" s="4">
        <v>-4.1000000000000003E-3</v>
      </c>
      <c r="O300" s="4">
        <v>0</v>
      </c>
      <c r="P300" s="4">
        <v>127.73</v>
      </c>
      <c r="Q300" s="4">
        <v>0.1</v>
      </c>
      <c r="R300" s="113">
        <f t="shared" si="19"/>
        <v>0.22175347222222222</v>
      </c>
      <c r="S300" s="22">
        <f t="shared" si="20"/>
        <v>1.7361111111111114E-4</v>
      </c>
    </row>
    <row r="301" spans="1:19">
      <c r="A301" s="109" t="s">
        <v>1626</v>
      </c>
      <c r="B301" s="113" t="s">
        <v>1627</v>
      </c>
      <c r="C301" s="113"/>
      <c r="D301" s="113">
        <v>0</v>
      </c>
      <c r="E301" s="4">
        <v>24</v>
      </c>
      <c r="F301" s="4">
        <v>14</v>
      </c>
      <c r="G301" s="4">
        <v>24</v>
      </c>
      <c r="H301" s="113">
        <v>7.3643999999999998</v>
      </c>
      <c r="I301" s="4">
        <v>1E-4</v>
      </c>
      <c r="J301" s="113">
        <v>-47.771500000000003</v>
      </c>
      <c r="K301" s="4">
        <v>2.9999999999999997E-4</v>
      </c>
      <c r="L301" s="4">
        <v>0.03</v>
      </c>
      <c r="M301" s="4">
        <v>0.02</v>
      </c>
      <c r="N301" s="4">
        <v>-4.1000000000000003E-3</v>
      </c>
      <c r="O301" s="4">
        <v>0</v>
      </c>
      <c r="P301" s="4">
        <v>127.73</v>
      </c>
      <c r="Q301" s="4">
        <v>0.1</v>
      </c>
      <c r="R301" s="113">
        <f t="shared" si="19"/>
        <v>0.22175347222222222</v>
      </c>
      <c r="S301" s="22">
        <f t="shared" si="20"/>
        <v>1.7361111111111114E-4</v>
      </c>
    </row>
    <row r="302" spans="1:19">
      <c r="A302" s="109" t="s">
        <v>1628</v>
      </c>
      <c r="B302" s="113" t="s">
        <v>1629</v>
      </c>
      <c r="C302" s="113"/>
      <c r="D302" s="113">
        <v>0</v>
      </c>
      <c r="E302" s="4">
        <v>24</v>
      </c>
      <c r="F302" s="4">
        <v>14</v>
      </c>
      <c r="G302" s="4">
        <v>24</v>
      </c>
      <c r="H302" s="113">
        <v>7.3643999999999998</v>
      </c>
      <c r="I302" s="4">
        <v>1E-4</v>
      </c>
      <c r="J302" s="113">
        <v>-47.771500000000003</v>
      </c>
      <c r="K302" s="4">
        <v>2.9999999999999997E-4</v>
      </c>
      <c r="L302" s="4">
        <v>0.03</v>
      </c>
      <c r="M302" s="4">
        <v>0.02</v>
      </c>
      <c r="N302" s="4">
        <v>-4.1000000000000003E-3</v>
      </c>
      <c r="O302" s="4">
        <v>0</v>
      </c>
      <c r="P302" s="4">
        <v>127.73</v>
      </c>
      <c r="Q302" s="4">
        <v>0.1</v>
      </c>
      <c r="R302" s="113">
        <f t="shared" si="19"/>
        <v>0.22175347222222222</v>
      </c>
      <c r="S302" s="22">
        <f t="shared" si="20"/>
        <v>1.7361111111111114E-4</v>
      </c>
    </row>
    <row r="303" spans="1:19">
      <c r="A303" s="109" t="s">
        <v>1630</v>
      </c>
      <c r="B303" s="113" t="s">
        <v>1631</v>
      </c>
      <c r="C303" s="113"/>
      <c r="D303" s="113">
        <v>0</v>
      </c>
      <c r="E303" s="4">
        <v>24</v>
      </c>
      <c r="F303" s="4">
        <v>14</v>
      </c>
      <c r="G303" s="4">
        <v>24</v>
      </c>
      <c r="H303" s="113">
        <v>7.3643999999999998</v>
      </c>
      <c r="I303" s="4">
        <v>1E-4</v>
      </c>
      <c r="J303" s="113">
        <v>-47.771500000000003</v>
      </c>
      <c r="K303" s="4">
        <v>2.9999999999999997E-4</v>
      </c>
      <c r="L303" s="4">
        <v>0.03</v>
      </c>
      <c r="M303" s="4">
        <v>0.02</v>
      </c>
      <c r="N303" s="4">
        <v>-4.1000000000000003E-3</v>
      </c>
      <c r="O303" s="4">
        <v>0</v>
      </c>
      <c r="P303" s="4">
        <v>127.73</v>
      </c>
      <c r="Q303" s="4">
        <v>0.1</v>
      </c>
      <c r="R303" s="113">
        <f t="shared" si="19"/>
        <v>0.22175347222222222</v>
      </c>
      <c r="S303" s="22">
        <f t="shared" si="20"/>
        <v>1.7361111111111114E-4</v>
      </c>
    </row>
    <row r="304" spans="1:19">
      <c r="A304" s="109" t="s">
        <v>1632</v>
      </c>
      <c r="B304" s="113" t="s">
        <v>1633</v>
      </c>
      <c r="C304" s="113"/>
      <c r="D304" s="113">
        <v>0</v>
      </c>
      <c r="E304" s="4">
        <v>24</v>
      </c>
      <c r="F304" s="4">
        <v>14</v>
      </c>
      <c r="G304" s="4">
        <v>24</v>
      </c>
      <c r="H304" s="113">
        <v>7.3643999999999998</v>
      </c>
      <c r="I304" s="4">
        <v>1E-4</v>
      </c>
      <c r="J304" s="113">
        <v>-47.771500000000003</v>
      </c>
      <c r="K304" s="4">
        <v>2.9999999999999997E-4</v>
      </c>
      <c r="L304" s="4">
        <v>0.03</v>
      </c>
      <c r="M304" s="4">
        <v>0.02</v>
      </c>
      <c r="N304" s="4">
        <v>-4.1000000000000003E-3</v>
      </c>
      <c r="O304" s="4">
        <v>0</v>
      </c>
      <c r="P304" s="4">
        <v>127.73</v>
      </c>
      <c r="Q304" s="4">
        <v>0.1</v>
      </c>
      <c r="R304" s="113">
        <f t="shared" si="19"/>
        <v>0.22175347222222222</v>
      </c>
      <c r="S304" s="22">
        <f t="shared" si="20"/>
        <v>1.7361111111111114E-4</v>
      </c>
    </row>
    <row r="305" spans="1:19">
      <c r="A305" s="109" t="s">
        <v>1634</v>
      </c>
      <c r="B305" s="113" t="s">
        <v>1635</v>
      </c>
      <c r="C305" s="113"/>
      <c r="D305" s="113">
        <v>0</v>
      </c>
      <c r="E305" s="4">
        <v>24</v>
      </c>
      <c r="F305" s="4">
        <v>14</v>
      </c>
      <c r="G305" s="4">
        <v>24</v>
      </c>
      <c r="H305" s="113">
        <v>7.3643999999999998</v>
      </c>
      <c r="I305" s="4">
        <v>1E-4</v>
      </c>
      <c r="J305" s="113">
        <v>-47.771500000000003</v>
      </c>
      <c r="K305" s="4">
        <v>2.9999999999999997E-4</v>
      </c>
      <c r="L305" s="4">
        <v>0.03</v>
      </c>
      <c r="M305" s="4">
        <v>0.02</v>
      </c>
      <c r="N305" s="4">
        <v>-4.1000000000000003E-3</v>
      </c>
      <c r="O305" s="4">
        <v>0</v>
      </c>
      <c r="P305" s="4">
        <v>127.73</v>
      </c>
      <c r="Q305" s="4">
        <v>0.1</v>
      </c>
      <c r="R305" s="113">
        <f t="shared" ref="R305:R340" si="21">P305*E305/G305^3</f>
        <v>0.22175347222222222</v>
      </c>
      <c r="S305" s="22">
        <f t="shared" ref="S305:S340" si="22">Q305*E305/G305^3</f>
        <v>1.7361111111111114E-4</v>
      </c>
    </row>
    <row r="306" spans="1:19">
      <c r="A306" s="109" t="s">
        <v>1636</v>
      </c>
      <c r="B306" s="113" t="s">
        <v>1637</v>
      </c>
      <c r="C306" s="113"/>
      <c r="D306" s="113">
        <v>0</v>
      </c>
      <c r="E306" s="4">
        <v>24</v>
      </c>
      <c r="F306" s="4">
        <v>14</v>
      </c>
      <c r="G306" s="4">
        <v>24</v>
      </c>
      <c r="H306" s="113">
        <v>7.3643999999999998</v>
      </c>
      <c r="I306" s="4">
        <v>1E-4</v>
      </c>
      <c r="J306" s="113">
        <v>-47.771500000000003</v>
      </c>
      <c r="K306" s="4">
        <v>2.9999999999999997E-4</v>
      </c>
      <c r="L306" s="4">
        <v>0.03</v>
      </c>
      <c r="M306" s="4">
        <v>0.02</v>
      </c>
      <c r="N306" s="4">
        <v>-4.1000000000000003E-3</v>
      </c>
      <c r="O306" s="4">
        <v>0</v>
      </c>
      <c r="P306" s="4">
        <v>127.73</v>
      </c>
      <c r="Q306" s="4">
        <v>0.1</v>
      </c>
      <c r="R306" s="113">
        <f t="shared" si="21"/>
        <v>0.22175347222222222</v>
      </c>
      <c r="S306" s="22">
        <f t="shared" si="22"/>
        <v>1.7361111111111114E-4</v>
      </c>
    </row>
    <row r="307" spans="1:19">
      <c r="A307" s="109" t="s">
        <v>1638</v>
      </c>
      <c r="B307" s="113" t="s">
        <v>1639</v>
      </c>
      <c r="C307" s="113"/>
      <c r="D307" s="113">
        <v>0</v>
      </c>
      <c r="E307" s="4">
        <v>24</v>
      </c>
      <c r="F307" s="4">
        <v>15</v>
      </c>
      <c r="G307" s="4">
        <v>24</v>
      </c>
      <c r="H307" s="113">
        <v>7.3643999999999998</v>
      </c>
      <c r="I307" s="4">
        <v>1E-4</v>
      </c>
      <c r="J307" s="113">
        <v>-47.771500000000003</v>
      </c>
      <c r="K307" s="4">
        <v>2.9999999999999997E-4</v>
      </c>
      <c r="L307" s="4">
        <v>0.03</v>
      </c>
      <c r="M307" s="4">
        <v>0.02</v>
      </c>
      <c r="N307" s="4">
        <v>-4.1000000000000003E-3</v>
      </c>
      <c r="O307" s="4">
        <v>0</v>
      </c>
      <c r="P307" s="4">
        <v>127.73</v>
      </c>
      <c r="Q307" s="4">
        <v>0.1</v>
      </c>
      <c r="R307" s="113">
        <f t="shared" si="21"/>
        <v>0.22175347222222222</v>
      </c>
      <c r="S307" s="22">
        <f t="shared" si="22"/>
        <v>1.7361111111111114E-4</v>
      </c>
    </row>
    <row r="308" spans="1:19">
      <c r="A308" s="109" t="s">
        <v>1640</v>
      </c>
      <c r="B308" s="113" t="s">
        <v>1641</v>
      </c>
      <c r="C308" s="113"/>
      <c r="D308" s="113">
        <v>0</v>
      </c>
      <c r="E308" s="4">
        <v>24</v>
      </c>
      <c r="F308" s="4">
        <v>15</v>
      </c>
      <c r="G308" s="4">
        <v>24</v>
      </c>
      <c r="H308" s="113">
        <v>7.3643999999999998</v>
      </c>
      <c r="I308" s="4">
        <v>1E-4</v>
      </c>
      <c r="J308" s="113">
        <v>-47.771500000000003</v>
      </c>
      <c r="K308" s="4">
        <v>2.9999999999999997E-4</v>
      </c>
      <c r="L308" s="4">
        <v>0.03</v>
      </c>
      <c r="M308" s="4">
        <v>0.02</v>
      </c>
      <c r="N308" s="4">
        <v>-4.1000000000000003E-3</v>
      </c>
      <c r="O308" s="4">
        <v>0</v>
      </c>
      <c r="P308" s="4">
        <v>127.73</v>
      </c>
      <c r="Q308" s="4">
        <v>0.1</v>
      </c>
      <c r="R308" s="113">
        <f t="shared" si="21"/>
        <v>0.22175347222222222</v>
      </c>
      <c r="S308" s="22">
        <f t="shared" si="22"/>
        <v>1.7361111111111114E-4</v>
      </c>
    </row>
    <row r="309" spans="1:19">
      <c r="A309" s="109" t="s">
        <v>1642</v>
      </c>
      <c r="B309" s="113" t="s">
        <v>1643</v>
      </c>
      <c r="C309" s="113"/>
      <c r="D309" s="113">
        <v>0</v>
      </c>
      <c r="E309" s="4">
        <v>24</v>
      </c>
      <c r="F309" s="4">
        <v>15</v>
      </c>
      <c r="G309" s="4">
        <v>24</v>
      </c>
      <c r="H309" s="113">
        <v>7.3643999999999998</v>
      </c>
      <c r="I309" s="4">
        <v>1E-4</v>
      </c>
      <c r="J309" s="113">
        <v>-47.771500000000003</v>
      </c>
      <c r="K309" s="4">
        <v>2.9999999999999997E-4</v>
      </c>
      <c r="L309" s="4">
        <v>0.03</v>
      </c>
      <c r="M309" s="4">
        <v>0.02</v>
      </c>
      <c r="N309" s="4">
        <v>-4.1000000000000003E-3</v>
      </c>
      <c r="O309" s="4">
        <v>0</v>
      </c>
      <c r="P309" s="4">
        <v>127.73</v>
      </c>
      <c r="Q309" s="4">
        <v>0.1</v>
      </c>
      <c r="R309" s="113">
        <f t="shared" si="21"/>
        <v>0.22175347222222222</v>
      </c>
      <c r="S309" s="22">
        <f t="shared" si="22"/>
        <v>1.7361111111111114E-4</v>
      </c>
    </row>
    <row r="310" spans="1:19">
      <c r="A310" s="109" t="s">
        <v>1644</v>
      </c>
      <c r="B310" s="113" t="s">
        <v>1645</v>
      </c>
      <c r="C310" s="113"/>
      <c r="D310" s="113">
        <v>0</v>
      </c>
      <c r="E310" s="4">
        <v>24</v>
      </c>
      <c r="F310" s="4">
        <v>15</v>
      </c>
      <c r="G310" s="4">
        <v>24</v>
      </c>
      <c r="H310" s="113">
        <v>7.3643999999999998</v>
      </c>
      <c r="I310" s="4">
        <v>1E-4</v>
      </c>
      <c r="J310" s="113">
        <v>-47.771500000000003</v>
      </c>
      <c r="K310" s="4">
        <v>2.9999999999999997E-4</v>
      </c>
      <c r="L310" s="4">
        <v>0.03</v>
      </c>
      <c r="M310" s="4">
        <v>0.02</v>
      </c>
      <c r="N310" s="4">
        <v>-4.1000000000000003E-3</v>
      </c>
      <c r="O310" s="4">
        <v>0</v>
      </c>
      <c r="P310" s="4">
        <v>127.73</v>
      </c>
      <c r="Q310" s="4">
        <v>0.1</v>
      </c>
      <c r="R310" s="113">
        <f t="shared" si="21"/>
        <v>0.22175347222222222</v>
      </c>
      <c r="S310" s="22">
        <f t="shared" si="22"/>
        <v>1.7361111111111114E-4</v>
      </c>
    </row>
    <row r="311" spans="1:19">
      <c r="A311" s="109" t="s">
        <v>1646</v>
      </c>
      <c r="B311" s="113" t="s">
        <v>1647</v>
      </c>
      <c r="C311" s="113"/>
      <c r="D311" s="113">
        <v>0</v>
      </c>
      <c r="E311" s="4">
        <v>24</v>
      </c>
      <c r="F311" s="4">
        <v>16</v>
      </c>
      <c r="G311" s="4">
        <v>24</v>
      </c>
      <c r="H311" s="113">
        <v>7.3643999999999998</v>
      </c>
      <c r="I311" s="4">
        <v>1E-4</v>
      </c>
      <c r="J311" s="113">
        <v>-47.771500000000003</v>
      </c>
      <c r="K311" s="4">
        <v>2.9999999999999997E-4</v>
      </c>
      <c r="L311" s="4">
        <v>0.03</v>
      </c>
      <c r="M311" s="4">
        <v>0.02</v>
      </c>
      <c r="N311" s="4">
        <v>-4.1000000000000003E-3</v>
      </c>
      <c r="O311" s="4">
        <v>0</v>
      </c>
      <c r="P311" s="4">
        <v>127.73</v>
      </c>
      <c r="Q311" s="4">
        <v>0.1</v>
      </c>
      <c r="R311" s="113">
        <f t="shared" si="21"/>
        <v>0.22175347222222222</v>
      </c>
      <c r="S311" s="22">
        <f t="shared" si="22"/>
        <v>1.7361111111111114E-4</v>
      </c>
    </row>
    <row r="312" spans="1:19">
      <c r="A312" s="109" t="s">
        <v>1648</v>
      </c>
      <c r="B312" s="113" t="s">
        <v>1649</v>
      </c>
      <c r="C312" s="113"/>
      <c r="D312" s="113">
        <v>0</v>
      </c>
      <c r="E312" s="4">
        <v>24</v>
      </c>
      <c r="F312" s="4">
        <v>16</v>
      </c>
      <c r="G312" s="4">
        <v>24</v>
      </c>
      <c r="H312" s="113">
        <v>7.3643999999999998</v>
      </c>
      <c r="I312" s="4">
        <v>1E-4</v>
      </c>
      <c r="J312" s="113">
        <v>-47.771500000000003</v>
      </c>
      <c r="K312" s="4">
        <v>2.9999999999999997E-4</v>
      </c>
      <c r="L312" s="4">
        <v>0.03</v>
      </c>
      <c r="M312" s="4">
        <v>0.02</v>
      </c>
      <c r="N312" s="4">
        <v>-4.1000000000000003E-3</v>
      </c>
      <c r="O312" s="4">
        <v>0</v>
      </c>
      <c r="P312" s="4">
        <v>127.73</v>
      </c>
      <c r="Q312" s="4">
        <v>0.1</v>
      </c>
      <c r="R312" s="113">
        <f t="shared" si="21"/>
        <v>0.22175347222222222</v>
      </c>
      <c r="S312" s="22">
        <f t="shared" si="22"/>
        <v>1.7361111111111114E-4</v>
      </c>
    </row>
    <row r="313" spans="1:19">
      <c r="A313" s="109" t="s">
        <v>1650</v>
      </c>
      <c r="B313" s="113" t="s">
        <v>1651</v>
      </c>
      <c r="C313" s="113"/>
      <c r="D313" s="113">
        <v>0</v>
      </c>
      <c r="E313" s="4">
        <v>24</v>
      </c>
      <c r="F313" s="4">
        <v>16</v>
      </c>
      <c r="G313" s="4">
        <v>24</v>
      </c>
      <c r="H313" s="113">
        <v>7.3643999999999998</v>
      </c>
      <c r="I313" s="4">
        <v>1E-4</v>
      </c>
      <c r="J313" s="113">
        <v>-47.771500000000003</v>
      </c>
      <c r="K313" s="4">
        <v>2.9999999999999997E-4</v>
      </c>
      <c r="L313" s="4">
        <v>0.03</v>
      </c>
      <c r="M313" s="4">
        <v>0.02</v>
      </c>
      <c r="N313" s="4">
        <v>-4.1000000000000003E-3</v>
      </c>
      <c r="O313" s="4">
        <v>0</v>
      </c>
      <c r="P313" s="4">
        <v>127.73</v>
      </c>
      <c r="Q313" s="4">
        <v>0.1</v>
      </c>
      <c r="R313" s="113">
        <f t="shared" si="21"/>
        <v>0.22175347222222222</v>
      </c>
      <c r="S313" s="22">
        <f t="shared" si="22"/>
        <v>1.7361111111111114E-4</v>
      </c>
    </row>
    <row r="314" spans="1:19">
      <c r="A314" s="109" t="s">
        <v>1652</v>
      </c>
      <c r="B314" s="113" t="s">
        <v>1653</v>
      </c>
      <c r="C314" s="113"/>
      <c r="D314" s="113">
        <v>0</v>
      </c>
      <c r="E314" s="4">
        <v>24</v>
      </c>
      <c r="F314" s="4">
        <v>16</v>
      </c>
      <c r="G314" s="4">
        <v>24</v>
      </c>
      <c r="H314" s="113">
        <v>7.3643999999999998</v>
      </c>
      <c r="I314" s="4">
        <v>1E-4</v>
      </c>
      <c r="J314" s="113">
        <v>-47.771500000000003</v>
      </c>
      <c r="K314" s="4">
        <v>2.9999999999999997E-4</v>
      </c>
      <c r="L314" s="4">
        <v>0.03</v>
      </c>
      <c r="M314" s="4">
        <v>0.02</v>
      </c>
      <c r="N314" s="4">
        <v>-4.1000000000000003E-3</v>
      </c>
      <c r="O314" s="4">
        <v>0</v>
      </c>
      <c r="P314" s="4">
        <v>127.73</v>
      </c>
      <c r="Q314" s="4">
        <v>0.1</v>
      </c>
      <c r="R314" s="113">
        <f t="shared" si="21"/>
        <v>0.22175347222222222</v>
      </c>
      <c r="S314" s="22">
        <f t="shared" si="22"/>
        <v>1.7361111111111114E-4</v>
      </c>
    </row>
    <row r="315" spans="1:19">
      <c r="A315" s="109" t="s">
        <v>1654</v>
      </c>
      <c r="B315" s="113" t="s">
        <v>1655</v>
      </c>
      <c r="C315" s="113"/>
      <c r="D315" s="113">
        <v>0</v>
      </c>
      <c r="E315" s="4">
        <v>24</v>
      </c>
      <c r="F315" s="4">
        <v>17</v>
      </c>
      <c r="G315" s="4">
        <v>24</v>
      </c>
      <c r="H315" s="113">
        <v>7.3643999999999998</v>
      </c>
      <c r="I315" s="4">
        <v>1E-4</v>
      </c>
      <c r="J315" s="113">
        <v>-47.771500000000003</v>
      </c>
      <c r="K315" s="4">
        <v>2.9999999999999997E-4</v>
      </c>
      <c r="L315" s="4">
        <v>0.03</v>
      </c>
      <c r="M315" s="4">
        <v>0.02</v>
      </c>
      <c r="N315" s="4">
        <v>-4.1000000000000003E-3</v>
      </c>
      <c r="O315" s="4">
        <v>0</v>
      </c>
      <c r="P315" s="4">
        <v>127.73</v>
      </c>
      <c r="Q315" s="4">
        <v>0.1</v>
      </c>
      <c r="R315" s="113">
        <f t="shared" si="21"/>
        <v>0.22175347222222222</v>
      </c>
      <c r="S315" s="22">
        <f t="shared" si="22"/>
        <v>1.7361111111111114E-4</v>
      </c>
    </row>
    <row r="316" spans="1:19">
      <c r="A316" s="109" t="s">
        <v>1656</v>
      </c>
      <c r="B316" s="113" t="s">
        <v>1657</v>
      </c>
      <c r="C316" s="113"/>
      <c r="D316" s="113">
        <v>0</v>
      </c>
      <c r="E316" s="4">
        <v>24</v>
      </c>
      <c r="F316" s="4">
        <v>17</v>
      </c>
      <c r="G316" s="4">
        <v>24</v>
      </c>
      <c r="H316" s="113">
        <v>7.3643999999999998</v>
      </c>
      <c r="I316" s="4">
        <v>1E-4</v>
      </c>
      <c r="J316" s="113">
        <v>-47.771500000000003</v>
      </c>
      <c r="K316" s="4">
        <v>2.9999999999999997E-4</v>
      </c>
      <c r="L316" s="4">
        <v>0.03</v>
      </c>
      <c r="M316" s="4">
        <v>0.02</v>
      </c>
      <c r="N316" s="4">
        <v>-4.1000000000000003E-3</v>
      </c>
      <c r="O316" s="4">
        <v>0</v>
      </c>
      <c r="P316" s="4">
        <v>127.73</v>
      </c>
      <c r="Q316" s="4">
        <v>0.1</v>
      </c>
      <c r="R316" s="113">
        <f t="shared" si="21"/>
        <v>0.22175347222222222</v>
      </c>
      <c r="S316" s="22">
        <f t="shared" si="22"/>
        <v>1.7361111111111114E-4</v>
      </c>
    </row>
    <row r="317" spans="1:19">
      <c r="A317" s="109" t="s">
        <v>1658</v>
      </c>
      <c r="B317" s="113" t="s">
        <v>1659</v>
      </c>
      <c r="C317" s="113"/>
      <c r="D317" s="113">
        <v>0</v>
      </c>
      <c r="E317" s="4">
        <v>24</v>
      </c>
      <c r="F317" s="4">
        <v>17</v>
      </c>
      <c r="G317" s="4">
        <v>24</v>
      </c>
      <c r="H317" s="113">
        <v>7.3643999999999998</v>
      </c>
      <c r="I317" s="4">
        <v>1E-4</v>
      </c>
      <c r="J317" s="113">
        <v>-47.771500000000003</v>
      </c>
      <c r="K317" s="4">
        <v>2.9999999999999997E-4</v>
      </c>
      <c r="L317" s="4">
        <v>0.03</v>
      </c>
      <c r="M317" s="4">
        <v>0.02</v>
      </c>
      <c r="N317" s="4">
        <v>-4.1000000000000003E-3</v>
      </c>
      <c r="O317" s="4">
        <v>0</v>
      </c>
      <c r="P317" s="4">
        <v>127.73</v>
      </c>
      <c r="Q317" s="4">
        <v>0.1</v>
      </c>
      <c r="R317" s="113">
        <f t="shared" si="21"/>
        <v>0.22175347222222222</v>
      </c>
      <c r="S317" s="22">
        <f t="shared" si="22"/>
        <v>1.7361111111111114E-4</v>
      </c>
    </row>
    <row r="318" spans="1:19">
      <c r="A318" s="109" t="s">
        <v>1660</v>
      </c>
      <c r="B318" s="113" t="s">
        <v>1661</v>
      </c>
      <c r="C318" s="113"/>
      <c r="D318" s="113">
        <v>0</v>
      </c>
      <c r="E318" s="4">
        <v>24</v>
      </c>
      <c r="F318" s="4">
        <v>17</v>
      </c>
      <c r="G318" s="4">
        <v>24</v>
      </c>
      <c r="H318" s="113">
        <v>7.3643999999999998</v>
      </c>
      <c r="I318" s="4">
        <v>1E-4</v>
      </c>
      <c r="J318" s="113">
        <v>-47.771500000000003</v>
      </c>
      <c r="K318" s="4">
        <v>2.9999999999999997E-4</v>
      </c>
      <c r="L318" s="4">
        <v>0.03</v>
      </c>
      <c r="M318" s="4">
        <v>0.02</v>
      </c>
      <c r="N318" s="4">
        <v>-4.1000000000000003E-3</v>
      </c>
      <c r="O318" s="4">
        <v>0</v>
      </c>
      <c r="P318" s="4">
        <v>127.73</v>
      </c>
      <c r="Q318" s="4">
        <v>0.1</v>
      </c>
      <c r="R318" s="113">
        <f t="shared" si="21"/>
        <v>0.22175347222222222</v>
      </c>
      <c r="S318" s="22">
        <f t="shared" si="22"/>
        <v>1.7361111111111114E-4</v>
      </c>
    </row>
    <row r="319" spans="1:19">
      <c r="A319" s="109" t="s">
        <v>1662</v>
      </c>
      <c r="B319" s="113" t="s">
        <v>1663</v>
      </c>
      <c r="C319" s="113"/>
      <c r="D319" s="113">
        <v>0</v>
      </c>
      <c r="E319" s="4">
        <v>24</v>
      </c>
      <c r="F319" s="4">
        <v>18</v>
      </c>
      <c r="G319" s="4">
        <v>24</v>
      </c>
      <c r="H319" s="113">
        <v>7.3643999999999998</v>
      </c>
      <c r="I319" s="4">
        <v>1E-4</v>
      </c>
      <c r="J319" s="113">
        <v>-47.771500000000003</v>
      </c>
      <c r="K319" s="4">
        <v>2.9999999999999997E-4</v>
      </c>
      <c r="L319" s="4">
        <v>0.03</v>
      </c>
      <c r="M319" s="4">
        <v>0.02</v>
      </c>
      <c r="N319" s="4">
        <v>-4.1000000000000003E-3</v>
      </c>
      <c r="O319" s="4">
        <v>0</v>
      </c>
      <c r="P319" s="4">
        <v>127.73</v>
      </c>
      <c r="Q319" s="4">
        <v>0.1</v>
      </c>
      <c r="R319" s="113">
        <f t="shared" si="21"/>
        <v>0.22175347222222222</v>
      </c>
      <c r="S319" s="22">
        <f t="shared" si="22"/>
        <v>1.7361111111111114E-4</v>
      </c>
    </row>
    <row r="320" spans="1:19">
      <c r="A320" s="109" t="s">
        <v>1664</v>
      </c>
      <c r="B320" s="113" t="s">
        <v>1665</v>
      </c>
      <c r="C320" s="113"/>
      <c r="D320" s="113">
        <v>0</v>
      </c>
      <c r="E320" s="4">
        <v>24</v>
      </c>
      <c r="F320" s="4">
        <v>18</v>
      </c>
      <c r="G320" s="4">
        <v>24</v>
      </c>
      <c r="H320" s="113">
        <v>7.3643999999999998</v>
      </c>
      <c r="I320" s="4">
        <v>1E-4</v>
      </c>
      <c r="J320" s="113">
        <v>-47.771500000000003</v>
      </c>
      <c r="K320" s="4">
        <v>2.9999999999999997E-4</v>
      </c>
      <c r="L320" s="4">
        <v>0.03</v>
      </c>
      <c r="M320" s="4">
        <v>0.02</v>
      </c>
      <c r="N320" s="4">
        <v>-4.1000000000000003E-3</v>
      </c>
      <c r="O320" s="4">
        <v>0</v>
      </c>
      <c r="P320" s="4">
        <v>127.73</v>
      </c>
      <c r="Q320" s="4">
        <v>0.1</v>
      </c>
      <c r="R320" s="113">
        <f t="shared" si="21"/>
        <v>0.22175347222222222</v>
      </c>
      <c r="S320" s="22">
        <f t="shared" si="22"/>
        <v>1.7361111111111114E-4</v>
      </c>
    </row>
    <row r="321" spans="1:19">
      <c r="A321" s="109" t="s">
        <v>1666</v>
      </c>
      <c r="B321" s="113" t="s">
        <v>1667</v>
      </c>
      <c r="C321" s="113"/>
      <c r="D321" s="113">
        <v>0</v>
      </c>
      <c r="E321" s="4">
        <v>24</v>
      </c>
      <c r="F321" s="4">
        <v>18</v>
      </c>
      <c r="G321" s="4">
        <v>24</v>
      </c>
      <c r="H321" s="113">
        <v>7.3643999999999998</v>
      </c>
      <c r="I321" s="4">
        <v>1E-4</v>
      </c>
      <c r="J321" s="113">
        <v>-47.771500000000003</v>
      </c>
      <c r="K321" s="4">
        <v>2.9999999999999997E-4</v>
      </c>
      <c r="L321" s="4">
        <v>0.03</v>
      </c>
      <c r="M321" s="4">
        <v>0.02</v>
      </c>
      <c r="N321" s="4">
        <v>-4.1000000000000003E-3</v>
      </c>
      <c r="O321" s="4">
        <v>0</v>
      </c>
      <c r="P321" s="4">
        <v>127.73</v>
      </c>
      <c r="Q321" s="4">
        <v>0.1</v>
      </c>
      <c r="R321" s="113">
        <f t="shared" si="21"/>
        <v>0.22175347222222222</v>
      </c>
      <c r="S321" s="22">
        <f t="shared" si="22"/>
        <v>1.7361111111111114E-4</v>
      </c>
    </row>
    <row r="322" spans="1:19">
      <c r="A322" s="109" t="s">
        <v>1668</v>
      </c>
      <c r="B322" s="113" t="s">
        <v>1669</v>
      </c>
      <c r="C322" s="113"/>
      <c r="D322" s="113">
        <v>0</v>
      </c>
      <c r="E322" s="4">
        <v>24</v>
      </c>
      <c r="F322" s="4">
        <v>18</v>
      </c>
      <c r="G322" s="4">
        <v>24</v>
      </c>
      <c r="H322" s="113">
        <v>7.3643999999999998</v>
      </c>
      <c r="I322" s="4">
        <v>1E-4</v>
      </c>
      <c r="J322" s="113">
        <v>-47.771500000000003</v>
      </c>
      <c r="K322" s="4">
        <v>2.9999999999999997E-4</v>
      </c>
      <c r="L322" s="4">
        <v>0.03</v>
      </c>
      <c r="M322" s="4">
        <v>0.02</v>
      </c>
      <c r="N322" s="4">
        <v>-4.1000000000000003E-3</v>
      </c>
      <c r="O322" s="4">
        <v>0</v>
      </c>
      <c r="P322" s="4">
        <v>127.73</v>
      </c>
      <c r="Q322" s="4">
        <v>0.1</v>
      </c>
      <c r="R322" s="113">
        <f t="shared" si="21"/>
        <v>0.22175347222222222</v>
      </c>
      <c r="S322" s="22">
        <f t="shared" si="22"/>
        <v>1.7361111111111114E-4</v>
      </c>
    </row>
    <row r="323" spans="1:19">
      <c r="A323" s="109" t="s">
        <v>1670</v>
      </c>
      <c r="B323" s="113" t="s">
        <v>1671</v>
      </c>
      <c r="C323" s="113"/>
      <c r="D323" s="113">
        <v>0</v>
      </c>
      <c r="E323" s="4">
        <v>24</v>
      </c>
      <c r="F323" s="4">
        <v>19</v>
      </c>
      <c r="G323" s="4">
        <v>24</v>
      </c>
      <c r="H323" s="113">
        <v>7.3643999999999998</v>
      </c>
      <c r="I323" s="4">
        <v>1E-4</v>
      </c>
      <c r="J323" s="113">
        <v>-47.771500000000003</v>
      </c>
      <c r="K323" s="4">
        <v>2.9999999999999997E-4</v>
      </c>
      <c r="L323" s="4">
        <v>0.03</v>
      </c>
      <c r="M323" s="4">
        <v>0.02</v>
      </c>
      <c r="N323" s="4">
        <v>-4.1000000000000003E-3</v>
      </c>
      <c r="O323" s="4">
        <v>0</v>
      </c>
      <c r="P323" s="4">
        <v>127.73</v>
      </c>
      <c r="Q323" s="4">
        <v>0.1</v>
      </c>
      <c r="R323" s="113">
        <f t="shared" si="21"/>
        <v>0.22175347222222222</v>
      </c>
      <c r="S323" s="22">
        <f t="shared" si="22"/>
        <v>1.7361111111111114E-4</v>
      </c>
    </row>
    <row r="324" spans="1:19">
      <c r="A324" s="109" t="s">
        <v>1672</v>
      </c>
      <c r="B324" s="113" t="s">
        <v>1673</v>
      </c>
      <c r="C324" s="113"/>
      <c r="D324" s="113">
        <v>0</v>
      </c>
      <c r="E324" s="4">
        <v>24</v>
      </c>
      <c r="F324" s="4">
        <v>19</v>
      </c>
      <c r="G324" s="4">
        <v>24</v>
      </c>
      <c r="H324" s="113">
        <v>7.3643999999999998</v>
      </c>
      <c r="I324" s="4">
        <v>1E-4</v>
      </c>
      <c r="J324" s="113">
        <v>-47.771500000000003</v>
      </c>
      <c r="K324" s="4">
        <v>2.9999999999999997E-4</v>
      </c>
      <c r="L324" s="4">
        <v>0.03</v>
      </c>
      <c r="M324" s="4">
        <v>0.02</v>
      </c>
      <c r="N324" s="4">
        <v>-4.1000000000000003E-3</v>
      </c>
      <c r="O324" s="4">
        <v>0</v>
      </c>
      <c r="P324" s="4">
        <v>127.73</v>
      </c>
      <c r="Q324" s="4">
        <v>0.1</v>
      </c>
      <c r="R324" s="113">
        <f t="shared" si="21"/>
        <v>0.22175347222222222</v>
      </c>
      <c r="S324" s="22">
        <f t="shared" si="22"/>
        <v>1.7361111111111114E-4</v>
      </c>
    </row>
    <row r="325" spans="1:19">
      <c r="A325" s="109" t="s">
        <v>1674</v>
      </c>
      <c r="B325" s="113" t="s">
        <v>1675</v>
      </c>
      <c r="C325" s="113"/>
      <c r="D325" s="113">
        <v>0</v>
      </c>
      <c r="E325" s="4">
        <v>24</v>
      </c>
      <c r="F325" s="4">
        <v>19</v>
      </c>
      <c r="G325" s="4">
        <v>24</v>
      </c>
      <c r="H325" s="113">
        <v>7.3643999999999998</v>
      </c>
      <c r="I325" s="4">
        <v>1E-4</v>
      </c>
      <c r="J325" s="113">
        <v>-47.771500000000003</v>
      </c>
      <c r="K325" s="4">
        <v>2.9999999999999997E-4</v>
      </c>
      <c r="L325" s="4">
        <v>0.03</v>
      </c>
      <c r="M325" s="4">
        <v>0.02</v>
      </c>
      <c r="N325" s="4">
        <v>-4.1000000000000003E-3</v>
      </c>
      <c r="O325" s="4">
        <v>0</v>
      </c>
      <c r="P325" s="4">
        <v>127.73</v>
      </c>
      <c r="Q325" s="4">
        <v>0.1</v>
      </c>
      <c r="R325" s="113">
        <f t="shared" si="21"/>
        <v>0.22175347222222222</v>
      </c>
      <c r="S325" s="22">
        <f t="shared" si="22"/>
        <v>1.7361111111111114E-4</v>
      </c>
    </row>
    <row r="326" spans="1:19">
      <c r="A326" s="109" t="s">
        <v>1676</v>
      </c>
      <c r="B326" s="113" t="s">
        <v>1677</v>
      </c>
      <c r="C326" s="113"/>
      <c r="D326" s="113">
        <v>0</v>
      </c>
      <c r="E326" s="4">
        <v>24</v>
      </c>
      <c r="F326" s="4">
        <v>19</v>
      </c>
      <c r="G326" s="4">
        <v>24</v>
      </c>
      <c r="H326" s="113">
        <v>7.3643999999999998</v>
      </c>
      <c r="I326" s="4">
        <v>1E-4</v>
      </c>
      <c r="J326" s="113">
        <v>-47.771500000000003</v>
      </c>
      <c r="K326" s="4">
        <v>2.9999999999999997E-4</v>
      </c>
      <c r="L326" s="4">
        <v>0.03</v>
      </c>
      <c r="M326" s="4">
        <v>0.02</v>
      </c>
      <c r="N326" s="4">
        <v>-4.1000000000000003E-3</v>
      </c>
      <c r="O326" s="4">
        <v>0</v>
      </c>
      <c r="P326" s="4">
        <v>127.73</v>
      </c>
      <c r="Q326" s="4">
        <v>0.1</v>
      </c>
      <c r="R326" s="113">
        <f t="shared" si="21"/>
        <v>0.22175347222222222</v>
      </c>
      <c r="S326" s="22">
        <f t="shared" si="22"/>
        <v>1.7361111111111114E-4</v>
      </c>
    </row>
    <row r="327" spans="1:19">
      <c r="A327" s="109" t="s">
        <v>1678</v>
      </c>
      <c r="B327" s="113" t="s">
        <v>1679</v>
      </c>
      <c r="C327" s="113"/>
      <c r="D327" s="113">
        <v>0</v>
      </c>
      <c r="E327" s="4">
        <v>24</v>
      </c>
      <c r="F327" s="4">
        <v>20</v>
      </c>
      <c r="G327" s="4">
        <v>24</v>
      </c>
      <c r="H327" s="113">
        <v>7.3643999999999998</v>
      </c>
      <c r="I327" s="4">
        <v>1E-4</v>
      </c>
      <c r="J327" s="113">
        <v>-47.771500000000003</v>
      </c>
      <c r="K327" s="4">
        <v>2.9999999999999997E-4</v>
      </c>
      <c r="L327" s="4">
        <v>0.03</v>
      </c>
      <c r="M327" s="4">
        <v>0.02</v>
      </c>
      <c r="N327" s="4">
        <v>-4.1000000000000003E-3</v>
      </c>
      <c r="O327" s="4">
        <v>0</v>
      </c>
      <c r="P327" s="4">
        <v>127.73</v>
      </c>
      <c r="Q327" s="4">
        <v>0.1</v>
      </c>
      <c r="R327" s="113">
        <f t="shared" si="21"/>
        <v>0.22175347222222222</v>
      </c>
      <c r="S327" s="22">
        <f t="shared" si="22"/>
        <v>1.7361111111111114E-4</v>
      </c>
    </row>
    <row r="328" spans="1:19">
      <c r="A328" s="109" t="s">
        <v>1680</v>
      </c>
      <c r="B328" s="113" t="s">
        <v>1681</v>
      </c>
      <c r="C328" s="113"/>
      <c r="D328" s="113">
        <v>0</v>
      </c>
      <c r="E328" s="4">
        <v>24</v>
      </c>
      <c r="F328" s="4">
        <v>20</v>
      </c>
      <c r="G328" s="4">
        <v>24</v>
      </c>
      <c r="H328" s="113">
        <v>7.3643999999999998</v>
      </c>
      <c r="I328" s="4">
        <v>1E-4</v>
      </c>
      <c r="J328" s="113">
        <v>-47.771500000000003</v>
      </c>
      <c r="K328" s="4">
        <v>2.9999999999999997E-4</v>
      </c>
      <c r="L328" s="4">
        <v>0.03</v>
      </c>
      <c r="M328" s="4">
        <v>0.02</v>
      </c>
      <c r="N328" s="4">
        <v>-4.1000000000000003E-3</v>
      </c>
      <c r="O328" s="4">
        <v>0</v>
      </c>
      <c r="P328" s="4">
        <v>127.73</v>
      </c>
      <c r="Q328" s="4">
        <v>0.1</v>
      </c>
      <c r="R328" s="113">
        <f t="shared" si="21"/>
        <v>0.22175347222222222</v>
      </c>
      <c r="S328" s="22">
        <f t="shared" si="22"/>
        <v>1.7361111111111114E-4</v>
      </c>
    </row>
    <row r="329" spans="1:19">
      <c r="A329" s="109" t="s">
        <v>1682</v>
      </c>
      <c r="B329" s="113" t="s">
        <v>1683</v>
      </c>
      <c r="C329" s="113"/>
      <c r="D329" s="113">
        <v>0</v>
      </c>
      <c r="E329" s="4">
        <v>24</v>
      </c>
      <c r="F329" s="4">
        <v>20</v>
      </c>
      <c r="G329" s="4">
        <v>24</v>
      </c>
      <c r="H329" s="113">
        <v>7.3643999999999998</v>
      </c>
      <c r="I329" s="4">
        <v>1E-4</v>
      </c>
      <c r="J329" s="113">
        <v>-47.771500000000003</v>
      </c>
      <c r="K329" s="4">
        <v>2.9999999999999997E-4</v>
      </c>
      <c r="L329" s="4">
        <v>0.03</v>
      </c>
      <c r="M329" s="4">
        <v>0.02</v>
      </c>
      <c r="N329" s="4">
        <v>-4.1000000000000003E-3</v>
      </c>
      <c r="O329" s="4">
        <v>0</v>
      </c>
      <c r="P329" s="4">
        <v>127.73</v>
      </c>
      <c r="Q329" s="4">
        <v>0.1</v>
      </c>
      <c r="R329" s="113">
        <f t="shared" si="21"/>
        <v>0.22175347222222222</v>
      </c>
      <c r="S329" s="22">
        <f t="shared" si="22"/>
        <v>1.7361111111111114E-4</v>
      </c>
    </row>
    <row r="330" spans="1:19">
      <c r="A330" s="109" t="s">
        <v>1684</v>
      </c>
      <c r="B330" s="113" t="s">
        <v>1685</v>
      </c>
      <c r="C330" s="113"/>
      <c r="D330" s="113">
        <v>0</v>
      </c>
      <c r="E330" s="4">
        <v>24</v>
      </c>
      <c r="F330" s="4">
        <v>20</v>
      </c>
      <c r="G330" s="4">
        <v>24</v>
      </c>
      <c r="H330" s="113">
        <v>7.3643999999999998</v>
      </c>
      <c r="I330" s="4">
        <v>1E-4</v>
      </c>
      <c r="J330" s="113">
        <v>-47.771500000000003</v>
      </c>
      <c r="K330" s="4">
        <v>2.9999999999999997E-4</v>
      </c>
      <c r="L330" s="4">
        <v>0.03</v>
      </c>
      <c r="M330" s="4">
        <v>0.02</v>
      </c>
      <c r="N330" s="4">
        <v>-4.1000000000000003E-3</v>
      </c>
      <c r="O330" s="4">
        <v>0</v>
      </c>
      <c r="P330" s="4">
        <v>127.73</v>
      </c>
      <c r="Q330" s="4">
        <v>0.1</v>
      </c>
      <c r="R330" s="113">
        <f t="shared" si="21"/>
        <v>0.22175347222222222</v>
      </c>
      <c r="S330" s="22">
        <f t="shared" si="22"/>
        <v>1.7361111111111114E-4</v>
      </c>
    </row>
    <row r="331" spans="1:19">
      <c r="A331" s="109" t="s">
        <v>1686</v>
      </c>
      <c r="B331" s="113" t="s">
        <v>1687</v>
      </c>
      <c r="C331" s="113"/>
      <c r="D331" s="113">
        <v>0</v>
      </c>
      <c r="E331" s="4">
        <v>24</v>
      </c>
      <c r="F331" s="4">
        <v>21</v>
      </c>
      <c r="G331" s="4">
        <v>24</v>
      </c>
      <c r="H331" s="113">
        <v>7.3643999999999998</v>
      </c>
      <c r="I331" s="4">
        <v>1E-4</v>
      </c>
      <c r="J331" s="113">
        <v>-47.771500000000003</v>
      </c>
      <c r="K331" s="4">
        <v>2.9999999999999997E-4</v>
      </c>
      <c r="L331" s="4">
        <v>0.03</v>
      </c>
      <c r="M331" s="4">
        <v>0.02</v>
      </c>
      <c r="N331" s="4">
        <v>-4.1000000000000003E-3</v>
      </c>
      <c r="O331" s="4">
        <v>0</v>
      </c>
      <c r="P331" s="4">
        <v>127.73</v>
      </c>
      <c r="Q331" s="4">
        <v>0.1</v>
      </c>
      <c r="R331" s="113">
        <f t="shared" si="21"/>
        <v>0.22175347222222222</v>
      </c>
      <c r="S331" s="22">
        <f t="shared" si="22"/>
        <v>1.7361111111111114E-4</v>
      </c>
    </row>
    <row r="332" spans="1:19">
      <c r="A332" s="109" t="s">
        <v>1688</v>
      </c>
      <c r="B332" s="113" t="s">
        <v>1689</v>
      </c>
      <c r="C332" s="113"/>
      <c r="D332" s="113">
        <v>0</v>
      </c>
      <c r="E332" s="4">
        <v>24</v>
      </c>
      <c r="F332" s="4">
        <v>21</v>
      </c>
      <c r="G332" s="4">
        <v>24</v>
      </c>
      <c r="H332" s="113">
        <v>7.3643999999999998</v>
      </c>
      <c r="I332" s="4">
        <v>1E-4</v>
      </c>
      <c r="J332" s="113">
        <v>-47.771500000000003</v>
      </c>
      <c r="K332" s="4">
        <v>2.9999999999999997E-4</v>
      </c>
      <c r="L332" s="4">
        <v>0.03</v>
      </c>
      <c r="M332" s="4">
        <v>0.02</v>
      </c>
      <c r="N332" s="4">
        <v>-4.1000000000000003E-3</v>
      </c>
      <c r="O332" s="4">
        <v>0</v>
      </c>
      <c r="P332" s="4">
        <v>127.73</v>
      </c>
      <c r="Q332" s="4">
        <v>0.1</v>
      </c>
      <c r="R332" s="113">
        <f t="shared" si="21"/>
        <v>0.22175347222222222</v>
      </c>
      <c r="S332" s="22">
        <f t="shared" si="22"/>
        <v>1.7361111111111114E-4</v>
      </c>
    </row>
    <row r="333" spans="1:19">
      <c r="A333" s="109" t="s">
        <v>1690</v>
      </c>
      <c r="B333" s="113" t="s">
        <v>1691</v>
      </c>
      <c r="C333" s="113"/>
      <c r="D333" s="113">
        <v>0</v>
      </c>
      <c r="E333" s="4">
        <v>24</v>
      </c>
      <c r="F333" s="4">
        <v>21</v>
      </c>
      <c r="G333" s="4">
        <v>24</v>
      </c>
      <c r="H333" s="113">
        <v>7.3643999999999998</v>
      </c>
      <c r="I333" s="4">
        <v>1E-4</v>
      </c>
      <c r="J333" s="113">
        <v>-47.771500000000003</v>
      </c>
      <c r="K333" s="4">
        <v>2.9999999999999997E-4</v>
      </c>
      <c r="L333" s="4">
        <v>0.03</v>
      </c>
      <c r="M333" s="4">
        <v>0.02</v>
      </c>
      <c r="N333" s="4">
        <v>-4.1000000000000003E-3</v>
      </c>
      <c r="O333" s="4">
        <v>0</v>
      </c>
      <c r="P333" s="4">
        <v>127.73</v>
      </c>
      <c r="Q333" s="4">
        <v>0.1</v>
      </c>
      <c r="R333" s="113">
        <f t="shared" si="21"/>
        <v>0.22175347222222222</v>
      </c>
      <c r="S333" s="22">
        <f t="shared" si="22"/>
        <v>1.7361111111111114E-4</v>
      </c>
    </row>
    <row r="334" spans="1:19">
      <c r="A334" s="109" t="s">
        <v>1692</v>
      </c>
      <c r="B334" s="113" t="s">
        <v>1693</v>
      </c>
      <c r="C334" s="113"/>
      <c r="D334" s="113">
        <v>0</v>
      </c>
      <c r="E334" s="4">
        <v>24</v>
      </c>
      <c r="F334" s="4">
        <v>21</v>
      </c>
      <c r="G334" s="4">
        <v>24</v>
      </c>
      <c r="H334" s="113">
        <v>7.3643999999999998</v>
      </c>
      <c r="I334" s="4">
        <v>1E-4</v>
      </c>
      <c r="J334" s="113">
        <v>-47.771500000000003</v>
      </c>
      <c r="K334" s="4">
        <v>2.9999999999999997E-4</v>
      </c>
      <c r="L334" s="4">
        <v>0.03</v>
      </c>
      <c r="M334" s="4">
        <v>0.02</v>
      </c>
      <c r="N334" s="4">
        <v>-4.1000000000000003E-3</v>
      </c>
      <c r="O334" s="4">
        <v>0</v>
      </c>
      <c r="P334" s="4">
        <v>127.73</v>
      </c>
      <c r="Q334" s="4">
        <v>0.1</v>
      </c>
      <c r="R334" s="113">
        <f t="shared" si="21"/>
        <v>0.22175347222222222</v>
      </c>
      <c r="S334" s="22">
        <f t="shared" si="22"/>
        <v>1.7361111111111114E-4</v>
      </c>
    </row>
    <row r="335" spans="1:19">
      <c r="A335" s="109" t="s">
        <v>1694</v>
      </c>
      <c r="B335" s="113" t="s">
        <v>1695</v>
      </c>
      <c r="C335" s="113"/>
      <c r="D335" s="113">
        <v>0</v>
      </c>
      <c r="E335" s="4">
        <v>24</v>
      </c>
      <c r="F335" s="4">
        <v>22</v>
      </c>
      <c r="G335" s="4">
        <v>24</v>
      </c>
      <c r="H335" s="113">
        <v>7.3643999999999998</v>
      </c>
      <c r="I335" s="4">
        <v>1E-4</v>
      </c>
      <c r="J335" s="113">
        <v>-47.771500000000003</v>
      </c>
      <c r="K335" s="4">
        <v>2.9999999999999997E-4</v>
      </c>
      <c r="L335" s="4">
        <v>0.03</v>
      </c>
      <c r="M335" s="4">
        <v>0.02</v>
      </c>
      <c r="N335" s="4">
        <v>-4.1000000000000003E-3</v>
      </c>
      <c r="O335" s="4">
        <v>0</v>
      </c>
      <c r="P335" s="4">
        <v>127.73</v>
      </c>
      <c r="Q335" s="4">
        <v>0.1</v>
      </c>
      <c r="R335" s="113">
        <f t="shared" si="21"/>
        <v>0.22175347222222222</v>
      </c>
      <c r="S335" s="22">
        <f t="shared" si="22"/>
        <v>1.7361111111111114E-4</v>
      </c>
    </row>
    <row r="336" spans="1:19">
      <c r="A336" s="109" t="s">
        <v>1696</v>
      </c>
      <c r="B336" s="113" t="s">
        <v>1697</v>
      </c>
      <c r="C336" s="113"/>
      <c r="D336" s="113">
        <v>0</v>
      </c>
      <c r="E336" s="4">
        <v>24</v>
      </c>
      <c r="F336" s="4">
        <v>22</v>
      </c>
      <c r="G336" s="4">
        <v>24</v>
      </c>
      <c r="H336" s="113">
        <v>7.3643999999999998</v>
      </c>
      <c r="I336" s="4">
        <v>1E-4</v>
      </c>
      <c r="J336" s="113">
        <v>-47.771500000000003</v>
      </c>
      <c r="K336" s="4">
        <v>2.9999999999999997E-4</v>
      </c>
      <c r="L336" s="4">
        <v>0.03</v>
      </c>
      <c r="M336" s="4">
        <v>0.02</v>
      </c>
      <c r="N336" s="4">
        <v>-4.1000000000000003E-3</v>
      </c>
      <c r="O336" s="4">
        <v>0</v>
      </c>
      <c r="P336" s="4">
        <v>127.73</v>
      </c>
      <c r="Q336" s="4">
        <v>0.1</v>
      </c>
      <c r="R336" s="113">
        <f t="shared" si="21"/>
        <v>0.22175347222222222</v>
      </c>
      <c r="S336" s="22">
        <f t="shared" si="22"/>
        <v>1.7361111111111114E-4</v>
      </c>
    </row>
    <row r="337" spans="1:19">
      <c r="A337" s="109" t="s">
        <v>1698</v>
      </c>
      <c r="B337" s="113" t="s">
        <v>1699</v>
      </c>
      <c r="C337" s="113"/>
      <c r="D337" s="113">
        <v>0</v>
      </c>
      <c r="E337" s="4">
        <v>24</v>
      </c>
      <c r="F337" s="4">
        <v>22</v>
      </c>
      <c r="G337" s="4">
        <v>24</v>
      </c>
      <c r="H337" s="113">
        <v>7.3643999999999998</v>
      </c>
      <c r="I337" s="4">
        <v>1E-4</v>
      </c>
      <c r="J337" s="113">
        <v>-47.771500000000003</v>
      </c>
      <c r="K337" s="4">
        <v>2.9999999999999997E-4</v>
      </c>
      <c r="L337" s="4">
        <v>0.03</v>
      </c>
      <c r="M337" s="4">
        <v>0.02</v>
      </c>
      <c r="N337" s="4">
        <v>-4.1000000000000003E-3</v>
      </c>
      <c r="O337" s="4">
        <v>0</v>
      </c>
      <c r="P337" s="4">
        <v>127.73</v>
      </c>
      <c r="Q337" s="4">
        <v>0.1</v>
      </c>
      <c r="R337" s="113">
        <f t="shared" si="21"/>
        <v>0.22175347222222222</v>
      </c>
      <c r="S337" s="22">
        <f t="shared" si="22"/>
        <v>1.7361111111111114E-4</v>
      </c>
    </row>
    <row r="338" spans="1:19">
      <c r="A338" s="109" t="s">
        <v>1700</v>
      </c>
      <c r="B338" s="113" t="s">
        <v>1701</v>
      </c>
      <c r="C338" s="113"/>
      <c r="D338" s="113">
        <v>0</v>
      </c>
      <c r="E338" s="4">
        <v>24</v>
      </c>
      <c r="F338" s="4">
        <v>22</v>
      </c>
      <c r="G338" s="4">
        <v>24</v>
      </c>
      <c r="H338" s="113">
        <v>7.3643999999999998</v>
      </c>
      <c r="I338" s="4">
        <v>1E-4</v>
      </c>
      <c r="J338" s="113">
        <v>-47.771500000000003</v>
      </c>
      <c r="K338" s="4">
        <v>2.9999999999999997E-4</v>
      </c>
      <c r="L338" s="4">
        <v>0.03</v>
      </c>
      <c r="M338" s="4">
        <v>0.02</v>
      </c>
      <c r="N338" s="4">
        <v>-4.1000000000000003E-3</v>
      </c>
      <c r="O338" s="4">
        <v>0</v>
      </c>
      <c r="P338" s="4">
        <v>127.73</v>
      </c>
      <c r="Q338" s="4">
        <v>0.1</v>
      </c>
      <c r="R338" s="113">
        <f t="shared" si="21"/>
        <v>0.22175347222222222</v>
      </c>
      <c r="S338" s="22">
        <f t="shared" si="22"/>
        <v>1.7361111111111114E-4</v>
      </c>
    </row>
    <row r="339" spans="1:19">
      <c r="A339" s="109" t="s">
        <v>1702</v>
      </c>
      <c r="B339" s="113" t="s">
        <v>1703</v>
      </c>
      <c r="C339" s="113"/>
      <c r="D339" s="113">
        <v>0</v>
      </c>
      <c r="E339" s="4">
        <v>24</v>
      </c>
      <c r="F339" s="4">
        <v>23</v>
      </c>
      <c r="G339" s="4">
        <v>24</v>
      </c>
      <c r="H339" s="113">
        <v>7.3643999999999998</v>
      </c>
      <c r="I339" s="4">
        <v>1E-4</v>
      </c>
      <c r="J339" s="113">
        <v>-47.771500000000003</v>
      </c>
      <c r="K339" s="4">
        <v>2.9999999999999997E-4</v>
      </c>
      <c r="L339" s="4">
        <v>0.03</v>
      </c>
      <c r="M339" s="4">
        <v>0.02</v>
      </c>
      <c r="N339" s="4">
        <v>-4.1000000000000003E-3</v>
      </c>
      <c r="O339" s="4">
        <v>0</v>
      </c>
      <c r="P339" s="4">
        <v>127.73</v>
      </c>
      <c r="Q339" s="4">
        <v>0.1</v>
      </c>
      <c r="R339" s="113">
        <f t="shared" si="21"/>
        <v>0.22175347222222222</v>
      </c>
      <c r="S339" s="22">
        <f t="shared" si="22"/>
        <v>1.7361111111111114E-4</v>
      </c>
    </row>
    <row r="340" spans="1:19" ht="17" thickBot="1">
      <c r="A340" s="141" t="s">
        <v>1704</v>
      </c>
      <c r="B340" s="140" t="s">
        <v>1705</v>
      </c>
      <c r="C340" s="140"/>
      <c r="D340" s="140">
        <v>0</v>
      </c>
      <c r="E340" s="56">
        <v>24</v>
      </c>
      <c r="F340" s="56">
        <v>23</v>
      </c>
      <c r="G340" s="56">
        <v>24</v>
      </c>
      <c r="H340" s="140">
        <v>7.3643999999999998</v>
      </c>
      <c r="I340" s="56">
        <v>1E-4</v>
      </c>
      <c r="J340" s="140">
        <v>-47.771500000000003</v>
      </c>
      <c r="K340" s="56">
        <v>2.9999999999999997E-4</v>
      </c>
      <c r="L340" s="56">
        <v>0.03</v>
      </c>
      <c r="M340" s="56">
        <v>0.02</v>
      </c>
      <c r="N340" s="56">
        <v>-4.1000000000000003E-3</v>
      </c>
      <c r="O340" s="56">
        <v>0</v>
      </c>
      <c r="P340" s="56">
        <v>127.73</v>
      </c>
      <c r="Q340" s="56">
        <v>0.1</v>
      </c>
      <c r="R340" s="140">
        <f t="shared" si="21"/>
        <v>0.22175347222222222</v>
      </c>
      <c r="S340" s="57">
        <f t="shared" si="22"/>
        <v>1.7361111111111114E-4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A724-74FA-A848-BCE3-63EC3D3A373A}">
  <dimension ref="A1:S38"/>
  <sheetViews>
    <sheetView zoomScale="68" workbookViewId="0">
      <selection activeCell="M44" sqref="M44"/>
    </sheetView>
  </sheetViews>
  <sheetFormatPr baseColWidth="10" defaultRowHeight="15"/>
  <sheetData>
    <row r="1" spans="1:19" ht="17" thickBot="1">
      <c r="A1" s="181" t="s">
        <v>0</v>
      </c>
      <c r="B1" s="182" t="s">
        <v>1</v>
      </c>
      <c r="C1" s="182" t="s">
        <v>3</v>
      </c>
      <c r="D1" s="182" t="s">
        <v>4</v>
      </c>
      <c r="E1" s="182" t="s">
        <v>5</v>
      </c>
      <c r="F1" s="182" t="s">
        <v>6</v>
      </c>
      <c r="G1" s="183" t="s">
        <v>1712</v>
      </c>
      <c r="H1" s="183" t="s">
        <v>1713</v>
      </c>
      <c r="I1" s="184" t="s">
        <v>7</v>
      </c>
      <c r="J1" s="183" t="s">
        <v>1713</v>
      </c>
      <c r="K1" s="183" t="s">
        <v>8</v>
      </c>
      <c r="L1" s="183" t="s">
        <v>1713</v>
      </c>
      <c r="M1" s="183" t="s">
        <v>9</v>
      </c>
      <c r="N1" s="183" t="s">
        <v>1713</v>
      </c>
      <c r="O1" s="183" t="s">
        <v>10</v>
      </c>
      <c r="P1" s="183" t="s">
        <v>1713</v>
      </c>
      <c r="Q1" s="185" t="s">
        <v>11</v>
      </c>
      <c r="R1" s="186" t="s">
        <v>1713</v>
      </c>
      <c r="S1" s="187"/>
    </row>
    <row r="2" spans="1:19" ht="16">
      <c r="A2" s="188" t="s">
        <v>1716</v>
      </c>
      <c r="B2" s="189" t="s">
        <v>1717</v>
      </c>
      <c r="C2" s="188">
        <v>0</v>
      </c>
      <c r="D2" s="187">
        <v>48</v>
      </c>
      <c r="E2" s="187">
        <v>6</v>
      </c>
      <c r="F2" s="187">
        <v>32</v>
      </c>
      <c r="G2" s="190">
        <v>8.0937999999999999</v>
      </c>
      <c r="H2" s="191">
        <v>5.9999999999999995E-4</v>
      </c>
      <c r="I2" s="190">
        <v>-57.253999999999998</v>
      </c>
      <c r="J2" s="191">
        <v>6.9999999999999999E-4</v>
      </c>
      <c r="K2" s="191">
        <v>0.06</v>
      </c>
      <c r="L2" s="191">
        <v>3.5000000000000003E-2</v>
      </c>
      <c r="M2" s="191">
        <v>-2.8E-3</v>
      </c>
      <c r="N2" s="191">
        <v>2.9999999999999997E-4</v>
      </c>
      <c r="O2" s="191">
        <v>120.58</v>
      </c>
      <c r="P2" s="191">
        <v>0.68</v>
      </c>
      <c r="Q2" s="188">
        <v>0.17663086</v>
      </c>
      <c r="R2" s="187">
        <v>9.9609000000000004E-4</v>
      </c>
      <c r="S2" s="187"/>
    </row>
    <row r="3" spans="1:19" ht="16">
      <c r="A3" s="192" t="s">
        <v>1716</v>
      </c>
      <c r="B3" s="193" t="s">
        <v>1717</v>
      </c>
      <c r="C3" s="192">
        <v>0.25</v>
      </c>
      <c r="D3" s="187">
        <v>48</v>
      </c>
      <c r="E3" s="187">
        <v>6</v>
      </c>
      <c r="F3" s="187">
        <v>32</v>
      </c>
      <c r="G3" s="194">
        <v>6.1543000000000001</v>
      </c>
      <c r="H3" s="191">
        <v>8.0000000000000004E-4</v>
      </c>
      <c r="I3" s="194">
        <v>-43.8611</v>
      </c>
      <c r="J3" s="191">
        <v>5.0000000000000001E-4</v>
      </c>
      <c r="K3" s="191">
        <v>0.13700000000000001</v>
      </c>
      <c r="L3" s="191">
        <v>4.4999999999999998E-2</v>
      </c>
      <c r="M3" s="191">
        <v>-4.0000000000000001E-3</v>
      </c>
      <c r="N3" s="195" t="s">
        <v>114</v>
      </c>
      <c r="O3" s="191">
        <v>119.95</v>
      </c>
      <c r="P3" s="191">
        <v>1.55</v>
      </c>
      <c r="Q3" s="192">
        <v>0.17570801</v>
      </c>
      <c r="R3" s="187">
        <v>2.2705099999999999E-3</v>
      </c>
      <c r="S3" s="187"/>
    </row>
    <row r="4" spans="1:19" ht="16">
      <c r="A4" s="187" t="s">
        <v>1716</v>
      </c>
      <c r="B4" s="196" t="s">
        <v>1717</v>
      </c>
      <c r="C4" s="187">
        <v>0.5</v>
      </c>
      <c r="D4" s="187">
        <v>48</v>
      </c>
      <c r="E4" s="187">
        <v>6</v>
      </c>
      <c r="F4" s="187">
        <v>32</v>
      </c>
      <c r="G4" s="197" t="s">
        <v>1718</v>
      </c>
      <c r="H4" s="187">
        <v>4.0000000000000002E-4</v>
      </c>
      <c r="I4" s="187">
        <v>-30.693100000000001</v>
      </c>
      <c r="J4" s="187">
        <v>8.9999999999999998E-4</v>
      </c>
      <c r="K4" s="187">
        <v>0.18</v>
      </c>
      <c r="L4" s="187">
        <v>5.5E-2</v>
      </c>
      <c r="M4" s="187">
        <v>-5.4999999999999997E-3</v>
      </c>
      <c r="N4" s="198" t="s">
        <v>1719</v>
      </c>
      <c r="O4" s="187">
        <v>119.5</v>
      </c>
      <c r="P4" s="187">
        <v>0.73</v>
      </c>
      <c r="Q4" s="187">
        <v>0.17504882999999999</v>
      </c>
      <c r="R4" s="187">
        <v>1.06934E-3</v>
      </c>
      <c r="S4" s="187"/>
    </row>
    <row r="5" spans="1:19" ht="16">
      <c r="A5" s="188" t="s">
        <v>1720</v>
      </c>
      <c r="B5" s="189" t="s">
        <v>1721</v>
      </c>
      <c r="C5" s="188">
        <v>0</v>
      </c>
      <c r="D5" s="187">
        <v>48</v>
      </c>
      <c r="E5" s="187">
        <v>6</v>
      </c>
      <c r="F5" s="187">
        <v>32</v>
      </c>
      <c r="G5" s="190">
        <v>8.0937999999999999</v>
      </c>
      <c r="H5" s="191">
        <v>5.9999999999999995E-4</v>
      </c>
      <c r="I5" s="190">
        <v>-57.253999999999998</v>
      </c>
      <c r="J5" s="191">
        <v>6.9999999999999999E-4</v>
      </c>
      <c r="K5" s="191">
        <v>0.06</v>
      </c>
      <c r="L5" s="191">
        <v>3.5000000000000003E-2</v>
      </c>
      <c r="M5" s="191">
        <v>-2.8E-3</v>
      </c>
      <c r="N5" s="191">
        <v>2.9999999999999997E-4</v>
      </c>
      <c r="O5" s="191">
        <v>120.58</v>
      </c>
      <c r="P5" s="191">
        <v>0.68</v>
      </c>
      <c r="Q5" s="188">
        <v>0.17663086</v>
      </c>
      <c r="R5" s="187">
        <v>9.9609000000000004E-4</v>
      </c>
      <c r="S5" s="187"/>
    </row>
    <row r="6" spans="1:19" ht="16">
      <c r="A6" s="192" t="s">
        <v>1720</v>
      </c>
      <c r="B6" s="193" t="s">
        <v>1721</v>
      </c>
      <c r="C6" s="192">
        <v>0.25</v>
      </c>
      <c r="D6" s="187">
        <v>48</v>
      </c>
      <c r="E6" s="187">
        <v>6</v>
      </c>
      <c r="F6" s="187">
        <v>32</v>
      </c>
      <c r="G6" s="194">
        <v>6.1406000000000001</v>
      </c>
      <c r="H6" s="187">
        <v>2.9999999999999997E-4</v>
      </c>
      <c r="I6" s="192">
        <v>-43.859499999999997</v>
      </c>
      <c r="J6" s="187">
        <v>1.1000000000000001E-3</v>
      </c>
      <c r="K6" s="187">
        <v>6.3E-2</v>
      </c>
      <c r="L6" s="187">
        <v>1.7999999999999999E-2</v>
      </c>
      <c r="M6" s="187">
        <v>-3.8999999999999998E-3</v>
      </c>
      <c r="N6" s="198" t="s">
        <v>1722</v>
      </c>
      <c r="O6" s="187">
        <v>120.24</v>
      </c>
      <c r="P6" s="187">
        <v>0.12</v>
      </c>
      <c r="Q6" s="192">
        <v>0.17613281</v>
      </c>
      <c r="R6" s="187">
        <v>1.7578E-4</v>
      </c>
      <c r="S6" s="187"/>
    </row>
    <row r="7" spans="1:19" ht="16">
      <c r="A7" s="187" t="s">
        <v>1720</v>
      </c>
      <c r="B7" s="196" t="s">
        <v>1721</v>
      </c>
      <c r="C7" s="187">
        <v>0.5</v>
      </c>
      <c r="D7" s="187">
        <v>48</v>
      </c>
      <c r="E7" s="187">
        <v>6</v>
      </c>
      <c r="F7" s="187">
        <v>32</v>
      </c>
      <c r="G7" s="191">
        <v>4.2165999999999997</v>
      </c>
      <c r="H7" s="187">
        <v>4.0000000000000002E-4</v>
      </c>
      <c r="I7" s="187">
        <v>-30.783999999999999</v>
      </c>
      <c r="J7" s="187">
        <v>1.1000000000000001E-3</v>
      </c>
      <c r="K7" s="187">
        <v>4.2000000000000003E-2</v>
      </c>
      <c r="L7" s="187">
        <v>5.3999999999999999E-2</v>
      </c>
      <c r="M7" s="187">
        <v>-5.5999999999999999E-3</v>
      </c>
      <c r="N7" s="198" t="s">
        <v>1722</v>
      </c>
      <c r="O7" s="187">
        <v>118.24</v>
      </c>
      <c r="P7" s="187">
        <v>0.31</v>
      </c>
      <c r="Q7" s="187">
        <v>0.17320313000000001</v>
      </c>
      <c r="R7" s="187">
        <v>4.5409999999999998E-4</v>
      </c>
      <c r="S7" s="187"/>
    </row>
    <row r="8" spans="1:19" ht="16">
      <c r="A8" s="188" t="s">
        <v>1723</v>
      </c>
      <c r="B8" s="189" t="s">
        <v>1724</v>
      </c>
      <c r="C8" s="188">
        <v>0</v>
      </c>
      <c r="D8" s="187">
        <v>48</v>
      </c>
      <c r="E8" s="187">
        <v>6</v>
      </c>
      <c r="F8" s="187">
        <v>32</v>
      </c>
      <c r="G8" s="190">
        <v>8.0937999999999999</v>
      </c>
      <c r="H8" s="191">
        <v>5.9999999999999995E-4</v>
      </c>
      <c r="I8" s="190">
        <v>-57.253999999999998</v>
      </c>
      <c r="J8" s="191">
        <v>6.9999999999999999E-4</v>
      </c>
      <c r="K8" s="191">
        <v>0.06</v>
      </c>
      <c r="L8" s="191">
        <v>3.5000000000000003E-2</v>
      </c>
      <c r="M8" s="191">
        <v>-2.8E-3</v>
      </c>
      <c r="N8" s="191">
        <v>2.9999999999999997E-4</v>
      </c>
      <c r="O8" s="191">
        <v>120.58</v>
      </c>
      <c r="P8" s="191">
        <v>0.68</v>
      </c>
      <c r="Q8" s="188">
        <v>0.17663086</v>
      </c>
      <c r="R8" s="187">
        <v>9.9609000000000004E-4</v>
      </c>
      <c r="S8" s="187"/>
    </row>
    <row r="9" spans="1:19" ht="16">
      <c r="A9" s="192" t="s">
        <v>1723</v>
      </c>
      <c r="B9" s="193" t="s">
        <v>1724</v>
      </c>
      <c r="C9" s="192">
        <v>0.25</v>
      </c>
      <c r="D9" s="187">
        <v>48</v>
      </c>
      <c r="E9" s="187">
        <v>6</v>
      </c>
      <c r="F9" s="187">
        <v>32</v>
      </c>
      <c r="G9" s="199">
        <v>6.1337999999999999</v>
      </c>
      <c r="H9" s="187">
        <v>4.0000000000000002E-4</v>
      </c>
      <c r="I9" s="192">
        <v>-43.888800000000003</v>
      </c>
      <c r="J9" s="187">
        <v>1.5E-3</v>
      </c>
      <c r="K9" s="187">
        <v>4.1000000000000002E-2</v>
      </c>
      <c r="L9" s="187">
        <v>2.9000000000000001E-2</v>
      </c>
      <c r="M9" s="187">
        <v>-3.7000000000000002E-3</v>
      </c>
      <c r="N9" s="198">
        <v>2.0000000000000001E-4</v>
      </c>
      <c r="O9" s="187">
        <v>120.38</v>
      </c>
      <c r="P9" s="187">
        <v>0.32</v>
      </c>
      <c r="Q9" s="192">
        <v>0.17633789</v>
      </c>
      <c r="R9" s="187">
        <v>4.6874999999999998E-4</v>
      </c>
      <c r="S9" s="187"/>
    </row>
    <row r="10" spans="1:19" ht="16">
      <c r="A10" s="187" t="s">
        <v>1723</v>
      </c>
      <c r="B10" s="196" t="s">
        <v>1724</v>
      </c>
      <c r="C10" s="187">
        <v>0.5</v>
      </c>
      <c r="D10" s="187">
        <v>48</v>
      </c>
      <c r="E10" s="187">
        <v>6</v>
      </c>
      <c r="F10" s="187">
        <v>32</v>
      </c>
      <c r="G10" s="191">
        <v>4.2004999999999999</v>
      </c>
      <c r="H10" s="187">
        <v>2.0000000000000001E-4</v>
      </c>
      <c r="I10" s="187">
        <v>-30.828800000000001</v>
      </c>
      <c r="J10" s="187">
        <v>1.1999999999999999E-3</v>
      </c>
      <c r="K10" s="187">
        <v>0.1</v>
      </c>
      <c r="L10" s="187">
        <v>4.5999999999999999E-2</v>
      </c>
      <c r="M10" s="187">
        <v>-5.5999999999999999E-3</v>
      </c>
      <c r="N10" s="198" t="s">
        <v>1722</v>
      </c>
      <c r="O10" s="187">
        <v>118.62</v>
      </c>
      <c r="P10" s="187">
        <v>0.19</v>
      </c>
      <c r="Q10" s="187">
        <v>0.17375977000000001</v>
      </c>
      <c r="R10" s="187">
        <v>2.7831999999999998E-4</v>
      </c>
      <c r="S10" s="187"/>
    </row>
    <row r="11" spans="1:19" ht="16">
      <c r="A11" s="188" t="s">
        <v>1725</v>
      </c>
      <c r="B11" s="189" t="s">
        <v>1726</v>
      </c>
      <c r="C11" s="188">
        <v>0</v>
      </c>
      <c r="D11" s="187">
        <v>48</v>
      </c>
      <c r="E11" s="187">
        <v>6</v>
      </c>
      <c r="F11" s="187">
        <v>32</v>
      </c>
      <c r="G11" s="190">
        <v>8.0937999999999999</v>
      </c>
      <c r="H11" s="191">
        <v>5.9999999999999995E-4</v>
      </c>
      <c r="I11" s="190">
        <v>-57.253999999999998</v>
      </c>
      <c r="J11" s="191">
        <v>6.9999999999999999E-4</v>
      </c>
      <c r="K11" s="191">
        <v>0.06</v>
      </c>
      <c r="L11" s="191">
        <v>3.5000000000000003E-2</v>
      </c>
      <c r="M11" s="191">
        <v>-2.8E-3</v>
      </c>
      <c r="N11" s="191">
        <v>2.9999999999999997E-4</v>
      </c>
      <c r="O11" s="191">
        <v>120.58</v>
      </c>
      <c r="P11" s="191">
        <v>0.68</v>
      </c>
      <c r="Q11" s="188">
        <v>0.17663086</v>
      </c>
      <c r="R11" s="187">
        <v>9.9609000000000004E-4</v>
      </c>
      <c r="S11" s="187"/>
    </row>
    <row r="12" spans="1:19" ht="16">
      <c r="A12" s="192" t="s">
        <v>1725</v>
      </c>
      <c r="B12" s="193" t="s">
        <v>1726</v>
      </c>
      <c r="C12" s="192">
        <v>0.25</v>
      </c>
      <c r="D12" s="187">
        <v>48</v>
      </c>
      <c r="E12" s="187">
        <v>6</v>
      </c>
      <c r="F12" s="187">
        <v>32</v>
      </c>
      <c r="G12" s="199">
        <v>6.1292999999999997</v>
      </c>
      <c r="H12" s="187">
        <v>2.0000000000000001E-4</v>
      </c>
      <c r="I12" s="192">
        <v>-43.914999999999999</v>
      </c>
      <c r="J12" s="187">
        <v>1.1999999999999999E-3</v>
      </c>
      <c r="K12" s="187">
        <v>0.109</v>
      </c>
      <c r="L12" s="187">
        <v>4.1000000000000002E-2</v>
      </c>
      <c r="M12" s="187">
        <v>-3.7000000000000002E-3</v>
      </c>
      <c r="N12" s="198" t="s">
        <v>1727</v>
      </c>
      <c r="O12" s="187">
        <v>120.65</v>
      </c>
      <c r="P12" s="187">
        <v>0.22</v>
      </c>
      <c r="Q12" s="192">
        <v>0.17673340000000001</v>
      </c>
      <c r="R12" s="187">
        <v>3.2226999999999999E-4</v>
      </c>
      <c r="S12" s="187"/>
    </row>
    <row r="13" spans="1:19" ht="16">
      <c r="A13" s="187" t="s">
        <v>1725</v>
      </c>
      <c r="B13" s="196" t="s">
        <v>1726</v>
      </c>
      <c r="C13" s="187">
        <v>0.5</v>
      </c>
      <c r="D13" s="187">
        <v>48</v>
      </c>
      <c r="E13" s="187">
        <v>6</v>
      </c>
      <c r="F13" s="187">
        <v>32</v>
      </c>
      <c r="G13" s="191">
        <v>4.1947000000000001</v>
      </c>
      <c r="H13" s="187">
        <v>2.9999999999999997E-4</v>
      </c>
      <c r="I13" s="187">
        <v>-30.846900000000002</v>
      </c>
      <c r="J13" s="187">
        <v>2.8E-3</v>
      </c>
      <c r="K13" s="187">
        <v>0.10100000000000001</v>
      </c>
      <c r="L13" s="187">
        <v>2.5000000000000001E-2</v>
      </c>
      <c r="M13" s="187">
        <v>-5.7000000000000002E-3</v>
      </c>
      <c r="N13" s="198" t="s">
        <v>273</v>
      </c>
      <c r="O13" s="187">
        <v>119.24</v>
      </c>
      <c r="P13" s="187">
        <v>0.62</v>
      </c>
      <c r="Q13" s="187">
        <v>0.17466797000000001</v>
      </c>
      <c r="R13" s="187">
        <v>9.0819999999999996E-4</v>
      </c>
      <c r="S13" s="187"/>
    </row>
    <row r="14" spans="1:19" ht="16">
      <c r="A14" s="187"/>
      <c r="B14" s="196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</row>
    <row r="15" spans="1:19" ht="16">
      <c r="A15" s="187"/>
      <c r="B15" s="196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</row>
    <row r="16" spans="1:19" ht="16">
      <c r="A16" s="187"/>
      <c r="B16" s="196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</row>
    <row r="17" spans="1:19" ht="16">
      <c r="A17" s="187"/>
      <c r="B17" s="196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</row>
    <row r="18" spans="1:19" ht="16">
      <c r="A18" s="187"/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</row>
    <row r="19" spans="1:19" ht="16">
      <c r="A19" s="187"/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</row>
    <row r="20" spans="1:19" ht="16">
      <c r="A20" s="188" t="s">
        <v>1716</v>
      </c>
      <c r="B20" s="189" t="s">
        <v>1728</v>
      </c>
      <c r="C20" s="188">
        <v>0</v>
      </c>
      <c r="D20" s="187">
        <v>48</v>
      </c>
      <c r="E20" s="187">
        <v>42</v>
      </c>
      <c r="F20" s="187">
        <v>32</v>
      </c>
      <c r="G20" s="190">
        <v>8.0937999999999999</v>
      </c>
      <c r="H20" s="191">
        <v>5.9999999999999995E-4</v>
      </c>
      <c r="I20" s="190">
        <v>-57.253999999999998</v>
      </c>
      <c r="J20" s="191">
        <v>6.9999999999999999E-4</v>
      </c>
      <c r="K20" s="191">
        <v>0.06</v>
      </c>
      <c r="L20" s="191">
        <v>3.5000000000000003E-2</v>
      </c>
      <c r="M20" s="191">
        <v>-2.8E-3</v>
      </c>
      <c r="N20" s="191">
        <v>2.9999999999999997E-4</v>
      </c>
      <c r="O20" s="191">
        <v>120.58</v>
      </c>
      <c r="P20" s="191">
        <v>0.68</v>
      </c>
      <c r="Q20" s="188">
        <v>0.17663086</v>
      </c>
      <c r="R20" s="187">
        <v>9.9609000000000004E-4</v>
      </c>
      <c r="S20" s="187"/>
    </row>
    <row r="21" spans="1:19" ht="16">
      <c r="A21" s="192" t="s">
        <v>1716</v>
      </c>
      <c r="B21" s="193" t="s">
        <v>1728</v>
      </c>
      <c r="C21" s="192">
        <v>0.25</v>
      </c>
      <c r="D21" s="187">
        <v>48</v>
      </c>
      <c r="E21" s="187">
        <v>42</v>
      </c>
      <c r="F21" s="187">
        <v>32</v>
      </c>
      <c r="G21" s="192">
        <v>9.0478000000000005</v>
      </c>
      <c r="H21" s="187">
        <v>2.0000000000000001E-4</v>
      </c>
      <c r="I21" s="192">
        <v>-67.522400000000005</v>
      </c>
      <c r="J21" s="187">
        <v>1E-3</v>
      </c>
      <c r="K21" s="187">
        <v>0.17100000000000001</v>
      </c>
      <c r="L21" s="187">
        <v>4.1000000000000002E-2</v>
      </c>
      <c r="M21" s="187">
        <v>-3.2000000000000002E-3</v>
      </c>
      <c r="N21" s="198" t="s">
        <v>1722</v>
      </c>
      <c r="O21" s="187">
        <v>114.53</v>
      </c>
      <c r="P21" s="187">
        <v>0.19</v>
      </c>
      <c r="Q21" s="192">
        <v>0.16776854999999999</v>
      </c>
      <c r="R21" s="187">
        <v>2.7831999999999998E-4</v>
      </c>
      <c r="S21" s="187"/>
    </row>
    <row r="22" spans="1:19" ht="16">
      <c r="A22" s="187" t="s">
        <v>1716</v>
      </c>
      <c r="B22" s="196" t="s">
        <v>1728</v>
      </c>
      <c r="C22" s="187">
        <v>0.5</v>
      </c>
      <c r="D22" s="187">
        <v>48</v>
      </c>
      <c r="E22" s="187">
        <v>42</v>
      </c>
      <c r="F22" s="187">
        <v>32</v>
      </c>
      <c r="G22" s="191">
        <v>9.9727999999999994</v>
      </c>
      <c r="H22" s="187">
        <v>1.6999999999999999E-3</v>
      </c>
      <c r="I22" s="187">
        <v>-79.818299999999994</v>
      </c>
      <c r="J22" s="187">
        <v>3.7000000000000002E-3</v>
      </c>
      <c r="K22" s="187">
        <v>9.7000000000000003E-2</v>
      </c>
      <c r="L22" s="187">
        <v>6.5000000000000002E-2</v>
      </c>
      <c r="M22" s="187">
        <v>-4.4999999999999997E-3</v>
      </c>
      <c r="N22" s="187">
        <v>0</v>
      </c>
      <c r="O22" s="187">
        <v>92.29</v>
      </c>
      <c r="P22" s="187">
        <v>0.82</v>
      </c>
      <c r="Q22" s="187">
        <v>0.13519043</v>
      </c>
      <c r="R22" s="187">
        <v>1.2011700000000001E-3</v>
      </c>
      <c r="S22" s="187"/>
    </row>
    <row r="23" spans="1:19" ht="16">
      <c r="A23" s="188" t="s">
        <v>1720</v>
      </c>
      <c r="B23" s="189" t="s">
        <v>1729</v>
      </c>
      <c r="C23" s="188">
        <v>0</v>
      </c>
      <c r="D23" s="187">
        <v>48</v>
      </c>
      <c r="E23" s="187">
        <v>42</v>
      </c>
      <c r="F23" s="187">
        <v>32</v>
      </c>
      <c r="G23" s="190">
        <v>8.0937999999999999</v>
      </c>
      <c r="H23" s="191">
        <v>5.9999999999999995E-4</v>
      </c>
      <c r="I23" s="190">
        <v>-57.253999999999998</v>
      </c>
      <c r="J23" s="191">
        <v>6.9999999999999999E-4</v>
      </c>
      <c r="K23" s="191">
        <v>0.06</v>
      </c>
      <c r="L23" s="191">
        <v>3.5000000000000003E-2</v>
      </c>
      <c r="M23" s="191">
        <v>-2.8E-3</v>
      </c>
      <c r="N23" s="191">
        <v>2.9999999999999997E-4</v>
      </c>
      <c r="O23" s="191">
        <v>120.58</v>
      </c>
      <c r="P23" s="191">
        <v>0.68</v>
      </c>
      <c r="Q23" s="188">
        <v>0.17663086</v>
      </c>
      <c r="R23" s="187">
        <v>9.9609000000000004E-4</v>
      </c>
      <c r="S23" s="187"/>
    </row>
    <row r="24" spans="1:19" ht="16">
      <c r="A24" s="192" t="s">
        <v>1720</v>
      </c>
      <c r="B24" s="193" t="s">
        <v>1729</v>
      </c>
      <c r="C24" s="192">
        <v>0.25</v>
      </c>
      <c r="D24" s="187">
        <v>48</v>
      </c>
      <c r="E24" s="187">
        <v>42</v>
      </c>
      <c r="F24" s="187">
        <v>32</v>
      </c>
      <c r="G24" s="194">
        <v>9.1647999999999996</v>
      </c>
      <c r="H24" s="187">
        <v>1.2999999999999999E-3</v>
      </c>
      <c r="I24" s="192">
        <v>-65.936599999999999</v>
      </c>
      <c r="J24" s="187">
        <v>1.1599999999999999E-2</v>
      </c>
      <c r="K24" s="187">
        <v>9.4E-2</v>
      </c>
      <c r="L24" s="187">
        <v>2.1000000000000001E-2</v>
      </c>
      <c r="M24" s="187">
        <v>-2.8E-3</v>
      </c>
      <c r="N24" s="198" t="s">
        <v>1722</v>
      </c>
      <c r="O24" s="187">
        <v>117.04</v>
      </c>
      <c r="P24" s="187">
        <v>0.2</v>
      </c>
      <c r="Q24" s="192">
        <v>0.17144530999999999</v>
      </c>
      <c r="R24" s="187">
        <v>2.9296999999999998E-4</v>
      </c>
      <c r="S24" s="187"/>
    </row>
    <row r="25" spans="1:19" ht="16">
      <c r="A25" s="187" t="s">
        <v>1720</v>
      </c>
      <c r="B25" s="196" t="s">
        <v>1729</v>
      </c>
      <c r="C25" s="187">
        <v>0.5</v>
      </c>
      <c r="D25" s="187">
        <v>48</v>
      </c>
      <c r="E25" s="187">
        <v>42</v>
      </c>
      <c r="F25" s="187">
        <v>32</v>
      </c>
      <c r="G25" s="191">
        <v>10.2364</v>
      </c>
      <c r="H25" s="187">
        <v>8.0000000000000004E-4</v>
      </c>
      <c r="I25" s="187">
        <v>-75.727999999999994</v>
      </c>
      <c r="J25" s="187">
        <v>3.2000000000000002E-3</v>
      </c>
      <c r="K25" s="187">
        <v>0.125</v>
      </c>
      <c r="L25" s="187">
        <v>3.6999999999999998E-2</v>
      </c>
      <c r="M25" s="187">
        <v>-3.0000000000000001E-3</v>
      </c>
      <c r="N25" s="198" t="s">
        <v>1722</v>
      </c>
      <c r="O25" s="187">
        <v>109.11</v>
      </c>
      <c r="P25" s="187">
        <v>0.48</v>
      </c>
      <c r="Q25" s="187">
        <v>0.1598291</v>
      </c>
      <c r="R25" s="187">
        <v>7.0313000000000005E-4</v>
      </c>
      <c r="S25" s="187"/>
    </row>
    <row r="26" spans="1:19" ht="16">
      <c r="A26" s="200" t="s">
        <v>1720</v>
      </c>
      <c r="B26" s="201" t="s">
        <v>1729</v>
      </c>
      <c r="C26" s="200">
        <v>0.75</v>
      </c>
      <c r="D26" s="187">
        <v>48</v>
      </c>
      <c r="E26" s="187">
        <v>42</v>
      </c>
      <c r="F26" s="187">
        <v>32</v>
      </c>
      <c r="G26" s="202">
        <v>11.3233</v>
      </c>
      <c r="H26" s="187">
        <v>1.1999999999999999E-3</v>
      </c>
      <c r="I26" s="200">
        <v>-86.342500000000001</v>
      </c>
      <c r="J26" s="187">
        <v>9.4999999999999998E-3</v>
      </c>
      <c r="K26" s="187">
        <v>0.121</v>
      </c>
      <c r="L26" s="187">
        <v>5.2999999999999999E-2</v>
      </c>
      <c r="M26" s="187">
        <v>-3.5999999999999999E-3</v>
      </c>
      <c r="N26" s="198">
        <v>1E-4</v>
      </c>
      <c r="O26" s="187">
        <v>96.57</v>
      </c>
      <c r="P26" s="187">
        <v>0.42</v>
      </c>
      <c r="Q26" s="200">
        <v>0.14145996</v>
      </c>
      <c r="R26" s="187">
        <v>6.1523000000000003E-4</v>
      </c>
      <c r="S26" s="187"/>
    </row>
    <row r="27" spans="1:19" ht="16">
      <c r="A27" s="203" t="s">
        <v>1720</v>
      </c>
      <c r="B27" s="204" t="s">
        <v>1729</v>
      </c>
      <c r="C27" s="203">
        <v>1</v>
      </c>
      <c r="D27" s="187">
        <v>48</v>
      </c>
      <c r="E27" s="187">
        <v>42</v>
      </c>
      <c r="F27" s="187">
        <v>32</v>
      </c>
      <c r="G27" s="205">
        <v>12.4095</v>
      </c>
      <c r="H27" s="187">
        <v>5.9999999999999995E-4</v>
      </c>
      <c r="I27" s="203">
        <v>-97.743899999999996</v>
      </c>
      <c r="J27" s="187">
        <v>4.8999999999999998E-3</v>
      </c>
      <c r="K27" s="187">
        <v>0.14199999999999999</v>
      </c>
      <c r="L27" s="187">
        <v>6.5000000000000002E-2</v>
      </c>
      <c r="M27" s="187">
        <v>-3.7000000000000002E-3</v>
      </c>
      <c r="N27" s="198">
        <v>0</v>
      </c>
      <c r="O27" s="187">
        <v>84.05</v>
      </c>
      <c r="P27" s="187">
        <v>0.49</v>
      </c>
      <c r="Q27" s="203">
        <v>0.12312012</v>
      </c>
      <c r="R27" s="187">
        <v>7.1776999999999995E-4</v>
      </c>
      <c r="S27" s="187"/>
    </row>
    <row r="28" spans="1:19" ht="16">
      <c r="A28" s="188" t="s">
        <v>1723</v>
      </c>
      <c r="B28" s="189" t="s">
        <v>1730</v>
      </c>
      <c r="C28" s="188">
        <v>0</v>
      </c>
      <c r="D28" s="187">
        <v>48</v>
      </c>
      <c r="E28" s="187">
        <v>42</v>
      </c>
      <c r="F28" s="187">
        <v>32</v>
      </c>
      <c r="G28" s="190">
        <v>8.0937999999999999</v>
      </c>
      <c r="H28" s="191">
        <v>5.9999999999999995E-4</v>
      </c>
      <c r="I28" s="190">
        <v>-57.253999999999998</v>
      </c>
      <c r="J28" s="191">
        <v>6.9999999999999999E-4</v>
      </c>
      <c r="K28" s="191">
        <v>0.06</v>
      </c>
      <c r="L28" s="191">
        <v>3.5000000000000003E-2</v>
      </c>
      <c r="M28" s="191">
        <v>-2.8E-3</v>
      </c>
      <c r="N28" s="191">
        <v>2.9999999999999997E-4</v>
      </c>
      <c r="O28" s="191">
        <v>120.58</v>
      </c>
      <c r="P28" s="191">
        <v>0.68</v>
      </c>
      <c r="Q28" s="188">
        <v>0.17663086</v>
      </c>
      <c r="R28" s="187">
        <v>9.9609000000000004E-4</v>
      </c>
      <c r="S28" s="187"/>
    </row>
    <row r="29" spans="1:19" ht="16">
      <c r="A29" s="192" t="s">
        <v>1723</v>
      </c>
      <c r="B29" s="193" t="s">
        <v>1730</v>
      </c>
      <c r="C29" s="192">
        <v>0.25</v>
      </c>
      <c r="D29" s="187">
        <v>48</v>
      </c>
      <c r="E29" s="187">
        <v>42</v>
      </c>
      <c r="F29" s="187">
        <v>32</v>
      </c>
      <c r="G29" s="194">
        <v>9.2090999999999994</v>
      </c>
      <c r="H29" s="187">
        <v>6.9999999999999999E-4</v>
      </c>
      <c r="I29" s="192">
        <v>-65.422700000000006</v>
      </c>
      <c r="J29" s="187">
        <v>1E-3</v>
      </c>
      <c r="K29" s="187">
        <v>9.4E-2</v>
      </c>
      <c r="L29" s="187">
        <v>3.4000000000000002E-2</v>
      </c>
      <c r="M29" s="187">
        <v>-2.5999999999999999E-3</v>
      </c>
      <c r="N29" s="198" t="s">
        <v>1722</v>
      </c>
      <c r="O29" s="187">
        <v>117.67</v>
      </c>
      <c r="P29" s="187">
        <v>0.42</v>
      </c>
      <c r="Q29" s="192">
        <v>0.17236815999999999</v>
      </c>
      <c r="R29" s="187">
        <v>6.1523000000000003E-4</v>
      </c>
      <c r="S29" s="187"/>
    </row>
    <row r="30" spans="1:19" ht="16">
      <c r="A30" s="187" t="s">
        <v>1723</v>
      </c>
      <c r="B30" s="196" t="s">
        <v>1730</v>
      </c>
      <c r="C30" s="187">
        <v>0.5</v>
      </c>
      <c r="D30" s="187">
        <v>48</v>
      </c>
      <c r="E30" s="187">
        <v>42</v>
      </c>
      <c r="F30" s="187">
        <v>32</v>
      </c>
      <c r="G30" s="206">
        <v>10.3332</v>
      </c>
      <c r="H30" s="187">
        <v>8.9999999999999998E-4</v>
      </c>
      <c r="I30" s="187">
        <v>-74.508600000000001</v>
      </c>
      <c r="J30" s="187">
        <v>1.8E-3</v>
      </c>
      <c r="K30" s="187">
        <v>0.06</v>
      </c>
      <c r="L30" s="187">
        <v>7.3999999999999996E-2</v>
      </c>
      <c r="M30" s="187">
        <v>-2.5999999999999999E-3</v>
      </c>
      <c r="N30" s="198" t="s">
        <v>1731</v>
      </c>
      <c r="O30" s="187">
        <v>111.82</v>
      </c>
      <c r="P30" s="187">
        <v>0.4</v>
      </c>
      <c r="Q30" s="187">
        <v>0.16379883000000001</v>
      </c>
      <c r="R30" s="187">
        <v>5.8593999999999996E-4</v>
      </c>
      <c r="S30" s="187"/>
    </row>
    <row r="31" spans="1:19" ht="16">
      <c r="A31" s="200" t="s">
        <v>1723</v>
      </c>
      <c r="B31" s="201" t="s">
        <v>1730</v>
      </c>
      <c r="C31" s="200">
        <v>0.75</v>
      </c>
      <c r="D31" s="187">
        <v>48</v>
      </c>
      <c r="E31" s="187">
        <v>42</v>
      </c>
      <c r="F31" s="187">
        <v>32</v>
      </c>
      <c r="G31" s="202">
        <v>11.485099999999999</v>
      </c>
      <c r="H31" s="187">
        <v>1.6000000000000001E-3</v>
      </c>
      <c r="I31" s="200">
        <v>-84.1464</v>
      </c>
      <c r="J31" s="187">
        <v>8.8000000000000005E-3</v>
      </c>
      <c r="K31" s="187">
        <v>0.06</v>
      </c>
      <c r="L31" s="187">
        <v>0.01</v>
      </c>
      <c r="M31" s="187">
        <v>-2.7000000000000001E-3</v>
      </c>
      <c r="N31" s="198" t="s">
        <v>1722</v>
      </c>
      <c r="O31" s="187">
        <v>104.44</v>
      </c>
      <c r="P31" s="187">
        <v>0.4</v>
      </c>
      <c r="Q31" s="200">
        <v>0.15298828</v>
      </c>
      <c r="R31" s="187">
        <v>5.8593999999999996E-4</v>
      </c>
      <c r="S31" s="187"/>
    </row>
    <row r="32" spans="1:19" ht="16">
      <c r="A32" s="203" t="s">
        <v>1723</v>
      </c>
      <c r="B32" s="204" t="s">
        <v>1730</v>
      </c>
      <c r="C32" s="203">
        <v>1</v>
      </c>
      <c r="D32" s="187">
        <v>48</v>
      </c>
      <c r="E32" s="187">
        <v>42</v>
      </c>
      <c r="F32" s="187">
        <v>32</v>
      </c>
      <c r="G32" s="205">
        <v>12.664199999999999</v>
      </c>
      <c r="H32" s="187">
        <v>5.9999999999999995E-4</v>
      </c>
      <c r="I32" s="203">
        <v>-94.160200000000003</v>
      </c>
      <c r="J32" s="187">
        <v>2.2000000000000001E-3</v>
      </c>
      <c r="K32" s="187">
        <v>9.9000000000000005E-2</v>
      </c>
      <c r="L32" s="187">
        <v>8.0000000000000002E-3</v>
      </c>
      <c r="M32" s="187">
        <v>-2.8E-3</v>
      </c>
      <c r="N32" s="198">
        <v>1E-4</v>
      </c>
      <c r="O32" s="187">
        <v>97.94</v>
      </c>
      <c r="P32" s="187">
        <v>0.39</v>
      </c>
      <c r="Q32" s="203">
        <v>0.14346680000000001</v>
      </c>
      <c r="R32" s="187">
        <v>5.7129000000000001E-4</v>
      </c>
      <c r="S32" s="187"/>
    </row>
    <row r="33" spans="1:19" ht="16">
      <c r="A33" s="188" t="s">
        <v>1725</v>
      </c>
      <c r="B33" s="189" t="s">
        <v>1732</v>
      </c>
      <c r="C33" s="188">
        <v>0</v>
      </c>
      <c r="D33" s="187">
        <v>48</v>
      </c>
      <c r="E33" s="187">
        <v>42</v>
      </c>
      <c r="F33" s="187">
        <v>32</v>
      </c>
      <c r="G33" s="190">
        <v>8.0937999999999999</v>
      </c>
      <c r="H33" s="191">
        <v>5.9999999999999995E-4</v>
      </c>
      <c r="I33" s="190">
        <v>-57.253999999999998</v>
      </c>
      <c r="J33" s="191">
        <v>6.9999999999999999E-4</v>
      </c>
      <c r="K33" s="191">
        <v>0.06</v>
      </c>
      <c r="L33" s="191">
        <v>3.5000000000000003E-2</v>
      </c>
      <c r="M33" s="191">
        <v>-2.8E-3</v>
      </c>
      <c r="N33" s="191">
        <v>2.9999999999999997E-4</v>
      </c>
      <c r="O33" s="191">
        <v>120.58</v>
      </c>
      <c r="P33" s="191">
        <v>0.68</v>
      </c>
      <c r="Q33" s="188">
        <v>0.17663086</v>
      </c>
      <c r="R33" s="187">
        <v>9.9609000000000004E-4</v>
      </c>
      <c r="S33" s="187"/>
    </row>
    <row r="34" spans="1:19" ht="16">
      <c r="A34" s="192" t="s">
        <v>1725</v>
      </c>
      <c r="B34" s="193" t="s">
        <v>1732</v>
      </c>
      <c r="C34" s="192">
        <v>0.25</v>
      </c>
      <c r="D34" s="187">
        <v>48</v>
      </c>
      <c r="E34" s="187">
        <v>42</v>
      </c>
      <c r="F34" s="187">
        <v>32</v>
      </c>
      <c r="G34" s="194">
        <v>9.2247000000000003</v>
      </c>
      <c r="H34" s="187">
        <v>5.9999999999999995E-4</v>
      </c>
      <c r="I34" s="192">
        <v>-65.244299999999996</v>
      </c>
      <c r="J34" s="187">
        <v>2.9999999999999997E-4</v>
      </c>
      <c r="K34" s="187">
        <v>6.8000000000000005E-2</v>
      </c>
      <c r="L34" s="187">
        <v>1.7999999999999999E-2</v>
      </c>
      <c r="M34" s="187">
        <v>-2.5000000000000001E-3</v>
      </c>
      <c r="N34" s="198" t="s">
        <v>1722</v>
      </c>
      <c r="O34" s="187">
        <v>117.83</v>
      </c>
      <c r="P34" s="187">
        <v>0.43</v>
      </c>
      <c r="Q34" s="192">
        <v>0.17260254</v>
      </c>
      <c r="R34" s="187">
        <v>6.2987999999999998E-4</v>
      </c>
      <c r="S34" s="187"/>
    </row>
    <row r="35" spans="1:19" ht="16">
      <c r="A35" s="187" t="s">
        <v>1725</v>
      </c>
      <c r="B35" s="196" t="s">
        <v>1732</v>
      </c>
      <c r="C35" s="187">
        <v>0.5</v>
      </c>
      <c r="D35" s="187">
        <v>48</v>
      </c>
      <c r="E35" s="187">
        <v>42</v>
      </c>
      <c r="F35" s="187">
        <v>32</v>
      </c>
      <c r="G35" s="206">
        <v>10.369400000000001</v>
      </c>
      <c r="H35" s="187">
        <v>1E-3</v>
      </c>
      <c r="I35" s="187">
        <v>-74.086399999999998</v>
      </c>
      <c r="J35" s="187">
        <v>2.2000000000000001E-3</v>
      </c>
      <c r="K35" s="187">
        <v>3.3000000000000002E-2</v>
      </c>
      <c r="L35" s="187">
        <v>5.7000000000000002E-2</v>
      </c>
      <c r="M35" s="187">
        <v>-2.5999999999999999E-3</v>
      </c>
      <c r="N35" s="198" t="s">
        <v>1722</v>
      </c>
      <c r="O35" s="187">
        <v>111.85</v>
      </c>
      <c r="P35" s="187">
        <v>0.48</v>
      </c>
      <c r="Q35" s="187">
        <v>0.16384277</v>
      </c>
      <c r="R35" s="187">
        <v>7.0313000000000005E-4</v>
      </c>
      <c r="S35" s="187"/>
    </row>
    <row r="36" spans="1:19" ht="16">
      <c r="A36" s="200" t="s">
        <v>1725</v>
      </c>
      <c r="B36" s="201" t="s">
        <v>1732</v>
      </c>
      <c r="C36" s="200">
        <v>0.75</v>
      </c>
      <c r="D36" s="187">
        <v>48</v>
      </c>
      <c r="E36" s="187">
        <v>42</v>
      </c>
      <c r="F36" s="187">
        <v>32</v>
      </c>
      <c r="G36" s="200">
        <v>11.545500000000001</v>
      </c>
      <c r="H36" s="187">
        <v>5.9999999999999995E-4</v>
      </c>
      <c r="I36" s="200">
        <v>-83.408500000000004</v>
      </c>
      <c r="J36" s="187">
        <v>2E-3</v>
      </c>
      <c r="K36" s="187">
        <v>6.6000000000000003E-2</v>
      </c>
      <c r="L36" s="187">
        <v>2.5000000000000001E-2</v>
      </c>
      <c r="M36" s="187">
        <v>-2.5000000000000001E-3</v>
      </c>
      <c r="N36" s="198" t="s">
        <v>1722</v>
      </c>
      <c r="O36" s="187">
        <v>106.15</v>
      </c>
      <c r="P36" s="187">
        <v>0.19</v>
      </c>
      <c r="Q36" s="200">
        <v>0.15549315999999999</v>
      </c>
      <c r="R36" s="187">
        <v>2.7831999999999998E-4</v>
      </c>
      <c r="S36" s="187"/>
    </row>
    <row r="37" spans="1:19" ht="16">
      <c r="A37" s="203" t="s">
        <v>1725</v>
      </c>
      <c r="B37" s="204" t="s">
        <v>1732</v>
      </c>
      <c r="C37" s="203">
        <v>1</v>
      </c>
      <c r="D37" s="187">
        <v>48</v>
      </c>
      <c r="E37" s="187">
        <v>42</v>
      </c>
      <c r="F37" s="187">
        <v>32</v>
      </c>
      <c r="G37" s="205">
        <v>12.7501</v>
      </c>
      <c r="H37" s="187">
        <v>1.1000000000000001E-3</v>
      </c>
      <c r="I37" s="203">
        <v>-93.038600000000002</v>
      </c>
      <c r="J37" s="187">
        <v>6.9999999999999999E-4</v>
      </c>
      <c r="K37" s="187">
        <v>6.6000000000000003E-2</v>
      </c>
      <c r="L37" s="191">
        <v>7.0000000000000007E-2</v>
      </c>
      <c r="M37" s="187">
        <v>-2.3E-3</v>
      </c>
      <c r="N37" s="198" t="s">
        <v>1722</v>
      </c>
      <c r="O37" s="187">
        <v>102.07</v>
      </c>
      <c r="P37" s="187">
        <v>0.9</v>
      </c>
      <c r="Q37" s="203">
        <v>0.1495166</v>
      </c>
      <c r="R37" s="187">
        <v>1.31836E-3</v>
      </c>
      <c r="S37" s="187"/>
    </row>
    <row r="38" spans="1:19" ht="16">
      <c r="A38" s="187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CBFA-27F7-A041-B22B-4D6544C79029}">
  <dimension ref="A1:S38"/>
  <sheetViews>
    <sheetView tabSelected="1" zoomScale="68" workbookViewId="0">
      <selection activeCell="M24" sqref="M22:M24"/>
    </sheetView>
  </sheetViews>
  <sheetFormatPr baseColWidth="10" defaultRowHeight="15"/>
  <sheetData>
    <row r="1" spans="1:19" ht="17" thickBot="1">
      <c r="A1" s="181" t="s">
        <v>0</v>
      </c>
      <c r="B1" s="182" t="s">
        <v>1</v>
      </c>
      <c r="C1" s="182" t="s">
        <v>3</v>
      </c>
      <c r="D1" s="182" t="s">
        <v>4</v>
      </c>
      <c r="E1" s="182" t="s">
        <v>5</v>
      </c>
      <c r="F1" s="182" t="s">
        <v>6</v>
      </c>
      <c r="G1" s="183" t="s">
        <v>1712</v>
      </c>
      <c r="H1" s="183" t="s">
        <v>1713</v>
      </c>
      <c r="I1" s="184" t="s">
        <v>7</v>
      </c>
      <c r="J1" s="183" t="s">
        <v>1713</v>
      </c>
      <c r="K1" s="183" t="s">
        <v>8</v>
      </c>
      <c r="L1" s="183" t="s">
        <v>1713</v>
      </c>
      <c r="M1" s="183" t="s">
        <v>9</v>
      </c>
      <c r="N1" s="183" t="s">
        <v>1713</v>
      </c>
      <c r="O1" s="183" t="s">
        <v>10</v>
      </c>
      <c r="P1" s="183" t="s">
        <v>1713</v>
      </c>
      <c r="Q1" s="185" t="s">
        <v>11</v>
      </c>
      <c r="R1" s="186" t="s">
        <v>1713</v>
      </c>
      <c r="S1" s="187"/>
    </row>
    <row r="2" spans="1:19" ht="16">
      <c r="A2" s="212"/>
      <c r="B2" s="213" t="s">
        <v>1733</v>
      </c>
      <c r="C2" s="212">
        <v>0.25</v>
      </c>
      <c r="D2" s="187">
        <v>96</v>
      </c>
      <c r="E2" s="187">
        <v>12</v>
      </c>
      <c r="F2" s="187">
        <v>44</v>
      </c>
      <c r="G2" s="216">
        <f>6.6124</f>
        <v>6.6124000000000001</v>
      </c>
      <c r="H2" s="191">
        <v>2.9999999999999997E-4</v>
      </c>
      <c r="I2" s="216">
        <f>-48.3261</f>
        <v>-48.326099999999997</v>
      </c>
      <c r="J2" s="191">
        <f>0.002</f>
        <v>2E-3</v>
      </c>
      <c r="K2" s="191">
        <v>0.157</v>
      </c>
      <c r="L2" s="191">
        <v>6.0999999999999999E-2</v>
      </c>
      <c r="M2" s="191">
        <v>-2.7000000000000001E-3</v>
      </c>
      <c r="N2" s="191">
        <v>1E-4</v>
      </c>
      <c r="O2" s="191">
        <v>121.17</v>
      </c>
      <c r="P2" s="191">
        <v>0.19</v>
      </c>
      <c r="Q2" s="212">
        <v>0.13655522</v>
      </c>
      <c r="R2" s="187">
        <v>2.1411999999999999E-4</v>
      </c>
      <c r="S2" s="187"/>
    </row>
    <row r="3" spans="1:19" ht="16">
      <c r="A3" s="212"/>
      <c r="B3" s="213" t="s">
        <v>1734</v>
      </c>
      <c r="C3" s="212">
        <v>0.25</v>
      </c>
      <c r="D3" s="187">
        <v>96</v>
      </c>
      <c r="E3" s="187">
        <v>12</v>
      </c>
      <c r="F3" s="187">
        <v>44</v>
      </c>
      <c r="G3" s="216">
        <f>6.5902</f>
        <v>6.5902000000000003</v>
      </c>
      <c r="H3" s="191">
        <v>2.9999999999999997E-4</v>
      </c>
      <c r="I3" s="216">
        <f>-48.4776</f>
        <v>-48.477600000000002</v>
      </c>
      <c r="J3" s="191">
        <v>1.6000000000000001E-3</v>
      </c>
      <c r="K3" s="187">
        <v>0.112</v>
      </c>
      <c r="L3" s="191">
        <v>0.04</v>
      </c>
      <c r="M3" s="191">
        <v>-2.8E-3</v>
      </c>
      <c r="N3" s="191">
        <v>1E-4</v>
      </c>
      <c r="O3" s="191">
        <v>121.55</v>
      </c>
      <c r="P3" s="191">
        <v>0.74</v>
      </c>
      <c r="Q3" s="212">
        <v>0.13698347</v>
      </c>
      <c r="R3" s="187">
        <v>8.3396000000000002E-4</v>
      </c>
      <c r="S3" s="187"/>
    </row>
    <row r="4" spans="1:19" ht="16">
      <c r="A4" s="214"/>
      <c r="B4" s="215" t="s">
        <v>1735</v>
      </c>
      <c r="C4" s="212">
        <v>0.25</v>
      </c>
      <c r="D4" s="187">
        <v>96</v>
      </c>
      <c r="E4" s="187">
        <v>12</v>
      </c>
      <c r="F4" s="187">
        <v>44</v>
      </c>
      <c r="G4" s="217">
        <f>6.5834</f>
        <v>6.5834000000000001</v>
      </c>
      <c r="H4" s="187">
        <v>4.0000000000000002E-4</v>
      </c>
      <c r="I4" s="214">
        <f>-48.5528</f>
        <v>-48.552799999999998</v>
      </c>
      <c r="J4" s="187">
        <v>1.1999999999999999E-3</v>
      </c>
      <c r="K4" s="191">
        <v>6.4000000000000001E-2</v>
      </c>
      <c r="L4" s="187">
        <v>0.04</v>
      </c>
      <c r="M4" s="191">
        <v>-2.8E-3</v>
      </c>
      <c r="N4" s="191">
        <v>2.0000000000000001E-4</v>
      </c>
      <c r="O4" s="191">
        <v>121.62</v>
      </c>
      <c r="P4" s="187">
        <v>1.17</v>
      </c>
      <c r="Q4" s="214">
        <v>0.13706235999999999</v>
      </c>
      <c r="R4" s="187">
        <v>1.3185600000000001E-3</v>
      </c>
      <c r="S4" s="187"/>
    </row>
    <row r="5" spans="1:19" ht="16">
      <c r="A5" s="212"/>
      <c r="B5" s="213" t="s">
        <v>1736</v>
      </c>
      <c r="C5" s="212">
        <v>0.25</v>
      </c>
      <c r="D5" s="187">
        <v>96</v>
      </c>
      <c r="E5" s="187">
        <v>12</v>
      </c>
      <c r="F5" s="187">
        <v>44</v>
      </c>
      <c r="G5" s="216">
        <f>6.5792</f>
        <v>6.5792000000000002</v>
      </c>
      <c r="H5" s="191">
        <v>2.9999999999999997E-4</v>
      </c>
      <c r="I5" s="216">
        <f>-48.602</f>
        <v>-48.601999999999997</v>
      </c>
      <c r="J5" s="191">
        <v>2.0000000000000001E-4</v>
      </c>
      <c r="K5" s="207">
        <v>0.128</v>
      </c>
      <c r="L5" s="191">
        <v>6.0999999999999999E-2</v>
      </c>
      <c r="M5" s="191">
        <v>-2.5000000000000001E-3</v>
      </c>
      <c r="N5" s="191">
        <v>1E-4</v>
      </c>
      <c r="O5" s="191">
        <v>122.62</v>
      </c>
      <c r="P5" s="191">
        <v>0.53</v>
      </c>
      <c r="Q5" s="212">
        <v>0.13818933</v>
      </c>
      <c r="R5" s="187">
        <v>5.9730000000000004E-4</v>
      </c>
      <c r="S5" s="187"/>
    </row>
    <row r="6" spans="1:19" ht="16">
      <c r="A6" s="207"/>
      <c r="B6" s="208"/>
      <c r="C6" s="207"/>
      <c r="D6" s="207"/>
      <c r="E6" s="207"/>
      <c r="F6" s="207"/>
      <c r="G6" s="209"/>
      <c r="H6" s="207"/>
      <c r="I6" s="207"/>
      <c r="J6" s="207"/>
      <c r="L6" s="207"/>
      <c r="M6" s="207"/>
      <c r="N6" s="210"/>
      <c r="O6" s="207"/>
      <c r="P6" s="207"/>
      <c r="Q6" s="207"/>
      <c r="R6" s="187"/>
      <c r="S6" s="187"/>
    </row>
    <row r="7" spans="1:19" ht="16">
      <c r="A7" s="207"/>
      <c r="B7" s="208"/>
      <c r="C7" s="207"/>
      <c r="D7" s="207"/>
      <c r="E7" s="207"/>
      <c r="F7" s="207"/>
      <c r="G7" s="209"/>
      <c r="H7" s="207"/>
      <c r="I7" s="207"/>
      <c r="J7" s="207"/>
      <c r="L7" s="207"/>
      <c r="M7" s="207"/>
      <c r="N7" s="210"/>
      <c r="O7" s="207"/>
      <c r="P7" s="207"/>
      <c r="Q7" s="207"/>
      <c r="R7" s="187"/>
      <c r="S7" s="187"/>
    </row>
    <row r="8" spans="1:19" ht="16">
      <c r="A8" s="207"/>
      <c r="B8" s="208"/>
      <c r="C8" s="207"/>
      <c r="D8" s="207"/>
      <c r="E8" s="207"/>
      <c r="F8" s="207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7"/>
      <c r="R8" s="187"/>
      <c r="S8" s="187"/>
    </row>
    <row r="9" spans="1:19" ht="16">
      <c r="A9" s="207"/>
      <c r="B9" s="208"/>
      <c r="C9" s="207"/>
      <c r="D9" s="207"/>
      <c r="E9" s="207"/>
      <c r="F9" s="207"/>
      <c r="G9" s="211"/>
      <c r="H9" s="207"/>
      <c r="I9" s="207"/>
      <c r="J9" s="207"/>
      <c r="K9" s="207"/>
      <c r="L9" s="207"/>
      <c r="M9" s="207"/>
      <c r="N9" s="210"/>
      <c r="O9" s="207"/>
      <c r="P9" s="207"/>
      <c r="Q9" s="207"/>
      <c r="R9" s="187"/>
      <c r="S9" s="187"/>
    </row>
    <row r="10" spans="1:19" ht="16">
      <c r="A10" s="207"/>
      <c r="B10" s="208"/>
      <c r="C10" s="207"/>
      <c r="D10" s="207"/>
      <c r="E10" s="207"/>
      <c r="F10" s="207"/>
      <c r="G10" s="209"/>
      <c r="H10" s="207"/>
      <c r="I10" s="207"/>
      <c r="J10" s="207"/>
      <c r="K10" s="207"/>
      <c r="L10" s="207"/>
      <c r="M10" s="207"/>
      <c r="N10" s="210"/>
      <c r="O10" s="207"/>
      <c r="P10" s="207"/>
      <c r="Q10" s="207"/>
      <c r="R10" s="187"/>
      <c r="S10" s="187"/>
    </row>
    <row r="11" spans="1:19" ht="16">
      <c r="A11" s="207"/>
      <c r="B11" s="208"/>
      <c r="C11" s="207"/>
      <c r="D11" s="207"/>
      <c r="E11" s="207"/>
      <c r="F11" s="207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7"/>
      <c r="R11" s="187"/>
      <c r="S11" s="187"/>
    </row>
    <row r="12" spans="1:19" ht="16">
      <c r="A12" s="207"/>
      <c r="B12" s="208"/>
      <c r="C12" s="207"/>
      <c r="D12" s="207"/>
      <c r="E12" s="207"/>
      <c r="F12" s="207"/>
      <c r="G12" s="211"/>
      <c r="H12" s="207"/>
      <c r="I12" s="207"/>
      <c r="J12" s="207"/>
      <c r="K12" s="207"/>
      <c r="L12" s="207"/>
      <c r="M12" s="207"/>
      <c r="N12" s="210"/>
      <c r="O12" s="207"/>
      <c r="P12" s="207"/>
      <c r="Q12" s="207"/>
      <c r="R12" s="187"/>
      <c r="S12" s="187"/>
    </row>
    <row r="13" spans="1:19" ht="16">
      <c r="A13" s="207"/>
      <c r="B13" s="208"/>
      <c r="C13" s="207"/>
      <c r="D13" s="207"/>
      <c r="E13" s="207"/>
      <c r="F13" s="207"/>
      <c r="G13" s="209"/>
      <c r="H13" s="207"/>
      <c r="I13" s="207"/>
      <c r="J13" s="207"/>
      <c r="K13" s="207"/>
      <c r="L13" s="207"/>
      <c r="M13" s="207"/>
      <c r="N13" s="210"/>
      <c r="O13" s="207"/>
      <c r="P13" s="207"/>
      <c r="Q13" s="207"/>
      <c r="R13" s="187"/>
      <c r="S13" s="187"/>
    </row>
    <row r="14" spans="1:19" ht="16">
      <c r="A14" s="207"/>
      <c r="B14" s="208"/>
      <c r="C14" s="207"/>
      <c r="D14" s="207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187"/>
      <c r="S14" s="187"/>
    </row>
    <row r="15" spans="1:19" ht="16">
      <c r="A15" s="207"/>
      <c r="B15" s="208"/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187"/>
      <c r="S15" s="187"/>
    </row>
    <row r="16" spans="1:19" ht="16">
      <c r="A16" s="207"/>
      <c r="B16" s="208"/>
      <c r="C16" s="207"/>
      <c r="D16" s="207"/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187"/>
      <c r="S16" s="187"/>
    </row>
    <row r="17" spans="1:19" ht="16">
      <c r="A17" s="207"/>
      <c r="B17" s="208"/>
      <c r="C17" s="207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7"/>
      <c r="O17" s="207"/>
      <c r="P17" s="207"/>
      <c r="Q17" s="207"/>
      <c r="R17" s="187"/>
      <c r="S17" s="187"/>
    </row>
    <row r="18" spans="1:19" ht="16">
      <c r="A18" s="207"/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187"/>
      <c r="S18" s="187"/>
    </row>
    <row r="19" spans="1:19" ht="16">
      <c r="A19" s="207"/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187"/>
      <c r="S19" s="187"/>
    </row>
    <row r="20" spans="1:19" ht="16">
      <c r="A20" s="207"/>
      <c r="B20" s="208"/>
      <c r="C20" s="207"/>
      <c r="D20" s="207"/>
      <c r="E20" s="207"/>
      <c r="F20" s="207"/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207"/>
      <c r="R20" s="187"/>
      <c r="S20" s="187"/>
    </row>
    <row r="21" spans="1:19" ht="16">
      <c r="A21" s="207"/>
      <c r="B21" s="208"/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209"/>
      <c r="N21" s="209"/>
      <c r="O21" s="207"/>
      <c r="P21" s="207"/>
      <c r="Q21" s="207"/>
      <c r="R21" s="187"/>
      <c r="S21" s="187"/>
    </row>
    <row r="22" spans="1:19" ht="16">
      <c r="A22" s="207"/>
      <c r="B22" s="208"/>
      <c r="C22" s="207"/>
      <c r="D22" s="207"/>
      <c r="E22" s="207"/>
      <c r="F22" s="207"/>
      <c r="G22" s="209"/>
      <c r="H22" s="207"/>
      <c r="I22" s="207"/>
      <c r="J22" s="207"/>
      <c r="K22" s="207"/>
      <c r="L22" s="207"/>
      <c r="M22" s="209"/>
      <c r="N22" s="209"/>
      <c r="O22" s="207"/>
      <c r="P22" s="207"/>
      <c r="Q22" s="207"/>
      <c r="R22" s="187"/>
      <c r="S22" s="187"/>
    </row>
    <row r="23" spans="1:19" ht="16">
      <c r="A23" s="207"/>
      <c r="B23" s="208"/>
      <c r="C23" s="207"/>
      <c r="D23" s="207"/>
      <c r="E23" s="207"/>
      <c r="F23" s="207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7"/>
      <c r="R23" s="187"/>
      <c r="S23" s="187"/>
    </row>
    <row r="24" spans="1:19" ht="16">
      <c r="A24" s="207"/>
      <c r="B24" s="208"/>
      <c r="C24" s="207"/>
      <c r="D24" s="207"/>
      <c r="E24" s="207"/>
      <c r="F24" s="207"/>
      <c r="G24" s="209"/>
      <c r="H24" s="207"/>
      <c r="I24" s="207"/>
      <c r="J24" s="207"/>
      <c r="K24" s="207"/>
      <c r="L24" s="207"/>
      <c r="M24" s="207"/>
      <c r="N24" s="210"/>
      <c r="O24" s="207"/>
      <c r="P24" s="207"/>
      <c r="Q24" s="207"/>
      <c r="R24" s="187"/>
      <c r="S24" s="187"/>
    </row>
    <row r="25" spans="1:19" ht="16">
      <c r="A25" s="207"/>
      <c r="B25" s="208"/>
      <c r="C25" s="207"/>
      <c r="D25" s="207"/>
      <c r="E25" s="207"/>
      <c r="F25" s="207"/>
      <c r="G25" s="209"/>
      <c r="H25" s="207"/>
      <c r="I25" s="207"/>
      <c r="J25" s="207"/>
      <c r="K25" s="207"/>
      <c r="L25" s="207"/>
      <c r="M25" s="207"/>
      <c r="N25" s="210"/>
      <c r="O25" s="207"/>
      <c r="P25" s="207"/>
      <c r="Q25" s="207"/>
      <c r="R25" s="187"/>
      <c r="S25" s="187"/>
    </row>
    <row r="26" spans="1:19" ht="16">
      <c r="A26" s="207"/>
      <c r="B26" s="208"/>
      <c r="C26" s="207"/>
      <c r="D26" s="207"/>
      <c r="E26" s="207"/>
      <c r="F26" s="207"/>
      <c r="G26" s="209"/>
      <c r="H26" s="207"/>
      <c r="I26" s="207"/>
      <c r="J26" s="207"/>
      <c r="K26" s="207"/>
      <c r="L26" s="207"/>
      <c r="M26" s="207"/>
      <c r="N26" s="210"/>
      <c r="O26" s="207"/>
      <c r="P26" s="207"/>
      <c r="Q26" s="207"/>
      <c r="R26" s="187"/>
      <c r="S26" s="187"/>
    </row>
    <row r="27" spans="1:19" ht="16">
      <c r="A27" s="207"/>
      <c r="B27" s="208"/>
      <c r="C27" s="207"/>
      <c r="D27" s="207"/>
      <c r="E27" s="207"/>
      <c r="F27" s="207"/>
      <c r="G27" s="209"/>
      <c r="H27" s="207"/>
      <c r="I27" s="207"/>
      <c r="J27" s="207"/>
      <c r="K27" s="207"/>
      <c r="L27" s="207"/>
      <c r="M27" s="207"/>
      <c r="N27" s="210"/>
      <c r="O27" s="207"/>
      <c r="P27" s="207"/>
      <c r="Q27" s="207"/>
      <c r="R27" s="187"/>
      <c r="S27" s="187"/>
    </row>
    <row r="28" spans="1:19" ht="16">
      <c r="A28" s="207"/>
      <c r="B28" s="208"/>
      <c r="C28" s="207"/>
      <c r="D28" s="207"/>
      <c r="E28" s="207"/>
      <c r="F28" s="207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7"/>
      <c r="R28" s="187"/>
      <c r="S28" s="187"/>
    </row>
    <row r="29" spans="1:19" ht="16">
      <c r="A29" s="207"/>
      <c r="B29" s="208"/>
      <c r="C29" s="207"/>
      <c r="D29" s="207"/>
      <c r="E29" s="207"/>
      <c r="F29" s="207"/>
      <c r="G29" s="209"/>
      <c r="H29" s="207"/>
      <c r="I29" s="207"/>
      <c r="J29" s="207"/>
      <c r="K29" s="207"/>
      <c r="L29" s="207"/>
      <c r="M29" s="207"/>
      <c r="N29" s="210"/>
      <c r="O29" s="207"/>
      <c r="P29" s="207"/>
      <c r="Q29" s="207"/>
      <c r="R29" s="187"/>
      <c r="S29" s="187"/>
    </row>
    <row r="30" spans="1:19" ht="16">
      <c r="A30" s="207"/>
      <c r="B30" s="208"/>
      <c r="C30" s="207"/>
      <c r="D30" s="207"/>
      <c r="E30" s="207"/>
      <c r="F30" s="207"/>
      <c r="G30" s="211"/>
      <c r="H30" s="207"/>
      <c r="I30" s="207"/>
      <c r="J30" s="207"/>
      <c r="K30" s="207"/>
      <c r="L30" s="207"/>
      <c r="M30" s="207"/>
      <c r="N30" s="210"/>
      <c r="O30" s="207"/>
      <c r="P30" s="207"/>
      <c r="Q30" s="207"/>
      <c r="R30" s="187"/>
      <c r="S30" s="187"/>
    </row>
    <row r="31" spans="1:19" ht="16">
      <c r="A31" s="207"/>
      <c r="B31" s="208"/>
      <c r="C31" s="207"/>
      <c r="D31" s="207"/>
      <c r="E31" s="207"/>
      <c r="F31" s="207"/>
      <c r="G31" s="209"/>
      <c r="H31" s="207"/>
      <c r="I31" s="207"/>
      <c r="J31" s="207"/>
      <c r="K31" s="207"/>
      <c r="L31" s="207"/>
      <c r="M31" s="207"/>
      <c r="N31" s="210"/>
      <c r="O31" s="207"/>
      <c r="P31" s="207"/>
      <c r="Q31" s="207"/>
      <c r="R31" s="187"/>
      <c r="S31" s="187"/>
    </row>
    <row r="32" spans="1:19" ht="16">
      <c r="A32" s="207"/>
      <c r="B32" s="208"/>
      <c r="C32" s="207"/>
      <c r="D32" s="207"/>
      <c r="E32" s="207"/>
      <c r="F32" s="207"/>
      <c r="G32" s="209"/>
      <c r="H32" s="207"/>
      <c r="I32" s="207"/>
      <c r="J32" s="207"/>
      <c r="K32" s="207"/>
      <c r="L32" s="207"/>
      <c r="M32" s="207"/>
      <c r="N32" s="210"/>
      <c r="O32" s="207"/>
      <c r="P32" s="207"/>
      <c r="Q32" s="207"/>
      <c r="R32" s="187"/>
      <c r="S32" s="187"/>
    </row>
    <row r="33" spans="1:19" ht="16">
      <c r="A33" s="207"/>
      <c r="B33" s="208"/>
      <c r="C33" s="207"/>
      <c r="D33" s="207"/>
      <c r="E33" s="207"/>
      <c r="F33" s="207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7"/>
      <c r="R33" s="187"/>
      <c r="S33" s="187"/>
    </row>
    <row r="34" spans="1:19" ht="16">
      <c r="A34" s="207"/>
      <c r="B34" s="208"/>
      <c r="C34" s="207"/>
      <c r="D34" s="207"/>
      <c r="E34" s="207"/>
      <c r="F34" s="207"/>
      <c r="G34" s="209"/>
      <c r="H34" s="207"/>
      <c r="I34" s="207"/>
      <c r="J34" s="207"/>
      <c r="K34" s="207"/>
      <c r="L34" s="207"/>
      <c r="M34" s="207"/>
      <c r="N34" s="210"/>
      <c r="O34" s="207"/>
      <c r="P34" s="207"/>
      <c r="Q34" s="207"/>
      <c r="R34" s="187"/>
      <c r="S34" s="187"/>
    </row>
    <row r="35" spans="1:19" ht="16">
      <c r="A35" s="207"/>
      <c r="B35" s="208"/>
      <c r="C35" s="207"/>
      <c r="D35" s="207"/>
      <c r="E35" s="207"/>
      <c r="F35" s="207"/>
      <c r="G35" s="211"/>
      <c r="H35" s="207"/>
      <c r="I35" s="207"/>
      <c r="J35" s="207"/>
      <c r="K35" s="207"/>
      <c r="L35" s="207"/>
      <c r="M35" s="207"/>
      <c r="N35" s="210"/>
      <c r="O35" s="207"/>
      <c r="P35" s="207"/>
      <c r="Q35" s="207"/>
      <c r="R35" s="187"/>
      <c r="S35" s="187"/>
    </row>
    <row r="36" spans="1:19" ht="16">
      <c r="A36" s="207"/>
      <c r="B36" s="208"/>
      <c r="C36" s="207"/>
      <c r="D36" s="207"/>
      <c r="E36" s="207"/>
      <c r="F36" s="207"/>
      <c r="G36" s="207"/>
      <c r="H36" s="207"/>
      <c r="I36" s="207"/>
      <c r="J36" s="207"/>
      <c r="K36" s="207"/>
      <c r="L36" s="207"/>
      <c r="M36" s="207"/>
      <c r="N36" s="210"/>
      <c r="O36" s="207"/>
      <c r="P36" s="207"/>
      <c r="Q36" s="207"/>
      <c r="R36" s="187"/>
      <c r="S36" s="187"/>
    </row>
    <row r="37" spans="1:19" ht="16">
      <c r="A37" s="207"/>
      <c r="B37" s="208"/>
      <c r="C37" s="207"/>
      <c r="D37" s="207"/>
      <c r="E37" s="207"/>
      <c r="F37" s="207"/>
      <c r="G37" s="209"/>
      <c r="H37" s="207"/>
      <c r="I37" s="207"/>
      <c r="J37" s="207"/>
      <c r="K37" s="207"/>
      <c r="L37" s="209"/>
      <c r="M37" s="207"/>
      <c r="N37" s="210"/>
      <c r="O37" s="207"/>
      <c r="P37" s="207"/>
      <c r="Q37" s="207"/>
      <c r="R37" s="187"/>
      <c r="S37" s="187"/>
    </row>
    <row r="38" spans="1:19" ht="16">
      <c r="A38" s="187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R8</vt:lpstr>
      <vt:lpstr>R12</vt:lpstr>
      <vt:lpstr>R18</vt:lpstr>
      <vt:lpstr>R14</vt:lpstr>
      <vt:lpstr>R24</vt:lpstr>
      <vt:lpstr>R48</vt:lpstr>
      <vt:lpstr>R96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Sorkin</cp:lastModifiedBy>
  <dcterms:created xsi:type="dcterms:W3CDTF">2025-08-20T17:44:01Z</dcterms:created>
  <dcterms:modified xsi:type="dcterms:W3CDTF">2026-03-06T16:30:11Z</dcterms:modified>
</cp:coreProperties>
</file>